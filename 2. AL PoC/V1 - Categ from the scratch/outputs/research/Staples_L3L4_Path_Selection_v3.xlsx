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Latentview\Staples PoC\2. AL PoC\V1 - Categ from the scratch\outputs\research\"/>
    </mc:Choice>
  </mc:AlternateContent>
  <xr:revisionPtr revIDLastSave="0" documentId="13_ncr:1_{B7A9465F-E86C-4052-A1A4-E19BA5C458F0}" xr6:coauthVersionLast="47" xr6:coauthVersionMax="47" xr10:uidLastSave="{00000000-0000-0000-0000-000000000000}"/>
  <bookViews>
    <workbookView xWindow="-5182" yWindow="-16297" windowWidth="28995" windowHeight="15675" xr2:uid="{00000000-000D-0000-FFFF-FFFF00000000}"/>
  </bookViews>
  <sheets>
    <sheet name="FINAL" sheetId="16" r:id="rId1"/>
    <sheet name="Executive Summary" sheetId="1" r:id="rId2"/>
    <sheet name="Top 20 Recommendations" sheetId="2" r:id="rId3"/>
    <sheet name="Segment Map" sheetId="3" r:id="rId4"/>
    <sheet name="Hero Criteria" sheetId="4" r:id="rId5"/>
    <sheet name="Competitor Criteria" sheetId="5" r:id="rId6"/>
    <sheet name="Your List Review" sheetId="6" r:id="rId7"/>
    <sheet name="Selection Criteria" sheetId="7" r:id="rId8"/>
    <sheet name="Path Scorecard" sheetId="8" r:id="rId9"/>
    <sheet name="Hero Segmentation" sheetId="9" r:id="rId10"/>
    <sheet name="Primary Competitor Fit" sheetId="10" r:id="rId11"/>
    <sheet name="Secondary Competitor Fit" sheetId="11" r:id="rId12"/>
    <sheet name="Competitor Profiles" sheetId="12" r:id="rId13"/>
    <sheet name="Parked &amp; Excluded" sheetId="13" r:id="rId14"/>
    <sheet name="Evidence &amp; Sources" sheetId="14" r:id="rId15"/>
    <sheet name="Staples Tree Extract" sheetId="15" r:id="rId16"/>
  </sheets>
  <definedNames>
    <definedName name="_xlnm._FilterDatabase" localSheetId="12" hidden="1">'Competitor Profiles'!$A$4:$K$50</definedName>
    <definedName name="_xlnm._FilterDatabase" localSheetId="1" hidden="1">'Executive Summary'!$A$12:$K$33</definedName>
    <definedName name="_xlnm._FilterDatabase" localSheetId="9" hidden="1">'Hero Segmentation'!$A$4:$T$80</definedName>
    <definedName name="_xlnm._FilterDatabase" localSheetId="8" hidden="1">'Path Scorecard'!$A$4:$AJ$80</definedName>
    <definedName name="_xlnm._FilterDatabase" localSheetId="10" hidden="1">'Primary Competitor Fit'!$A$4:$N$91</definedName>
    <definedName name="_xlnm._FilterDatabase" localSheetId="11" hidden="1">'Secondary Competitor Fit'!$A$4:$N$98</definedName>
    <definedName name="_xlnm._FilterDatabase" localSheetId="15" hidden="1">'Staples Tree Extract'!$A$4:$K$1244</definedName>
    <definedName name="_xlnm._FilterDatabase" localSheetId="2" hidden="1">'Top 20 Recommendations'!$A$4:$X$24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 i="16" l="1"/>
  <c r="I9" i="16"/>
  <c r="H9" i="16"/>
  <c r="G9" i="16"/>
  <c r="F9" i="16"/>
  <c r="E9" i="16"/>
  <c r="C9" i="16"/>
  <c r="L8" i="16"/>
  <c r="I8" i="16"/>
  <c r="H8" i="16"/>
  <c r="G8" i="16"/>
  <c r="F8" i="16"/>
  <c r="E8" i="16"/>
  <c r="C8" i="16"/>
  <c r="L7" i="16"/>
  <c r="I7" i="16"/>
  <c r="H7" i="16"/>
  <c r="G7" i="16"/>
  <c r="F7" i="16"/>
  <c r="E7" i="16"/>
  <c r="C7" i="16"/>
  <c r="L6" i="16"/>
  <c r="I6" i="16"/>
  <c r="H6" i="16"/>
  <c r="G6" i="16"/>
  <c r="F6" i="16"/>
  <c r="E6" i="16"/>
  <c r="C6" i="16"/>
  <c r="L5" i="16"/>
  <c r="I5" i="16"/>
  <c r="H5" i="16"/>
  <c r="G5" i="16"/>
  <c r="F5" i="16"/>
  <c r="E5" i="16"/>
  <c r="C5" i="16"/>
  <c r="L4" i="16"/>
  <c r="I4" i="16"/>
  <c r="H4" i="16"/>
  <c r="G4" i="16"/>
  <c r="F4" i="16"/>
  <c r="E4" i="16"/>
  <c r="C4" i="16"/>
  <c r="L3" i="16"/>
  <c r="I3" i="16"/>
  <c r="H3" i="16"/>
  <c r="G3" i="16"/>
  <c r="F3" i="16"/>
  <c r="E3" i="16"/>
  <c r="C3" i="16"/>
  <c r="O80" i="9"/>
  <c r="H80" i="9"/>
  <c r="G80" i="9"/>
  <c r="O79" i="9"/>
  <c r="H79" i="9"/>
  <c r="G79" i="9"/>
  <c r="O78" i="9"/>
  <c r="H78" i="9"/>
  <c r="G78" i="9"/>
  <c r="O77" i="9"/>
  <c r="H77" i="9"/>
  <c r="G77" i="9"/>
  <c r="O76" i="9"/>
  <c r="H76" i="9"/>
  <c r="G76" i="9"/>
  <c r="O75" i="9"/>
  <c r="H75" i="9"/>
  <c r="G75" i="9"/>
  <c r="O74" i="9"/>
  <c r="H74" i="9"/>
  <c r="G74" i="9"/>
  <c r="O73" i="9"/>
  <c r="H73" i="9"/>
  <c r="G73" i="9"/>
  <c r="O72" i="9"/>
  <c r="H72" i="9"/>
  <c r="G72" i="9"/>
  <c r="O71" i="9"/>
  <c r="H71" i="9"/>
  <c r="G71" i="9"/>
  <c r="O70" i="9"/>
  <c r="H70" i="9"/>
  <c r="G70" i="9"/>
  <c r="O69" i="9"/>
  <c r="H69" i="9"/>
  <c r="G69" i="9"/>
  <c r="O68" i="9"/>
  <c r="H68" i="9"/>
  <c r="G68" i="9"/>
  <c r="O67" i="9"/>
  <c r="H67" i="9"/>
  <c r="G67" i="9"/>
  <c r="O66" i="9"/>
  <c r="H66" i="9"/>
  <c r="G66" i="9"/>
  <c r="O65" i="9"/>
  <c r="H65" i="9"/>
  <c r="G65" i="9"/>
  <c r="O64" i="9"/>
  <c r="H64" i="9"/>
  <c r="G64" i="9"/>
  <c r="O63" i="9"/>
  <c r="H63" i="9"/>
  <c r="G63" i="9"/>
  <c r="O62" i="9"/>
  <c r="H62" i="9"/>
  <c r="G62" i="9"/>
  <c r="O61" i="9"/>
  <c r="H61" i="9"/>
  <c r="G61" i="9"/>
  <c r="O60" i="9"/>
  <c r="H60" i="9"/>
  <c r="G60" i="9"/>
  <c r="O59" i="9"/>
  <c r="H59" i="9"/>
  <c r="G59" i="9"/>
  <c r="O58" i="9"/>
  <c r="H58" i="9"/>
  <c r="G58" i="9"/>
  <c r="O57" i="9"/>
  <c r="H57" i="9"/>
  <c r="G57" i="9"/>
  <c r="O56" i="9"/>
  <c r="H56" i="9"/>
  <c r="G56" i="9"/>
  <c r="O55" i="9"/>
  <c r="H55" i="9"/>
  <c r="G55" i="9"/>
  <c r="O54" i="9"/>
  <c r="H54" i="9"/>
  <c r="G54" i="9"/>
  <c r="O53" i="9"/>
  <c r="H53" i="9"/>
  <c r="G53" i="9"/>
  <c r="O52" i="9"/>
  <c r="H52" i="9"/>
  <c r="G52" i="9"/>
  <c r="O51" i="9"/>
  <c r="H51" i="9"/>
  <c r="G51" i="9"/>
  <c r="O50" i="9"/>
  <c r="H50" i="9"/>
  <c r="G50" i="9"/>
  <c r="O49" i="9"/>
  <c r="H49" i="9"/>
  <c r="G49" i="9"/>
  <c r="O48" i="9"/>
  <c r="H48" i="9"/>
  <c r="G48" i="9"/>
  <c r="O47" i="9"/>
  <c r="H47" i="9"/>
  <c r="G47" i="9"/>
  <c r="O46" i="9"/>
  <c r="H46" i="9"/>
  <c r="G46" i="9"/>
  <c r="O45" i="9"/>
  <c r="H45" i="9"/>
  <c r="G45" i="9"/>
  <c r="O44" i="9"/>
  <c r="H44" i="9"/>
  <c r="G44" i="9"/>
  <c r="O43" i="9"/>
  <c r="H43" i="9"/>
  <c r="G43" i="9"/>
  <c r="O42" i="9"/>
  <c r="H42" i="9"/>
  <c r="G42" i="9"/>
  <c r="O41" i="9"/>
  <c r="H41" i="9"/>
  <c r="G41" i="9"/>
  <c r="O40" i="9"/>
  <c r="H40" i="9"/>
  <c r="G40" i="9"/>
  <c r="O39" i="9"/>
  <c r="H39" i="9"/>
  <c r="G39" i="9"/>
  <c r="O38" i="9"/>
  <c r="H38" i="9"/>
  <c r="G38" i="9"/>
  <c r="O37" i="9"/>
  <c r="H37" i="9"/>
  <c r="G37" i="9"/>
  <c r="O36" i="9"/>
  <c r="H36" i="9"/>
  <c r="G36" i="9"/>
  <c r="O35" i="9"/>
  <c r="H35" i="9"/>
  <c r="G35" i="9"/>
  <c r="O34" i="9"/>
  <c r="H34" i="9"/>
  <c r="G34" i="9"/>
  <c r="O33" i="9"/>
  <c r="H33" i="9"/>
  <c r="G33" i="9"/>
  <c r="O32" i="9"/>
  <c r="H32" i="9"/>
  <c r="G32" i="9"/>
  <c r="O31" i="9"/>
  <c r="H31" i="9"/>
  <c r="G31" i="9"/>
  <c r="O30" i="9"/>
  <c r="H30" i="9"/>
  <c r="G30" i="9"/>
  <c r="O29" i="9"/>
  <c r="H29" i="9"/>
  <c r="G29" i="9"/>
  <c r="O28" i="9"/>
  <c r="H28" i="9"/>
  <c r="G28" i="9"/>
  <c r="O27" i="9"/>
  <c r="H27" i="9"/>
  <c r="G27" i="9"/>
  <c r="O26" i="9"/>
  <c r="H26" i="9"/>
  <c r="G26" i="9"/>
  <c r="O25" i="9"/>
  <c r="H25" i="9"/>
  <c r="G25" i="9"/>
  <c r="O24" i="9"/>
  <c r="H24" i="9"/>
  <c r="G24" i="9"/>
  <c r="O23" i="9"/>
  <c r="H23" i="9"/>
  <c r="G23" i="9"/>
  <c r="O22" i="9"/>
  <c r="H22" i="9"/>
  <c r="G22" i="9"/>
  <c r="O21" i="9"/>
  <c r="H21" i="9"/>
  <c r="G21" i="9"/>
  <c r="O20" i="9"/>
  <c r="H20" i="9"/>
  <c r="G20" i="9"/>
  <c r="O19" i="9"/>
  <c r="H19" i="9"/>
  <c r="G19" i="9"/>
  <c r="O18" i="9"/>
  <c r="H18" i="9"/>
  <c r="G18" i="9"/>
  <c r="O17" i="9"/>
  <c r="H17" i="9"/>
  <c r="G17" i="9"/>
  <c r="O16" i="9"/>
  <c r="H16" i="9"/>
  <c r="G16" i="9"/>
  <c r="O15" i="9"/>
  <c r="H15" i="9"/>
  <c r="G15" i="9"/>
  <c r="O14" i="9"/>
  <c r="H14" i="9"/>
  <c r="G14" i="9"/>
  <c r="O13" i="9"/>
  <c r="H13" i="9"/>
  <c r="G13" i="9"/>
  <c r="O12" i="9"/>
  <c r="H12" i="9"/>
  <c r="G12" i="9"/>
  <c r="O11" i="9"/>
  <c r="H11" i="9"/>
  <c r="G11" i="9"/>
  <c r="O10" i="9"/>
  <c r="H10" i="9"/>
  <c r="G10" i="9"/>
  <c r="O9" i="9"/>
  <c r="H9" i="9"/>
  <c r="G9" i="9"/>
  <c r="O8" i="9"/>
  <c r="H8" i="9"/>
  <c r="G8" i="9"/>
  <c r="O7" i="9"/>
  <c r="H7" i="9"/>
  <c r="G7" i="9"/>
  <c r="O6" i="9"/>
  <c r="H6" i="9"/>
  <c r="G6" i="9"/>
  <c r="O5" i="9"/>
  <c r="H5" i="9"/>
  <c r="G5" i="9"/>
  <c r="N80" i="8"/>
  <c r="L80" i="8"/>
  <c r="P80" i="8" s="1"/>
  <c r="N79" i="8"/>
  <c r="L79" i="8"/>
  <c r="P79" i="8" s="1"/>
  <c r="N78" i="8"/>
  <c r="L78" i="8"/>
  <c r="P78" i="8" s="1"/>
  <c r="N77" i="8"/>
  <c r="L77" i="8"/>
  <c r="P77" i="8" s="1"/>
  <c r="N76" i="8"/>
  <c r="L76" i="8"/>
  <c r="P76" i="8" s="1"/>
  <c r="N75" i="8"/>
  <c r="L75" i="8"/>
  <c r="P75" i="8" s="1"/>
  <c r="N74" i="8"/>
  <c r="L74" i="8"/>
  <c r="P74" i="8" s="1"/>
  <c r="N73" i="8"/>
  <c r="L73" i="8"/>
  <c r="P73" i="8" s="1"/>
  <c r="N72" i="8"/>
  <c r="L72" i="8"/>
  <c r="P72" i="8" s="1"/>
  <c r="N71" i="8"/>
  <c r="L71" i="8"/>
  <c r="P71" i="8" s="1"/>
  <c r="N70" i="8"/>
  <c r="L70" i="8"/>
  <c r="P70" i="8" s="1"/>
  <c r="N69" i="8"/>
  <c r="L69" i="8"/>
  <c r="P69" i="8" s="1"/>
  <c r="N68" i="8"/>
  <c r="L68" i="8"/>
  <c r="P68" i="8" s="1"/>
  <c r="N67" i="8"/>
  <c r="L67" i="8"/>
  <c r="P67" i="8" s="1"/>
  <c r="N66" i="8"/>
  <c r="L66" i="8"/>
  <c r="P66" i="8" s="1"/>
  <c r="N65" i="8"/>
  <c r="L65" i="8"/>
  <c r="P65" i="8" s="1"/>
  <c r="N64" i="8"/>
  <c r="L64" i="8"/>
  <c r="P64" i="8" s="1"/>
  <c r="N63" i="8"/>
  <c r="L63" i="8"/>
  <c r="P63" i="8" s="1"/>
  <c r="N62" i="8"/>
  <c r="L62" i="8"/>
  <c r="P62" i="8" s="1"/>
  <c r="N61" i="8"/>
  <c r="L61" i="8"/>
  <c r="P61" i="8" s="1"/>
  <c r="N60" i="8"/>
  <c r="L60" i="8"/>
  <c r="P60" i="8" s="1"/>
  <c r="N59" i="8"/>
  <c r="L59" i="8"/>
  <c r="P59" i="8" s="1"/>
  <c r="N58" i="8"/>
  <c r="L58" i="8"/>
  <c r="P58" i="8" s="1"/>
  <c r="N57" i="8"/>
  <c r="L57" i="8"/>
  <c r="P57" i="8" s="1"/>
  <c r="N56" i="8"/>
  <c r="L56" i="8"/>
  <c r="P56" i="8" s="1"/>
  <c r="N55" i="8"/>
  <c r="L55" i="8"/>
  <c r="P55" i="8" s="1"/>
  <c r="N54" i="8"/>
  <c r="L54" i="8"/>
  <c r="P54" i="8" s="1"/>
  <c r="N53" i="8"/>
  <c r="L53" i="8"/>
  <c r="P53" i="8" s="1"/>
  <c r="N52" i="8"/>
  <c r="L52" i="8"/>
  <c r="P52" i="8" s="1"/>
  <c r="N51" i="8"/>
  <c r="L51" i="8"/>
  <c r="P51" i="8" s="1"/>
  <c r="N50" i="8"/>
  <c r="L50" i="8"/>
  <c r="P50" i="8" s="1"/>
  <c r="N49" i="8"/>
  <c r="L49" i="8"/>
  <c r="P49" i="8" s="1"/>
  <c r="N48" i="8"/>
  <c r="L48" i="8"/>
  <c r="P48" i="8" s="1"/>
  <c r="N47" i="8"/>
  <c r="L47" i="8"/>
  <c r="P47" i="8" s="1"/>
  <c r="N46" i="8"/>
  <c r="L46" i="8"/>
  <c r="P46" i="8" s="1"/>
  <c r="N45" i="8"/>
  <c r="L45" i="8"/>
  <c r="P45" i="8" s="1"/>
  <c r="N44" i="8"/>
  <c r="L44" i="8"/>
  <c r="P44" i="8" s="1"/>
  <c r="N43" i="8"/>
  <c r="L43" i="8"/>
  <c r="P43" i="8" s="1"/>
  <c r="N42" i="8"/>
  <c r="L42" i="8"/>
  <c r="P42" i="8" s="1"/>
  <c r="N41" i="8"/>
  <c r="L41" i="8"/>
  <c r="P41" i="8" s="1"/>
  <c r="N40" i="8"/>
  <c r="L40" i="8"/>
  <c r="P40" i="8" s="1"/>
  <c r="N39" i="8"/>
  <c r="L39" i="8"/>
  <c r="P39" i="8" s="1"/>
  <c r="N38" i="8"/>
  <c r="L38" i="8"/>
  <c r="P38" i="8" s="1"/>
  <c r="N37" i="8"/>
  <c r="L37" i="8"/>
  <c r="P37" i="8" s="1"/>
  <c r="N36" i="8"/>
  <c r="L36" i="8"/>
  <c r="P36" i="8" s="1"/>
  <c r="N35" i="8"/>
  <c r="L35" i="8"/>
  <c r="P35" i="8" s="1"/>
  <c r="N34" i="8"/>
  <c r="L34" i="8"/>
  <c r="P34" i="8" s="1"/>
  <c r="N33" i="8"/>
  <c r="L33" i="8"/>
  <c r="P33" i="8" s="1"/>
  <c r="N32" i="8"/>
  <c r="L32" i="8"/>
  <c r="P32" i="8" s="1"/>
  <c r="N31" i="8"/>
  <c r="L31" i="8"/>
  <c r="P31" i="8" s="1"/>
  <c r="N30" i="8"/>
  <c r="L30" i="8"/>
  <c r="N29" i="8"/>
  <c r="L29" i="8"/>
  <c r="N28" i="8"/>
  <c r="L28" i="8"/>
  <c r="N27" i="8"/>
  <c r="L27" i="8"/>
  <c r="P27" i="8" s="1"/>
  <c r="N26" i="8"/>
  <c r="L26" i="8"/>
  <c r="N25" i="8"/>
  <c r="L25" i="8"/>
  <c r="P25" i="8" s="1"/>
  <c r="N24" i="8"/>
  <c r="L24" i="8"/>
  <c r="P24" i="8" s="1"/>
  <c r="N23" i="8"/>
  <c r="L23" i="8"/>
  <c r="P23" i="8" s="1"/>
  <c r="N22" i="8"/>
  <c r="L22" i="8"/>
  <c r="P22" i="8" s="1"/>
  <c r="N21" i="8"/>
  <c r="L21" i="8"/>
  <c r="N20" i="8"/>
  <c r="L20" i="8"/>
  <c r="P20" i="8" s="1"/>
  <c r="N19" i="8"/>
  <c r="L19" i="8"/>
  <c r="P19" i="8" s="1"/>
  <c r="N18" i="8"/>
  <c r="L18" i="8"/>
  <c r="P18" i="8" s="1"/>
  <c r="N17" i="8"/>
  <c r="L17" i="8"/>
  <c r="P17" i="8" s="1"/>
  <c r="N16" i="8"/>
  <c r="L16" i="8"/>
  <c r="P16" i="8" s="1"/>
  <c r="N15" i="8"/>
  <c r="L15" i="8"/>
  <c r="N14" i="8"/>
  <c r="L14" i="8"/>
  <c r="P14" i="8" s="1"/>
  <c r="N13" i="8"/>
  <c r="L13" i="8"/>
  <c r="P13" i="8" s="1"/>
  <c r="N12" i="8"/>
  <c r="L12" i="8"/>
  <c r="P12" i="8" s="1"/>
  <c r="N11" i="8"/>
  <c r="L11" i="8"/>
  <c r="P11" i="8" s="1"/>
  <c r="N10" i="8"/>
  <c r="L10" i="8"/>
  <c r="N9" i="8"/>
  <c r="L9" i="8"/>
  <c r="P9" i="8" s="1"/>
  <c r="N8" i="8"/>
  <c r="L8" i="8"/>
  <c r="N7" i="8"/>
  <c r="L7" i="8"/>
  <c r="P7" i="8" s="1"/>
  <c r="N6" i="8"/>
  <c r="L6" i="8"/>
  <c r="P6" i="8" s="1"/>
  <c r="N5" i="8"/>
  <c r="L5" i="8"/>
  <c r="P5" i="8" s="1"/>
  <c r="F21" i="7"/>
  <c r="F25" i="5"/>
  <c r="F16" i="5"/>
  <c r="D48" i="4"/>
  <c r="C48" i="4"/>
  <c r="D31" i="4"/>
  <c r="D23" i="4"/>
  <c r="P80" i="9" l="1"/>
  <c r="K80" i="9"/>
  <c r="Q80" i="9" s="1"/>
  <c r="P79" i="9"/>
  <c r="K79" i="9"/>
  <c r="P78" i="9"/>
  <c r="K78" i="9"/>
  <c r="P77" i="9"/>
  <c r="K77" i="9"/>
  <c r="Q77" i="9" s="1"/>
  <c r="P76" i="9"/>
  <c r="K76" i="9"/>
  <c r="Q76" i="9" s="1"/>
  <c r="P75" i="9"/>
  <c r="K75" i="9"/>
  <c r="Q75" i="9" s="1"/>
  <c r="P74" i="9"/>
  <c r="K74" i="9"/>
  <c r="Q74" i="9" s="1"/>
  <c r="P73" i="9"/>
  <c r="K73" i="9"/>
  <c r="Q73" i="9" s="1"/>
  <c r="P72" i="9"/>
  <c r="K72" i="9"/>
  <c r="Q72" i="9" s="1"/>
  <c r="P71" i="9"/>
  <c r="K71" i="9"/>
  <c r="Q71" i="9" s="1"/>
  <c r="P70" i="9"/>
  <c r="K70" i="9"/>
  <c r="Q70" i="9" s="1"/>
  <c r="P69" i="9"/>
  <c r="K69" i="9"/>
  <c r="Q69" i="9" s="1"/>
  <c r="P68" i="9"/>
  <c r="K68" i="9"/>
  <c r="Q68" i="9" s="1"/>
  <c r="P67" i="9"/>
  <c r="K67" i="9"/>
  <c r="Q67" i="9" s="1"/>
  <c r="P66" i="9"/>
  <c r="K66" i="9"/>
  <c r="Q66" i="9" s="1"/>
  <c r="P65" i="9"/>
  <c r="K65" i="9"/>
  <c r="Q65" i="9" s="1"/>
  <c r="P64" i="9"/>
  <c r="K64" i="9"/>
  <c r="Q64" i="9" s="1"/>
  <c r="P63" i="9"/>
  <c r="K63" i="9"/>
  <c r="Q63" i="9" s="1"/>
  <c r="P62" i="9"/>
  <c r="K62" i="9"/>
  <c r="Q62" i="9" s="1"/>
  <c r="P61" i="9"/>
  <c r="K61" i="9"/>
  <c r="Q61" i="9" s="1"/>
  <c r="P60" i="9"/>
  <c r="P59" i="9"/>
  <c r="K59" i="9"/>
  <c r="Q59" i="9" s="1"/>
  <c r="P58" i="9"/>
  <c r="K57" i="9"/>
  <c r="K56" i="9"/>
  <c r="P55" i="9"/>
  <c r="K55" i="9"/>
  <c r="Q55" i="9" s="1"/>
  <c r="P54" i="9"/>
  <c r="K54" i="9"/>
  <c r="Q54" i="9" s="1"/>
  <c r="P53" i="9"/>
  <c r="P52" i="9"/>
  <c r="K51" i="9"/>
  <c r="K50" i="9"/>
  <c r="Q50" i="9" s="1"/>
  <c r="K49" i="9"/>
  <c r="Q49" i="9" s="1"/>
  <c r="P48" i="9"/>
  <c r="P46" i="9"/>
  <c r="P44" i="9"/>
  <c r="K40" i="9"/>
  <c r="K39" i="9"/>
  <c r="K38" i="9"/>
  <c r="Q38" i="9" s="1"/>
  <c r="P37" i="9"/>
  <c r="P36" i="9"/>
  <c r="K33" i="9"/>
  <c r="Q33" i="9" s="1"/>
  <c r="P30" i="8"/>
  <c r="K60" i="9"/>
  <c r="Q60" i="9" s="1"/>
  <c r="P57" i="9"/>
  <c r="K53" i="9"/>
  <c r="Q53" i="9" s="1"/>
  <c r="P51" i="9"/>
  <c r="K48" i="9"/>
  <c r="K47" i="9"/>
  <c r="Q47" i="9" s="1"/>
  <c r="K46" i="9"/>
  <c r="Q46" i="9" s="1"/>
  <c r="K45" i="9"/>
  <c r="K44" i="9"/>
  <c r="Q44" i="9" s="1"/>
  <c r="P40" i="9"/>
  <c r="K36" i="9"/>
  <c r="Q36" i="9" s="1"/>
  <c r="P34" i="9"/>
  <c r="P15" i="8"/>
  <c r="P45" i="9"/>
  <c r="K34" i="9"/>
  <c r="Q34" i="9" s="1"/>
  <c r="K58" i="9"/>
  <c r="Q58" i="9" s="1"/>
  <c r="P56" i="9"/>
  <c r="K52" i="9"/>
  <c r="Q52" i="9" s="1"/>
  <c r="P50" i="9"/>
  <c r="P47" i="9"/>
  <c r="K41" i="9"/>
  <c r="P38" i="9"/>
  <c r="P35" i="9"/>
  <c r="P49" i="9"/>
  <c r="P33" i="9"/>
  <c r="P43" i="9"/>
  <c r="K43" i="9"/>
  <c r="Q43" i="9" s="1"/>
  <c r="P42" i="9"/>
  <c r="K42" i="9"/>
  <c r="Q42" i="9" s="1"/>
  <c r="P41" i="9"/>
  <c r="P39" i="9"/>
  <c r="K37" i="9"/>
  <c r="Q37" i="9" s="1"/>
  <c r="K35" i="9"/>
  <c r="Q35" i="9" s="1"/>
  <c r="P8" i="8"/>
  <c r="P32" i="9"/>
  <c r="K32" i="9"/>
  <c r="Q32" i="9" s="1"/>
  <c r="P31" i="9"/>
  <c r="K31" i="9"/>
  <c r="Q31" i="9" s="1"/>
  <c r="P30" i="9"/>
  <c r="K30" i="9"/>
  <c r="Q30" i="9" s="1"/>
  <c r="P29" i="9"/>
  <c r="K29" i="9"/>
  <c r="Q29" i="9" s="1"/>
  <c r="P28" i="9"/>
  <c r="K28" i="9"/>
  <c r="P27" i="9"/>
  <c r="K27" i="9"/>
  <c r="Q27" i="9" s="1"/>
  <c r="P26" i="9"/>
  <c r="K26" i="9"/>
  <c r="Q26" i="9" s="1"/>
  <c r="P25" i="9"/>
  <c r="K25" i="9"/>
  <c r="Q25" i="9" s="1"/>
  <c r="P24" i="9"/>
  <c r="K24" i="9"/>
  <c r="Q24" i="9" s="1"/>
  <c r="P23" i="9"/>
  <c r="K23" i="9"/>
  <c r="Q23" i="9" s="1"/>
  <c r="P22" i="9"/>
  <c r="K22" i="9"/>
  <c r="Q22" i="9" s="1"/>
  <c r="E96" i="9" s="1"/>
  <c r="P21" i="9"/>
  <c r="K21" i="9"/>
  <c r="Q21" i="9" s="1"/>
  <c r="P20" i="9"/>
  <c r="K20" i="9"/>
  <c r="Q20" i="9" s="1"/>
  <c r="P19" i="9"/>
  <c r="K19" i="9"/>
  <c r="Q19" i="9" s="1"/>
  <c r="P18" i="9"/>
  <c r="K18" i="9"/>
  <c r="Q18" i="9" s="1"/>
  <c r="P17" i="9"/>
  <c r="K17" i="9"/>
  <c r="Q17" i="9" s="1"/>
  <c r="P16" i="9"/>
  <c r="K16" i="9"/>
  <c r="Q16" i="9" s="1"/>
  <c r="P15" i="9"/>
  <c r="K15" i="9"/>
  <c r="P14" i="9"/>
  <c r="K14" i="9"/>
  <c r="Q14" i="9" s="1"/>
  <c r="P13" i="9"/>
  <c r="K13" i="9"/>
  <c r="Q13" i="9" s="1"/>
  <c r="P12" i="9"/>
  <c r="K12" i="9"/>
  <c r="Q12" i="9" s="1"/>
  <c r="P11" i="9"/>
  <c r="K11" i="9"/>
  <c r="Q11" i="9" s="1"/>
  <c r="P10" i="9"/>
  <c r="K10" i="9"/>
  <c r="Q10" i="9" s="1"/>
  <c r="P9" i="9"/>
  <c r="K9" i="9"/>
  <c r="Q9" i="9" s="1"/>
  <c r="P8" i="9"/>
  <c r="K8" i="9"/>
  <c r="Q8" i="9" s="1"/>
  <c r="P7" i="9"/>
  <c r="K7" i="9"/>
  <c r="Q7" i="9" s="1"/>
  <c r="P6" i="9"/>
  <c r="K6" i="9"/>
  <c r="Q6" i="9" s="1"/>
  <c r="P5" i="9"/>
  <c r="K5" i="9"/>
  <c r="Q5" i="9" s="1"/>
  <c r="P29" i="8"/>
  <c r="P28" i="8"/>
  <c r="P26" i="8"/>
  <c r="P21" i="8"/>
  <c r="P10" i="8"/>
  <c r="J98" i="11"/>
  <c r="J97" i="11"/>
  <c r="J96" i="11"/>
  <c r="K96" i="11" s="1"/>
  <c r="L96" i="11" s="1"/>
  <c r="M96" i="11" s="1"/>
  <c r="J95" i="11"/>
  <c r="J94" i="11"/>
  <c r="J93" i="11"/>
  <c r="K93" i="11" s="1"/>
  <c r="L93" i="11" s="1"/>
  <c r="M93" i="11" s="1"/>
  <c r="J92" i="11"/>
  <c r="J91" i="11"/>
  <c r="J90" i="11"/>
  <c r="K90" i="11" s="1"/>
  <c r="L90" i="11" s="1"/>
  <c r="M90" i="11" s="1"/>
  <c r="J89" i="11"/>
  <c r="J88" i="11"/>
  <c r="J87" i="11"/>
  <c r="K87" i="11" s="1"/>
  <c r="L87" i="11" s="1"/>
  <c r="M87" i="11" s="1"/>
  <c r="J86" i="11"/>
  <c r="J85" i="11"/>
  <c r="J84" i="11"/>
  <c r="K84" i="11" s="1"/>
  <c r="L84" i="11" s="1"/>
  <c r="M84" i="11" s="1"/>
  <c r="J83" i="11"/>
  <c r="J82" i="11"/>
  <c r="J81" i="11"/>
  <c r="J80" i="11"/>
  <c r="K80" i="11" s="1"/>
  <c r="L80" i="11" s="1"/>
  <c r="M80" i="11" s="1"/>
  <c r="J79" i="11"/>
  <c r="J78" i="11"/>
  <c r="K78" i="11" s="1"/>
  <c r="L78" i="11" s="1"/>
  <c r="M78" i="11" s="1"/>
  <c r="J77" i="11"/>
  <c r="J76" i="11"/>
  <c r="K76" i="11" s="1"/>
  <c r="L76" i="11" s="1"/>
  <c r="M76" i="11" s="1"/>
  <c r="J75" i="11"/>
  <c r="J74" i="11"/>
  <c r="J73" i="11"/>
  <c r="K73" i="11" s="1"/>
  <c r="L73" i="11" s="1"/>
  <c r="M73" i="11" s="1"/>
  <c r="J72" i="11"/>
  <c r="J71" i="11"/>
  <c r="J70" i="11"/>
  <c r="K70" i="11" s="1"/>
  <c r="L70" i="11" s="1"/>
  <c r="M70" i="11" s="1"/>
  <c r="J69" i="11"/>
  <c r="R80" i="9"/>
  <c r="AC80" i="8" s="1"/>
  <c r="C91" i="9"/>
  <c r="E91" i="9"/>
  <c r="Q80" i="8"/>
  <c r="R77" i="9"/>
  <c r="AC77" i="8" s="1"/>
  <c r="Q77" i="8"/>
  <c r="R76" i="9"/>
  <c r="AC76" i="8" s="1"/>
  <c r="Q76" i="8"/>
  <c r="R75" i="9"/>
  <c r="AC75" i="8" s="1"/>
  <c r="D121" i="9"/>
  <c r="E121" i="9"/>
  <c r="Q75" i="8"/>
  <c r="R74" i="9"/>
  <c r="AC74" i="8" s="1"/>
  <c r="AJ74" i="8" s="1"/>
  <c r="AA74" i="8" s="1"/>
  <c r="D116" i="9"/>
  <c r="E116" i="9"/>
  <c r="Q74" i="8"/>
  <c r="R73" i="9"/>
  <c r="AC73" i="8" s="1"/>
  <c r="D103" i="9"/>
  <c r="E103" i="9"/>
  <c r="Q73" i="8"/>
  <c r="E6" i="13" s="1"/>
  <c r="R72" i="9"/>
  <c r="AC72" i="8" s="1"/>
  <c r="AJ72" i="8" s="1"/>
  <c r="AA72" i="8" s="1"/>
  <c r="C98" i="9"/>
  <c r="E98" i="9"/>
  <c r="Q72" i="8"/>
  <c r="R71" i="9"/>
  <c r="AC71" i="8" s="1"/>
  <c r="Q71" i="8"/>
  <c r="R70" i="9"/>
  <c r="AC70" i="8" s="1"/>
  <c r="Q70" i="8"/>
  <c r="R69" i="9"/>
  <c r="AC69" i="8" s="1"/>
  <c r="C99" i="9"/>
  <c r="D99" i="9"/>
  <c r="Q69" i="8"/>
  <c r="E49" i="13" s="1"/>
  <c r="R68" i="9"/>
  <c r="AC68" i="8" s="1"/>
  <c r="Q68" i="8"/>
  <c r="E48" i="13" s="1"/>
  <c r="R67" i="9"/>
  <c r="AC67" i="8" s="1"/>
  <c r="Q67" i="8"/>
  <c r="R66" i="9"/>
  <c r="AC66" i="8" s="1"/>
  <c r="Q66" i="8"/>
  <c r="E17" i="13" s="1"/>
  <c r="R65" i="9"/>
  <c r="AC65" i="8" s="1"/>
  <c r="Q65" i="8"/>
  <c r="E46" i="13" s="1"/>
  <c r="R64" i="9"/>
  <c r="AC64" i="8" s="1"/>
  <c r="D100" i="9"/>
  <c r="E100" i="9"/>
  <c r="Q64" i="8"/>
  <c r="E45" i="13" s="1"/>
  <c r="R63" i="9"/>
  <c r="AC63" i="8" s="1"/>
  <c r="C110" i="9"/>
  <c r="D110" i="9"/>
  <c r="Q63" i="8"/>
  <c r="E44" i="13" s="1"/>
  <c r="R62" i="9"/>
  <c r="AC62" i="8" s="1"/>
  <c r="C85" i="9"/>
  <c r="D85" i="9"/>
  <c r="Q62" i="8"/>
  <c r="R61" i="9"/>
  <c r="AC61" i="8" s="1"/>
  <c r="C108" i="9"/>
  <c r="D108" i="9"/>
  <c r="Q61" i="8"/>
  <c r="B35" i="2" s="1"/>
  <c r="R60" i="9"/>
  <c r="AC60" i="8" s="1"/>
  <c r="C88" i="9"/>
  <c r="E88" i="9"/>
  <c r="Q60" i="8"/>
  <c r="E42" i="13" s="1"/>
  <c r="R59" i="9"/>
  <c r="AC59" i="8" s="1"/>
  <c r="Q59" i="8"/>
  <c r="E41" i="13" s="1"/>
  <c r="R58" i="9"/>
  <c r="AC58" i="8" s="1"/>
  <c r="Q58" i="8"/>
  <c r="R55" i="9"/>
  <c r="AC55" i="8" s="1"/>
  <c r="C123" i="9"/>
  <c r="E123" i="9"/>
  <c r="Q55" i="8"/>
  <c r="E39" i="13" s="1"/>
  <c r="R54" i="9"/>
  <c r="AC54" i="8" s="1"/>
  <c r="Q54" i="8"/>
  <c r="R53" i="9"/>
  <c r="AC53" i="8" s="1"/>
  <c r="Q53" i="8"/>
  <c r="B33" i="2" s="1"/>
  <c r="R52" i="9"/>
  <c r="AC52" i="8" s="1"/>
  <c r="Q52" i="8"/>
  <c r="R50" i="9"/>
  <c r="AC50" i="8" s="1"/>
  <c r="Q50" i="8"/>
  <c r="E37" i="13" s="1"/>
  <c r="R49" i="9"/>
  <c r="AC49" i="8" s="1"/>
  <c r="E93" i="9"/>
  <c r="D97" i="9"/>
  <c r="Q47" i="8"/>
  <c r="E35" i="13" s="1"/>
  <c r="R46" i="9"/>
  <c r="AC46" i="8" s="1"/>
  <c r="Q46" i="8"/>
  <c r="E34" i="13" s="1"/>
  <c r="R44" i="9"/>
  <c r="AC44" i="8" s="1"/>
  <c r="Q44" i="8"/>
  <c r="E14" i="13" s="1"/>
  <c r="R43" i="9"/>
  <c r="AC43" i="8" s="1"/>
  <c r="Q43" i="8"/>
  <c r="R42" i="9"/>
  <c r="AC42" i="8" s="1"/>
  <c r="Q42" i="8"/>
  <c r="R38" i="9"/>
  <c r="AC38" i="8" s="1"/>
  <c r="Q38" i="8"/>
  <c r="R37" i="9"/>
  <c r="AC37" i="8" s="1"/>
  <c r="Q37" i="8"/>
  <c r="D125" i="9"/>
  <c r="E125" i="9"/>
  <c r="R36" i="9"/>
  <c r="AC36" i="8" s="1"/>
  <c r="Q36" i="8"/>
  <c r="D115" i="9"/>
  <c r="E115" i="9"/>
  <c r="R35" i="9"/>
  <c r="AC35" i="8" s="1"/>
  <c r="Q35" i="8"/>
  <c r="R34" i="9"/>
  <c r="AC34" i="8" s="1"/>
  <c r="Q34" i="8"/>
  <c r="R33" i="9"/>
  <c r="AC33" i="8" s="1"/>
  <c r="Q33" i="8"/>
  <c r="R32" i="9"/>
  <c r="AC32" i="8" s="1"/>
  <c r="Q32" i="8"/>
  <c r="R31" i="9"/>
  <c r="AC31" i="8" s="1"/>
  <c r="Q31" i="8"/>
  <c r="R30" i="9"/>
  <c r="AC30" i="8" s="1"/>
  <c r="Q30" i="8"/>
  <c r="R29" i="9"/>
  <c r="AC29" i="8" s="1"/>
  <c r="Q29" i="8"/>
  <c r="R27" i="9"/>
  <c r="AC27" i="8" s="1"/>
  <c r="Q27" i="8"/>
  <c r="R26" i="9"/>
  <c r="AC26" i="8" s="1"/>
  <c r="C122" i="9"/>
  <c r="E122" i="9"/>
  <c r="Q26" i="8"/>
  <c r="R25" i="9"/>
  <c r="AC25" i="8" s="1"/>
  <c r="Q25" i="8"/>
  <c r="E21" i="13" s="1"/>
  <c r="R24" i="9"/>
  <c r="AC24" i="8" s="1"/>
  <c r="Q24" i="8"/>
  <c r="R23" i="9"/>
  <c r="AC23" i="8" s="1"/>
  <c r="Q23" i="8"/>
  <c r="R22" i="9"/>
  <c r="AC22" i="8" s="1"/>
  <c r="Q22" i="8"/>
  <c r="E20" i="13" s="1"/>
  <c r="R21" i="9"/>
  <c r="AC21" i="8" s="1"/>
  <c r="C86" i="9"/>
  <c r="E86" i="9"/>
  <c r="Q21" i="8"/>
  <c r="R20" i="9"/>
  <c r="AC20" i="8" s="1"/>
  <c r="C119" i="9"/>
  <c r="Q20" i="8"/>
  <c r="R19" i="9"/>
  <c r="AC19" i="8" s="1"/>
  <c r="Q19" i="8"/>
  <c r="B32" i="2" s="1"/>
  <c r="R18" i="9"/>
  <c r="AC18" i="8" s="1"/>
  <c r="C117" i="9"/>
  <c r="E117" i="9"/>
  <c r="Q18" i="8"/>
  <c r="R17" i="9"/>
  <c r="AC17" i="8" s="1"/>
  <c r="D107" i="9"/>
  <c r="Q17" i="8"/>
  <c r="R16" i="9"/>
  <c r="AC16" i="8" s="1"/>
  <c r="C90" i="9"/>
  <c r="E90" i="9"/>
  <c r="Q16" i="8"/>
  <c r="R14" i="9"/>
  <c r="AC14" i="8" s="1"/>
  <c r="E118" i="9"/>
  <c r="Q14" i="8"/>
  <c r="R13" i="9"/>
  <c r="AC13" i="8" s="1"/>
  <c r="Q13" i="8"/>
  <c r="R12" i="9"/>
  <c r="AC12" i="8" s="1"/>
  <c r="C92" i="9"/>
  <c r="E92" i="9"/>
  <c r="Q12" i="8"/>
  <c r="R11" i="9"/>
  <c r="AC11" i="8" s="1"/>
  <c r="Q11" i="8"/>
  <c r="R10" i="9"/>
  <c r="AC10" i="8" s="1"/>
  <c r="E120" i="9"/>
  <c r="Q10" i="8"/>
  <c r="R9" i="9"/>
  <c r="AC9" i="8" s="1"/>
  <c r="C109" i="9"/>
  <c r="E109" i="9"/>
  <c r="Q9" i="8"/>
  <c r="R8" i="9"/>
  <c r="AC8" i="8" s="1"/>
  <c r="Q8" i="8"/>
  <c r="R7" i="9"/>
  <c r="AC7" i="8" s="1"/>
  <c r="C95" i="9"/>
  <c r="E95" i="9"/>
  <c r="Q7" i="8"/>
  <c r="R6" i="9"/>
  <c r="AC6" i="8" s="1"/>
  <c r="D114" i="9"/>
  <c r="Q6" i="8"/>
  <c r="R5" i="9"/>
  <c r="AC5" i="8" s="1"/>
  <c r="D113" i="9"/>
  <c r="E113" i="9"/>
  <c r="Q5" i="8"/>
  <c r="Z80" i="8"/>
  <c r="AB80" i="8"/>
  <c r="AJ80" i="8"/>
  <c r="AA80" i="8" s="1"/>
  <c r="Z79" i="8"/>
  <c r="H12" i="13" s="1"/>
  <c r="AB79" i="8"/>
  <c r="Z78" i="8"/>
  <c r="H11" i="13" s="1"/>
  <c r="AB78" i="8"/>
  <c r="Z77" i="8"/>
  <c r="AB77" i="8"/>
  <c r="AJ77" i="8"/>
  <c r="AA77" i="8" s="1"/>
  <c r="Z76" i="8"/>
  <c r="AJ76" i="8"/>
  <c r="AA76" i="8" s="1"/>
  <c r="AB76" i="8"/>
  <c r="Z75" i="8"/>
  <c r="AB75" i="8"/>
  <c r="AJ75" i="8"/>
  <c r="AA75" i="8" s="1"/>
  <c r="Z74" i="8"/>
  <c r="AB74" i="8"/>
  <c r="Z73" i="8"/>
  <c r="H6" i="13" s="1"/>
  <c r="AB73" i="8"/>
  <c r="Z72" i="8"/>
  <c r="AB72" i="8"/>
  <c r="Z71" i="8"/>
  <c r="Z70" i="8"/>
  <c r="Z69" i="8"/>
  <c r="H49" i="13" s="1"/>
  <c r="Z68" i="8"/>
  <c r="H48" i="13" s="1"/>
  <c r="Z67" i="8"/>
  <c r="Z66" i="8"/>
  <c r="H17" i="13" s="1"/>
  <c r="Z65" i="8"/>
  <c r="H46" i="13" s="1"/>
  <c r="Z64" i="8"/>
  <c r="H45" i="13" s="1"/>
  <c r="Z63" i="8"/>
  <c r="H44" i="13" s="1"/>
  <c r="Z62" i="8"/>
  <c r="Z61" i="8"/>
  <c r="F35" i="2" s="1"/>
  <c r="Z60" i="8"/>
  <c r="H42" i="13" s="1"/>
  <c r="Z59" i="8"/>
  <c r="H41" i="13" s="1"/>
  <c r="Z58" i="8"/>
  <c r="Z57" i="8"/>
  <c r="H40" i="13" s="1"/>
  <c r="Z56" i="8"/>
  <c r="F34" i="2" s="1"/>
  <c r="Z55" i="8"/>
  <c r="H39" i="13" s="1"/>
  <c r="Z54" i="8"/>
  <c r="Z53" i="8"/>
  <c r="F33" i="2" s="1"/>
  <c r="Z52" i="8"/>
  <c r="Z51" i="8"/>
  <c r="Z50" i="8"/>
  <c r="H37" i="13" s="1"/>
  <c r="Z49" i="8"/>
  <c r="H36" i="13" s="1"/>
  <c r="Z48" i="8"/>
  <c r="Z47" i="8"/>
  <c r="H35" i="13" s="1"/>
  <c r="Z46" i="8"/>
  <c r="H34" i="13" s="1"/>
  <c r="Z45" i="8"/>
  <c r="H33" i="13" s="1"/>
  <c r="Z44" i="8"/>
  <c r="H14" i="13" s="1"/>
  <c r="Z43" i="8"/>
  <c r="Z42" i="8"/>
  <c r="Z41" i="8"/>
  <c r="H31" i="13" s="1"/>
  <c r="Z40" i="8"/>
  <c r="Z39" i="8"/>
  <c r="Z38" i="8"/>
  <c r="Z37" i="8"/>
  <c r="Z36" i="8"/>
  <c r="Z35" i="8"/>
  <c r="Z34" i="8"/>
  <c r="Z33" i="8"/>
  <c r="Z32" i="8"/>
  <c r="Z31" i="8"/>
  <c r="Z30" i="8"/>
  <c r="Z29" i="8"/>
  <c r="Z28" i="8"/>
  <c r="H23" i="13" s="1"/>
  <c r="Z27" i="8"/>
  <c r="Z26" i="8"/>
  <c r="Z25" i="8"/>
  <c r="H21" i="13" s="1"/>
  <c r="Z24" i="8"/>
  <c r="Z23" i="8"/>
  <c r="Z22" i="8"/>
  <c r="H20" i="13" s="1"/>
  <c r="Z21" i="8"/>
  <c r="Z20" i="8"/>
  <c r="Z19" i="8"/>
  <c r="F32" i="2" s="1"/>
  <c r="Z18" i="8"/>
  <c r="Z17" i="8"/>
  <c r="Z16" i="8"/>
  <c r="Z15" i="8"/>
  <c r="Z14" i="8"/>
  <c r="Z13" i="8"/>
  <c r="Z12" i="8"/>
  <c r="Z11" i="8"/>
  <c r="Z10" i="8"/>
  <c r="Z9" i="8"/>
  <c r="Z8" i="8"/>
  <c r="Z7" i="8"/>
  <c r="Z6" i="8"/>
  <c r="Z5" i="8"/>
  <c r="J52" i="11"/>
  <c r="J51" i="11"/>
  <c r="J50" i="11"/>
  <c r="J49" i="11"/>
  <c r="K49" i="11" s="1"/>
  <c r="L49" i="11" s="1"/>
  <c r="M49" i="11" s="1"/>
  <c r="J48" i="11"/>
  <c r="J47" i="11"/>
  <c r="K47" i="11" s="1"/>
  <c r="L47" i="11" s="1"/>
  <c r="M47" i="11" s="1"/>
  <c r="J46" i="11"/>
  <c r="K46" i="11" s="1"/>
  <c r="L46" i="11" s="1"/>
  <c r="M46" i="11" s="1"/>
  <c r="J45" i="11"/>
  <c r="J44" i="11"/>
  <c r="J43" i="11"/>
  <c r="K43" i="11" s="1"/>
  <c r="L43" i="11" s="1"/>
  <c r="M43" i="11" s="1"/>
  <c r="J41" i="11"/>
  <c r="J40" i="11"/>
  <c r="J39" i="11"/>
  <c r="J38" i="11"/>
  <c r="J37" i="11"/>
  <c r="K37" i="11" s="1"/>
  <c r="L37" i="11" s="1"/>
  <c r="M37" i="11" s="1"/>
  <c r="J36" i="11"/>
  <c r="J35" i="11"/>
  <c r="K35" i="11" s="1"/>
  <c r="L35" i="11" s="1"/>
  <c r="M35" i="11" s="1"/>
  <c r="J34" i="11"/>
  <c r="J33" i="11"/>
  <c r="K33" i="11" s="1"/>
  <c r="L33" i="11" s="1"/>
  <c r="M33" i="11" s="1"/>
  <c r="J32" i="11"/>
  <c r="K32" i="11" s="1"/>
  <c r="L32" i="11" s="1"/>
  <c r="M32" i="11" s="1"/>
  <c r="J30" i="11"/>
  <c r="J29" i="11"/>
  <c r="J28" i="11"/>
  <c r="J27" i="11"/>
  <c r="K27" i="11" s="1"/>
  <c r="L27" i="11" s="1"/>
  <c r="M27" i="11" s="1"/>
  <c r="J26" i="11"/>
  <c r="J25" i="11"/>
  <c r="K25" i="11" s="1"/>
  <c r="L25" i="11" s="1"/>
  <c r="M25" i="11" s="1"/>
  <c r="J24" i="11"/>
  <c r="J23" i="11"/>
  <c r="J22" i="11"/>
  <c r="K22" i="11" s="1"/>
  <c r="L22" i="11" s="1"/>
  <c r="M22" i="11" s="1"/>
  <c r="J21" i="11"/>
  <c r="K21" i="11" s="1"/>
  <c r="L21" i="11" s="1"/>
  <c r="M21" i="11" s="1"/>
  <c r="J20" i="11"/>
  <c r="J19" i="11"/>
  <c r="J18" i="11"/>
  <c r="J16" i="11"/>
  <c r="J15" i="11"/>
  <c r="J14" i="11"/>
  <c r="J13" i="11"/>
  <c r="K13" i="11" s="1"/>
  <c r="L13" i="11" s="1"/>
  <c r="M13" i="11" s="1"/>
  <c r="J12" i="11"/>
  <c r="J11" i="11"/>
  <c r="J10" i="11"/>
  <c r="J9" i="11"/>
  <c r="K9" i="11" s="1"/>
  <c r="L9" i="11" s="1"/>
  <c r="M9" i="11" s="1"/>
  <c r="J8" i="11"/>
  <c r="J7" i="11"/>
  <c r="J6" i="11"/>
  <c r="J5" i="11"/>
  <c r="K5" i="11" s="1"/>
  <c r="L5" i="11" s="1"/>
  <c r="M5" i="11" s="1"/>
  <c r="J42" i="11"/>
  <c r="K42" i="11" s="1"/>
  <c r="L42" i="11" s="1"/>
  <c r="M42" i="11" s="1"/>
  <c r="J17" i="11"/>
  <c r="K17" i="11" s="1"/>
  <c r="L17" i="11" s="1"/>
  <c r="M17" i="11" s="1"/>
  <c r="J31" i="11"/>
  <c r="K31" i="11" s="1"/>
  <c r="L31" i="11" s="1"/>
  <c r="M31" i="11" s="1"/>
  <c r="J68" i="11"/>
  <c r="K68" i="11" s="1"/>
  <c r="L68" i="11" s="1"/>
  <c r="M68" i="11" s="1"/>
  <c r="J67" i="11"/>
  <c r="J66" i="11"/>
  <c r="J65" i="11"/>
  <c r="K65" i="11" s="1"/>
  <c r="L65" i="11" s="1"/>
  <c r="M65" i="11" s="1"/>
  <c r="J64" i="11"/>
  <c r="K64" i="11" s="1"/>
  <c r="L64" i="11" s="1"/>
  <c r="M64" i="11" s="1"/>
  <c r="J63" i="11"/>
  <c r="J62" i="11"/>
  <c r="K62" i="11" s="1"/>
  <c r="L62" i="11" s="1"/>
  <c r="M62" i="11" s="1"/>
  <c r="J61" i="11"/>
  <c r="K61" i="11" s="1"/>
  <c r="L61" i="11" s="1"/>
  <c r="M61" i="11" s="1"/>
  <c r="J60" i="11"/>
  <c r="J59" i="11"/>
  <c r="J58" i="11"/>
  <c r="K58" i="11" s="1"/>
  <c r="L58" i="11" s="1"/>
  <c r="M58" i="11" s="1"/>
  <c r="J57" i="11"/>
  <c r="K57" i="11" s="1"/>
  <c r="L57" i="11" s="1"/>
  <c r="M57" i="11" s="1"/>
  <c r="J56" i="11"/>
  <c r="K56" i="11" s="1"/>
  <c r="L56" i="11" s="1"/>
  <c r="M56" i="11" s="1"/>
  <c r="J55" i="11"/>
  <c r="K55" i="11" s="1"/>
  <c r="L55" i="11" s="1"/>
  <c r="M55" i="11" s="1"/>
  <c r="J54" i="11"/>
  <c r="J53" i="11"/>
  <c r="K53" i="11" s="1"/>
  <c r="L53" i="11" s="1"/>
  <c r="M53" i="11" s="1"/>
  <c r="J9" i="10"/>
  <c r="J8" i="10"/>
  <c r="J7" i="10"/>
  <c r="K7" i="10" s="1"/>
  <c r="L7" i="10" s="1"/>
  <c r="M7" i="10" s="1"/>
  <c r="J6" i="10"/>
  <c r="J5" i="10"/>
  <c r="K5" i="10" s="1"/>
  <c r="L5" i="10" s="1"/>
  <c r="M5" i="10" s="1"/>
  <c r="J56" i="10"/>
  <c r="K56" i="10" s="1"/>
  <c r="L56" i="10" s="1"/>
  <c r="M56" i="10" s="1"/>
  <c r="J57" i="10"/>
  <c r="J58" i="10"/>
  <c r="K58" i="10" s="1"/>
  <c r="L58" i="10" s="1"/>
  <c r="M58" i="10" s="1"/>
  <c r="J59" i="10"/>
  <c r="J60" i="10"/>
  <c r="K60" i="10" s="1"/>
  <c r="L60" i="10" s="1"/>
  <c r="M60" i="10" s="1"/>
  <c r="J61" i="10"/>
  <c r="K61" i="10" s="1"/>
  <c r="L61" i="10" s="1"/>
  <c r="M61" i="10" s="1"/>
  <c r="J62" i="10"/>
  <c r="K62" i="10" s="1"/>
  <c r="L62" i="10" s="1"/>
  <c r="M62" i="10" s="1"/>
  <c r="J63" i="10"/>
  <c r="J64" i="10"/>
  <c r="J65" i="10"/>
  <c r="J66" i="10"/>
  <c r="J67" i="10"/>
  <c r="K67" i="10" s="1"/>
  <c r="L67" i="10" s="1"/>
  <c r="M67" i="10" s="1"/>
  <c r="J68" i="10"/>
  <c r="J69" i="10"/>
  <c r="J70" i="10"/>
  <c r="K70" i="10" s="1"/>
  <c r="L70" i="10" s="1"/>
  <c r="M70" i="10" s="1"/>
  <c r="J71" i="10"/>
  <c r="J72" i="10"/>
  <c r="J73" i="10"/>
  <c r="K73" i="10" s="1"/>
  <c r="L73" i="10" s="1"/>
  <c r="M73" i="10" s="1"/>
  <c r="J74" i="10"/>
  <c r="J75" i="10"/>
  <c r="J76" i="10"/>
  <c r="K76" i="10" s="1"/>
  <c r="L76" i="10" s="1"/>
  <c r="M76" i="10" s="1"/>
  <c r="J77" i="10"/>
  <c r="J78" i="10"/>
  <c r="J79" i="10"/>
  <c r="K79" i="10" s="1"/>
  <c r="L79" i="10" s="1"/>
  <c r="M79" i="10" s="1"/>
  <c r="J80" i="10"/>
  <c r="J81" i="10"/>
  <c r="K81" i="10" s="1"/>
  <c r="L81" i="10" s="1"/>
  <c r="M81" i="10" s="1"/>
  <c r="J82" i="10"/>
  <c r="K82" i="10" s="1"/>
  <c r="L82" i="10" s="1"/>
  <c r="M82" i="10" s="1"/>
  <c r="J83" i="10"/>
  <c r="J84" i="10"/>
  <c r="J22" i="10"/>
  <c r="J45" i="10"/>
  <c r="J87" i="10"/>
  <c r="J88" i="10"/>
  <c r="J89" i="10"/>
  <c r="K89" i="10" s="1"/>
  <c r="L89" i="10" s="1"/>
  <c r="M89" i="10" s="1"/>
  <c r="J90" i="10"/>
  <c r="K90" i="10" s="1"/>
  <c r="L90" i="10" s="1"/>
  <c r="M90" i="10" s="1"/>
  <c r="J91" i="10"/>
  <c r="K91" i="10" s="1"/>
  <c r="L91" i="10" s="1"/>
  <c r="M91" i="10" s="1"/>
  <c r="J23" i="10"/>
  <c r="J24" i="10"/>
  <c r="K24" i="10" s="1"/>
  <c r="L24" i="10" s="1"/>
  <c r="M24" i="10" s="1"/>
  <c r="J25" i="10"/>
  <c r="K25" i="10" s="1"/>
  <c r="L25" i="10" s="1"/>
  <c r="M25" i="10" s="1"/>
  <c r="J26" i="10"/>
  <c r="J28" i="10"/>
  <c r="K28" i="10" s="1"/>
  <c r="L28" i="10" s="1"/>
  <c r="M28" i="10" s="1"/>
  <c r="J29" i="10"/>
  <c r="K29" i="10" s="1"/>
  <c r="L29" i="10" s="1"/>
  <c r="M29" i="10" s="1"/>
  <c r="J30" i="10"/>
  <c r="K30" i="10" s="1"/>
  <c r="L30" i="10" s="1"/>
  <c r="M30" i="10" s="1"/>
  <c r="J31" i="10"/>
  <c r="K31" i="10" s="1"/>
  <c r="L31" i="10" s="1"/>
  <c r="M31" i="10" s="1"/>
  <c r="J46" i="10"/>
  <c r="K46" i="10" s="1"/>
  <c r="L46" i="10" s="1"/>
  <c r="M46" i="10" s="1"/>
  <c r="J32" i="10"/>
  <c r="J33" i="10"/>
  <c r="J34" i="10"/>
  <c r="K34" i="10" s="1"/>
  <c r="L34" i="10" s="1"/>
  <c r="M34" i="10" s="1"/>
  <c r="J35" i="10"/>
  <c r="J51" i="10"/>
  <c r="J52" i="10"/>
  <c r="J53" i="10"/>
  <c r="J36" i="10"/>
  <c r="J37" i="10"/>
  <c r="K37" i="10" s="1"/>
  <c r="L37" i="10" s="1"/>
  <c r="M37" i="10" s="1"/>
  <c r="J38" i="10"/>
  <c r="J27" i="10"/>
  <c r="J39" i="10"/>
  <c r="J40" i="10"/>
  <c r="K40" i="10" s="1"/>
  <c r="L40" i="10" s="1"/>
  <c r="M40" i="10" s="1"/>
  <c r="J41" i="10"/>
  <c r="J42" i="10"/>
  <c r="J43" i="10"/>
  <c r="K43" i="10" s="1"/>
  <c r="L43" i="10" s="1"/>
  <c r="M43" i="10" s="1"/>
  <c r="J44" i="10"/>
  <c r="J11" i="10"/>
  <c r="J47" i="10"/>
  <c r="J48" i="10"/>
  <c r="J49" i="10"/>
  <c r="K49" i="10" s="1"/>
  <c r="L49" i="10" s="1"/>
  <c r="M49" i="10" s="1"/>
  <c r="J50" i="10"/>
  <c r="K50" i="10" s="1"/>
  <c r="L50" i="10" s="1"/>
  <c r="M50" i="10" s="1"/>
  <c r="J19" i="10"/>
  <c r="J20" i="10"/>
  <c r="J21" i="10"/>
  <c r="J86" i="10"/>
  <c r="J18" i="10"/>
  <c r="J17" i="10"/>
  <c r="K17" i="10" s="1"/>
  <c r="L17" i="10" s="1"/>
  <c r="M17" i="10" s="1"/>
  <c r="J16" i="10"/>
  <c r="J15" i="10"/>
  <c r="J14" i="10"/>
  <c r="K14" i="10" s="1"/>
  <c r="L14" i="10" s="1"/>
  <c r="M14" i="10" s="1"/>
  <c r="J13" i="10"/>
  <c r="J12" i="10"/>
  <c r="K12" i="10" s="1"/>
  <c r="L12" i="10" s="1"/>
  <c r="M12" i="10" s="1"/>
  <c r="J10" i="10"/>
  <c r="J54" i="10"/>
  <c r="J55" i="10"/>
  <c r="K55" i="10" s="1"/>
  <c r="L55" i="10" s="1"/>
  <c r="M55" i="10" s="1"/>
  <c r="J85" i="10"/>
  <c r="Q79" i="9"/>
  <c r="Q28" i="9"/>
  <c r="Q15" i="9"/>
  <c r="E89" i="9" s="1"/>
  <c r="Q78" i="9"/>
  <c r="Q48" i="9"/>
  <c r="Q57" i="9" l="1"/>
  <c r="Q56" i="9"/>
  <c r="Q51" i="9"/>
  <c r="Q40" i="9"/>
  <c r="Q39" i="9"/>
  <c r="Q45" i="9"/>
  <c r="Q41" i="9"/>
  <c r="K98" i="11"/>
  <c r="L98" i="11" s="1"/>
  <c r="M98" i="11" s="1"/>
  <c r="K97" i="11"/>
  <c r="L97" i="11" s="1"/>
  <c r="M97" i="11" s="1"/>
  <c r="K95" i="11"/>
  <c r="L95" i="11" s="1"/>
  <c r="M95" i="11" s="1"/>
  <c r="K94" i="11"/>
  <c r="L94" i="11" s="1"/>
  <c r="M94" i="11" s="1"/>
  <c r="K92" i="11"/>
  <c r="L92" i="11" s="1"/>
  <c r="M92" i="11" s="1"/>
  <c r="K91" i="11"/>
  <c r="L91" i="11" s="1"/>
  <c r="M91" i="11" s="1"/>
  <c r="K89" i="11"/>
  <c r="L89" i="11" s="1"/>
  <c r="M89" i="11" s="1"/>
  <c r="K88" i="11"/>
  <c r="L88" i="11" s="1"/>
  <c r="M88" i="11" s="1"/>
  <c r="K86" i="11"/>
  <c r="L86" i="11" s="1"/>
  <c r="M86" i="11" s="1"/>
  <c r="K85" i="11"/>
  <c r="L85" i="11" s="1"/>
  <c r="M85" i="11" s="1"/>
  <c r="K18" i="11"/>
  <c r="L18" i="11" s="1"/>
  <c r="M18" i="11" s="1"/>
  <c r="K83" i="11"/>
  <c r="L83" i="11" s="1"/>
  <c r="M83" i="11" s="1"/>
  <c r="K82" i="11"/>
  <c r="L82" i="11" s="1"/>
  <c r="M82" i="11" s="1"/>
  <c r="K81" i="11"/>
  <c r="L81" i="11" s="1"/>
  <c r="M81" i="11" s="1"/>
  <c r="K79" i="11"/>
  <c r="L79" i="11" s="1"/>
  <c r="M79" i="11" s="1"/>
  <c r="K77" i="11"/>
  <c r="L77" i="11" s="1"/>
  <c r="M77" i="11" s="1"/>
  <c r="K75" i="11"/>
  <c r="L75" i="11" s="1"/>
  <c r="M75" i="11" s="1"/>
  <c r="K74" i="11"/>
  <c r="L74" i="11" s="1"/>
  <c r="M74" i="11" s="1"/>
  <c r="K72" i="11"/>
  <c r="L72" i="11" s="1"/>
  <c r="M72" i="11" s="1"/>
  <c r="K71" i="11"/>
  <c r="L71" i="11" s="1"/>
  <c r="M71" i="11" s="1"/>
  <c r="AJ71" i="8"/>
  <c r="AJ70" i="8"/>
  <c r="K48" i="10"/>
  <c r="L48" i="10" s="1"/>
  <c r="M48" i="10" s="1"/>
  <c r="K20" i="10"/>
  <c r="L20" i="10" s="1"/>
  <c r="M20" i="10" s="1"/>
  <c r="K21" i="10"/>
  <c r="L21" i="10" s="1"/>
  <c r="M21" i="10" s="1"/>
  <c r="K86" i="10"/>
  <c r="L86" i="10" s="1"/>
  <c r="M86" i="10" s="1"/>
  <c r="K18" i="10"/>
  <c r="L18" i="10" s="1"/>
  <c r="M18" i="10" s="1"/>
  <c r="K15" i="10"/>
  <c r="L15" i="10" s="1"/>
  <c r="M15" i="10" s="1"/>
  <c r="K13" i="10"/>
  <c r="L13" i="10" s="1"/>
  <c r="M13" i="10" s="1"/>
  <c r="K10" i="10"/>
  <c r="L10" i="10" s="1"/>
  <c r="M10" i="10" s="1"/>
  <c r="K54" i="10"/>
  <c r="L54" i="10" s="1"/>
  <c r="M54" i="10" s="1"/>
  <c r="K85" i="10"/>
  <c r="L85" i="10" s="1"/>
  <c r="M85" i="10" s="1"/>
  <c r="K26" i="10"/>
  <c r="L26" i="10" s="1"/>
  <c r="M26" i="10" s="1"/>
  <c r="D93" i="9"/>
  <c r="Q49" i="8"/>
  <c r="E36" i="13" s="1"/>
  <c r="R47" i="9"/>
  <c r="AC47" i="8" s="1"/>
  <c r="E97" i="9"/>
  <c r="F6" i="13"/>
  <c r="AJ73" i="8"/>
  <c r="AA73" i="8" s="1"/>
  <c r="C105" i="9"/>
  <c r="D105" i="9"/>
  <c r="H37" i="6"/>
  <c r="F13" i="13"/>
  <c r="G37" i="6"/>
  <c r="E13" i="13"/>
  <c r="F10" i="13"/>
  <c r="H39" i="6"/>
  <c r="G39" i="6"/>
  <c r="E10" i="13"/>
  <c r="H45" i="6"/>
  <c r="F9" i="13"/>
  <c r="E9" i="13"/>
  <c r="G45" i="6"/>
  <c r="H44" i="6"/>
  <c r="F8" i="13"/>
  <c r="E8" i="13"/>
  <c r="G44" i="6"/>
  <c r="F7" i="13"/>
  <c r="H43" i="6"/>
  <c r="E7" i="13"/>
  <c r="G43" i="6"/>
  <c r="F5" i="13"/>
  <c r="H31" i="6"/>
  <c r="G31" i="6"/>
  <c r="E5" i="13"/>
  <c r="F51" i="13"/>
  <c r="H24" i="6"/>
  <c r="E51" i="13"/>
  <c r="G24" i="6"/>
  <c r="H27" i="6"/>
  <c r="F50" i="13"/>
  <c r="E50" i="13"/>
  <c r="G27" i="6"/>
  <c r="H23" i="6"/>
  <c r="F47" i="13"/>
  <c r="E47" i="13"/>
  <c r="G23" i="6"/>
  <c r="F43" i="13"/>
  <c r="H52" i="6"/>
  <c r="G52" i="6"/>
  <c r="E43" i="13"/>
  <c r="H22" i="6"/>
  <c r="F16" i="13"/>
  <c r="E16" i="13"/>
  <c r="G22" i="6"/>
  <c r="F15" i="13"/>
  <c r="H26" i="6"/>
  <c r="G26" i="6"/>
  <c r="E15" i="13"/>
  <c r="B24" i="2"/>
  <c r="B32" i="1"/>
  <c r="B30" i="1"/>
  <c r="B22" i="2"/>
  <c r="F32" i="13"/>
  <c r="H21" i="6"/>
  <c r="E32" i="13"/>
  <c r="G21" i="6"/>
  <c r="H53" i="6"/>
  <c r="F29" i="13"/>
  <c r="G53" i="6"/>
  <c r="E29" i="13"/>
  <c r="H41" i="6"/>
  <c r="E29" i="2"/>
  <c r="B29" i="2"/>
  <c r="G41" i="6"/>
  <c r="E28" i="2"/>
  <c r="H40" i="6"/>
  <c r="B28" i="2"/>
  <c r="G40" i="6"/>
  <c r="F28" i="13"/>
  <c r="H30" i="6"/>
  <c r="G30" i="6"/>
  <c r="E28" i="13"/>
  <c r="H19" i="6"/>
  <c r="F27" i="13"/>
  <c r="E27" i="13"/>
  <c r="G19" i="6"/>
  <c r="E27" i="2"/>
  <c r="H48" i="6"/>
  <c r="G48" i="6"/>
  <c r="B27" i="2"/>
  <c r="F26" i="13"/>
  <c r="H20" i="6"/>
  <c r="E26" i="13"/>
  <c r="G20" i="6"/>
  <c r="B19" i="1"/>
  <c r="B11" i="2"/>
  <c r="F25" i="13"/>
  <c r="H29" i="6"/>
  <c r="E25" i="13"/>
  <c r="G29" i="6"/>
  <c r="F24" i="13"/>
  <c r="H18" i="6"/>
  <c r="G18" i="6"/>
  <c r="E24" i="13"/>
  <c r="B20" i="2"/>
  <c r="B28" i="1"/>
  <c r="H42" i="6"/>
  <c r="F22" i="13"/>
  <c r="E22" i="13"/>
  <c r="G42" i="6"/>
  <c r="B19" i="2"/>
  <c r="B27" i="1"/>
  <c r="B18" i="1"/>
  <c r="B10" i="2"/>
  <c r="H49" i="6"/>
  <c r="F19" i="13"/>
  <c r="G49" i="6"/>
  <c r="E19" i="13"/>
  <c r="F18" i="13"/>
  <c r="H50" i="6"/>
  <c r="E18" i="13"/>
  <c r="G50" i="6"/>
  <c r="H47" i="6"/>
  <c r="E31" i="2"/>
  <c r="B31" i="2"/>
  <c r="G47" i="6"/>
  <c r="E9" i="2"/>
  <c r="H25" i="6"/>
  <c r="B9" i="2"/>
  <c r="B17" i="1"/>
  <c r="G25" i="6"/>
  <c r="H36" i="6"/>
  <c r="E30" i="2"/>
  <c r="B30" i="2"/>
  <c r="G36" i="6"/>
  <c r="B17" i="2"/>
  <c r="B25" i="1"/>
  <c r="B7" i="2"/>
  <c r="B15" i="1"/>
  <c r="E16" i="2"/>
  <c r="H34" i="6"/>
  <c r="B16" i="2"/>
  <c r="B24" i="1"/>
  <c r="G34" i="6"/>
  <c r="E8" i="2"/>
  <c r="H33" i="6"/>
  <c r="B16" i="1"/>
  <c r="B8" i="2"/>
  <c r="G33" i="6"/>
  <c r="B23" i="1"/>
  <c r="B15" i="2"/>
  <c r="E14" i="2"/>
  <c r="H28" i="6"/>
  <c r="G28" i="6"/>
  <c r="B22" i="1"/>
  <c r="B14" i="2"/>
  <c r="E13" i="2"/>
  <c r="H17" i="6"/>
  <c r="G17" i="6"/>
  <c r="B21" i="1"/>
  <c r="B13" i="2"/>
  <c r="E12" i="2"/>
  <c r="H38" i="6"/>
  <c r="B12" i="2"/>
  <c r="G38" i="6"/>
  <c r="B20" i="1"/>
  <c r="B6" i="2"/>
  <c r="B14" i="1"/>
  <c r="E5" i="2"/>
  <c r="H46" i="6"/>
  <c r="B13" i="1"/>
  <c r="G46" i="6"/>
  <c r="B5" i="2"/>
  <c r="J37" i="6"/>
  <c r="H13" i="13"/>
  <c r="AD80" i="8"/>
  <c r="G13" i="13"/>
  <c r="S80" i="9"/>
  <c r="I37" i="6"/>
  <c r="AD79" i="8"/>
  <c r="G12" i="13"/>
  <c r="S79" i="9"/>
  <c r="F111" i="9" s="1"/>
  <c r="AD78" i="8"/>
  <c r="G11" i="13"/>
  <c r="S78" i="9"/>
  <c r="F112" i="9" s="1"/>
  <c r="H10" i="13"/>
  <c r="J39" i="6"/>
  <c r="G10" i="13"/>
  <c r="AD77" i="8"/>
  <c r="S77" i="9"/>
  <c r="I39" i="6"/>
  <c r="H9" i="13"/>
  <c r="J45" i="6"/>
  <c r="AD76" i="8"/>
  <c r="I45" i="6"/>
  <c r="S76" i="9"/>
  <c r="G9" i="13"/>
  <c r="H8" i="13"/>
  <c r="J44" i="6"/>
  <c r="AD75" i="8"/>
  <c r="S75" i="9"/>
  <c r="I44" i="6"/>
  <c r="G8" i="13"/>
  <c r="H7" i="13"/>
  <c r="J43" i="6"/>
  <c r="S74" i="9"/>
  <c r="G7" i="13"/>
  <c r="I43" i="6"/>
  <c r="AD74" i="8"/>
  <c r="S73" i="9"/>
  <c r="G6" i="13"/>
  <c r="AD73" i="8"/>
  <c r="H5" i="13"/>
  <c r="J31" i="6"/>
  <c r="AD72" i="8"/>
  <c r="S72" i="9"/>
  <c r="G5" i="13"/>
  <c r="I31" i="6"/>
  <c r="J24" i="6"/>
  <c r="H51" i="13"/>
  <c r="J27" i="6"/>
  <c r="H50" i="13"/>
  <c r="J23" i="6"/>
  <c r="H47" i="13"/>
  <c r="H43" i="13"/>
  <c r="J52" i="6"/>
  <c r="H16" i="13"/>
  <c r="J22" i="6"/>
  <c r="J26" i="6"/>
  <c r="H15" i="13"/>
  <c r="F24" i="2"/>
  <c r="D32" i="1"/>
  <c r="J32" i="6"/>
  <c r="H38" i="13"/>
  <c r="D31" i="1"/>
  <c r="F23" i="2"/>
  <c r="F22" i="2"/>
  <c r="D30" i="1"/>
  <c r="H32" i="13"/>
  <c r="J21" i="6"/>
  <c r="D29" i="1"/>
  <c r="F21" i="2"/>
  <c r="H30" i="13"/>
  <c r="J51" i="6"/>
  <c r="H29" i="13"/>
  <c r="J53" i="6"/>
  <c r="J41" i="6"/>
  <c r="F29" i="2"/>
  <c r="F28" i="2"/>
  <c r="J40" i="6"/>
  <c r="J30" i="6"/>
  <c r="H28" i="13"/>
  <c r="H27" i="13"/>
  <c r="J19" i="6"/>
  <c r="F27" i="2"/>
  <c r="J48" i="6"/>
  <c r="H26" i="13"/>
  <c r="J20" i="6"/>
  <c r="F11" i="2"/>
  <c r="D19" i="1"/>
  <c r="J29" i="6"/>
  <c r="H25" i="13"/>
  <c r="J18" i="6"/>
  <c r="H24" i="13"/>
  <c r="F20" i="2"/>
  <c r="D28" i="1"/>
  <c r="J42" i="6"/>
  <c r="H22" i="13"/>
  <c r="F19" i="2"/>
  <c r="D27" i="1"/>
  <c r="D18" i="1"/>
  <c r="F10" i="2"/>
  <c r="H19" i="13"/>
  <c r="J49" i="6"/>
  <c r="J50" i="6"/>
  <c r="H18" i="13"/>
  <c r="F31" i="2"/>
  <c r="J47" i="6"/>
  <c r="D17" i="1"/>
  <c r="F9" i="2"/>
  <c r="J25" i="6"/>
  <c r="F30" i="2"/>
  <c r="J36" i="6"/>
  <c r="F18" i="2"/>
  <c r="J35" i="6"/>
  <c r="D26" i="1"/>
  <c r="F17" i="2"/>
  <c r="D25" i="1"/>
  <c r="F7" i="2"/>
  <c r="D15" i="1"/>
  <c r="J34" i="6"/>
  <c r="F16" i="2"/>
  <c r="D24" i="1"/>
  <c r="J33" i="6"/>
  <c r="D16" i="1"/>
  <c r="F8" i="2"/>
  <c r="F15" i="2"/>
  <c r="D23" i="1"/>
  <c r="F14" i="2"/>
  <c r="J28" i="6"/>
  <c r="D22" i="1"/>
  <c r="F13" i="2"/>
  <c r="J17" i="6"/>
  <c r="D21" i="1"/>
  <c r="J38" i="6"/>
  <c r="D20" i="1"/>
  <c r="F12" i="2"/>
  <c r="D14" i="1"/>
  <c r="F6" i="2"/>
  <c r="J46" i="6"/>
  <c r="D13" i="1"/>
  <c r="F5" i="2"/>
  <c r="AG5" i="8"/>
  <c r="K69" i="11"/>
  <c r="L69" i="11" s="1"/>
  <c r="M69" i="11" s="1"/>
  <c r="K67" i="11"/>
  <c r="L67" i="11" s="1"/>
  <c r="M67" i="11" s="1"/>
  <c r="AE5" i="8"/>
  <c r="E111" i="9"/>
  <c r="D111" i="9"/>
  <c r="C111" i="9"/>
  <c r="G111" i="9" s="1"/>
  <c r="AA79" i="9"/>
  <c r="Z79" i="9"/>
  <c r="Y79" i="9"/>
  <c r="X79" i="9"/>
  <c r="V79" i="9"/>
  <c r="Q79" i="8"/>
  <c r="E12" i="13" s="1"/>
  <c r="W79" i="9"/>
  <c r="R79" i="9"/>
  <c r="AC79" i="8" s="1"/>
  <c r="Q28" i="8"/>
  <c r="E23" i="13" s="1"/>
  <c r="R28" i="9"/>
  <c r="AC28" i="8" s="1"/>
  <c r="Q15" i="8"/>
  <c r="R15" i="9"/>
  <c r="AC15" i="8" s="1"/>
  <c r="Q78" i="8"/>
  <c r="E11" i="13" s="1"/>
  <c r="AA78" i="9"/>
  <c r="Z78" i="9"/>
  <c r="Y78" i="9"/>
  <c r="X78" i="9"/>
  <c r="W78" i="9"/>
  <c r="V78" i="9"/>
  <c r="E112" i="9"/>
  <c r="D112" i="9"/>
  <c r="C112" i="9"/>
  <c r="G112" i="9" s="1"/>
  <c r="R78" i="9"/>
  <c r="AC78" i="8" s="1"/>
  <c r="Q48" i="8"/>
  <c r="R48" i="9"/>
  <c r="AC48" i="8" s="1"/>
  <c r="K48" i="11"/>
  <c r="L48" i="11" s="1"/>
  <c r="M48" i="11" s="1"/>
  <c r="K45" i="11"/>
  <c r="L45" i="11" s="1"/>
  <c r="M45" i="11" s="1"/>
  <c r="K44" i="11"/>
  <c r="L44" i="11" s="1"/>
  <c r="M44" i="11" s="1"/>
  <c r="K41" i="11"/>
  <c r="L41" i="11" s="1"/>
  <c r="M41" i="11" s="1"/>
  <c r="K40" i="11"/>
  <c r="L40" i="11" s="1"/>
  <c r="M40" i="11" s="1"/>
  <c r="K39" i="11"/>
  <c r="L39" i="11" s="1"/>
  <c r="M39" i="11" s="1"/>
  <c r="K38" i="11"/>
  <c r="L38" i="11" s="1"/>
  <c r="M38" i="11" s="1"/>
  <c r="K36" i="11"/>
  <c r="L36" i="11" s="1"/>
  <c r="M36" i="11" s="1"/>
  <c r="K34" i="11"/>
  <c r="L34" i="11" s="1"/>
  <c r="M34" i="11" s="1"/>
  <c r="K30" i="11"/>
  <c r="L30" i="11" s="1"/>
  <c r="M30" i="11" s="1"/>
  <c r="K29" i="11"/>
  <c r="L29" i="11" s="1"/>
  <c r="M29" i="11" s="1"/>
  <c r="K28" i="11"/>
  <c r="L28" i="11" s="1"/>
  <c r="M28" i="11" s="1"/>
  <c r="K26" i="11"/>
  <c r="L26" i="11" s="1"/>
  <c r="M26" i="11" s="1"/>
  <c r="K24" i="11"/>
  <c r="L24" i="11" s="1"/>
  <c r="M24" i="11" s="1"/>
  <c r="K23" i="11"/>
  <c r="L23" i="11" s="1"/>
  <c r="M23" i="11" s="1"/>
  <c r="K20" i="11"/>
  <c r="L20" i="11" s="1"/>
  <c r="M20" i="11" s="1"/>
  <c r="K19" i="11"/>
  <c r="L19" i="11" s="1"/>
  <c r="M19" i="11" s="1"/>
  <c r="K16" i="11"/>
  <c r="L16" i="11" s="1"/>
  <c r="M16" i="11" s="1"/>
  <c r="K15" i="11"/>
  <c r="L15" i="11" s="1"/>
  <c r="M15" i="11" s="1"/>
  <c r="K14" i="11"/>
  <c r="L14" i="11" s="1"/>
  <c r="M14" i="11" s="1"/>
  <c r="K66" i="11"/>
  <c r="L66" i="11" s="1"/>
  <c r="M66" i="11" s="1"/>
  <c r="K63" i="11"/>
  <c r="L63" i="11" s="1"/>
  <c r="M63" i="11" s="1"/>
  <c r="K59" i="11"/>
  <c r="L59" i="11" s="1"/>
  <c r="M59" i="11" s="1"/>
  <c r="K54" i="11"/>
  <c r="L54" i="11" s="1"/>
  <c r="M54" i="11" s="1"/>
  <c r="K6" i="10"/>
  <c r="L6" i="10" s="1"/>
  <c r="M6" i="10" s="1"/>
  <c r="K57" i="10"/>
  <c r="L57" i="10" s="1"/>
  <c r="M57" i="10" s="1"/>
  <c r="K59" i="10"/>
  <c r="L59" i="10" s="1"/>
  <c r="M59" i="10" s="1"/>
  <c r="K80" i="10"/>
  <c r="L80" i="10" s="1"/>
  <c r="M80" i="10" s="1"/>
  <c r="K83" i="10"/>
  <c r="L83" i="10" s="1"/>
  <c r="M83" i="10" s="1"/>
  <c r="K45" i="10"/>
  <c r="L45" i="10" s="1"/>
  <c r="M45" i="10" s="1"/>
  <c r="K87" i="10"/>
  <c r="L87" i="10" s="1"/>
  <c r="M87" i="10" s="1"/>
  <c r="K16" i="10"/>
  <c r="L16" i="10" s="1"/>
  <c r="M16" i="10" s="1"/>
  <c r="K52" i="11"/>
  <c r="L52" i="11" s="1"/>
  <c r="M52" i="11" s="1"/>
  <c r="K51" i="11"/>
  <c r="L51" i="11" s="1"/>
  <c r="M51" i="11" s="1"/>
  <c r="K50" i="11"/>
  <c r="L50" i="11" s="1"/>
  <c r="M50" i="11" s="1"/>
  <c r="K8" i="10"/>
  <c r="L8" i="10" s="1"/>
  <c r="M8" i="10" s="1"/>
  <c r="K84" i="10"/>
  <c r="L84" i="10" s="1"/>
  <c r="M84" i="10" s="1"/>
  <c r="K23" i="10"/>
  <c r="L23" i="10" s="1"/>
  <c r="M23" i="10" s="1"/>
  <c r="K12" i="11"/>
  <c r="L12" i="11" s="1"/>
  <c r="M12" i="11" s="1"/>
  <c r="K11" i="11"/>
  <c r="L11" i="11" s="1"/>
  <c r="M11" i="11" s="1"/>
  <c r="K10" i="11"/>
  <c r="L10" i="11" s="1"/>
  <c r="M10" i="11" s="1"/>
  <c r="K8" i="11"/>
  <c r="L8" i="11" s="1"/>
  <c r="M8" i="11" s="1"/>
  <c r="K7" i="11"/>
  <c r="L7" i="11" s="1"/>
  <c r="M7" i="11" s="1"/>
  <c r="K6" i="11"/>
  <c r="L6" i="11" s="1"/>
  <c r="M6" i="11" s="1"/>
  <c r="K60" i="11"/>
  <c r="L60" i="11" s="1"/>
  <c r="M60" i="11" s="1"/>
  <c r="K9" i="10"/>
  <c r="L9" i="10" s="1"/>
  <c r="M9" i="10" s="1"/>
  <c r="K22" i="10"/>
  <c r="L22" i="10" s="1"/>
  <c r="M22" i="10" s="1"/>
  <c r="K88" i="10"/>
  <c r="L88" i="10" s="1"/>
  <c r="M88" i="10" s="1"/>
  <c r="K63" i="10"/>
  <c r="L63" i="10" s="1"/>
  <c r="M63" i="10" s="1"/>
  <c r="K64" i="10"/>
  <c r="L64" i="10" s="1"/>
  <c r="M64" i="10" s="1"/>
  <c r="K65" i="10"/>
  <c r="L65" i="10" s="1"/>
  <c r="M65" i="10" s="1"/>
  <c r="K66" i="10"/>
  <c r="L66" i="10" s="1"/>
  <c r="M66" i="10" s="1"/>
  <c r="K68" i="10"/>
  <c r="L68" i="10" s="1"/>
  <c r="M68" i="10" s="1"/>
  <c r="K69" i="10"/>
  <c r="L69" i="10" s="1"/>
  <c r="M69" i="10" s="1"/>
  <c r="K71" i="10"/>
  <c r="L71" i="10" s="1"/>
  <c r="M71" i="10" s="1"/>
  <c r="K72" i="10"/>
  <c r="L72" i="10" s="1"/>
  <c r="M72" i="10" s="1"/>
  <c r="K74" i="10"/>
  <c r="L74" i="10" s="1"/>
  <c r="M74" i="10" s="1"/>
  <c r="K75" i="10"/>
  <c r="L75" i="10" s="1"/>
  <c r="M75" i="10" s="1"/>
  <c r="K77" i="10"/>
  <c r="L77" i="10" s="1"/>
  <c r="M77" i="10" s="1"/>
  <c r="K78" i="10"/>
  <c r="L78" i="10" s="1"/>
  <c r="M78" i="10" s="1"/>
  <c r="K19" i="10"/>
  <c r="L19" i="10" s="1"/>
  <c r="M19" i="10" s="1"/>
  <c r="K32" i="10"/>
  <c r="L32" i="10" s="1"/>
  <c r="M32" i="10" s="1"/>
  <c r="K33" i="10"/>
  <c r="L33" i="10" s="1"/>
  <c r="M33" i="10" s="1"/>
  <c r="K35" i="10"/>
  <c r="L35" i="10" s="1"/>
  <c r="M35" i="10" s="1"/>
  <c r="K51" i="10"/>
  <c r="L51" i="10" s="1"/>
  <c r="M51" i="10" s="1"/>
  <c r="K52" i="10"/>
  <c r="L52" i="10" s="1"/>
  <c r="M52" i="10" s="1"/>
  <c r="K53" i="10"/>
  <c r="L53" i="10" s="1"/>
  <c r="M53" i="10" s="1"/>
  <c r="K36" i="10"/>
  <c r="L36" i="10" s="1"/>
  <c r="M36" i="10" s="1"/>
  <c r="K38" i="10"/>
  <c r="L38" i="10" s="1"/>
  <c r="M38" i="10" s="1"/>
  <c r="K27" i="10"/>
  <c r="L27" i="10" s="1"/>
  <c r="M27" i="10" s="1"/>
  <c r="K39" i="10"/>
  <c r="L39" i="10" s="1"/>
  <c r="M39" i="10" s="1"/>
  <c r="K41" i="10"/>
  <c r="L41" i="10" s="1"/>
  <c r="M41" i="10" s="1"/>
  <c r="K42" i="10"/>
  <c r="L42" i="10" s="1"/>
  <c r="M42" i="10" s="1"/>
  <c r="K44" i="10"/>
  <c r="L44" i="10" s="1"/>
  <c r="M44" i="10" s="1"/>
  <c r="K11" i="10"/>
  <c r="L11" i="10" s="1"/>
  <c r="M11" i="10" s="1"/>
  <c r="K47" i="10"/>
  <c r="L47" i="10" s="1"/>
  <c r="M47" i="10" s="1"/>
  <c r="F49" i="13"/>
  <c r="AJ69" i="8"/>
  <c r="F48" i="13"/>
  <c r="AJ68" i="8"/>
  <c r="AJ67" i="8"/>
  <c r="F17" i="13"/>
  <c r="AJ66" i="8"/>
  <c r="AA66" i="8" s="1"/>
  <c r="AB66" i="8"/>
  <c r="F46" i="13"/>
  <c r="AJ65" i="8"/>
  <c r="F45" i="13"/>
  <c r="AJ64" i="8"/>
  <c r="F44" i="13"/>
  <c r="AJ63" i="8"/>
  <c r="AJ62" i="8"/>
  <c r="E35" i="2"/>
  <c r="AJ61" i="8"/>
  <c r="F42" i="13"/>
  <c r="AJ60" i="8"/>
  <c r="F41" i="13"/>
  <c r="AJ59" i="8"/>
  <c r="AJ58" i="8"/>
  <c r="AA58" i="8" s="1"/>
  <c r="AB58" i="8"/>
  <c r="F39" i="13"/>
  <c r="AJ55" i="8"/>
  <c r="AB54" i="8"/>
  <c r="AJ54" i="8"/>
  <c r="AA54" i="8" s="1"/>
  <c r="E33" i="2"/>
  <c r="AJ53" i="8"/>
  <c r="E24" i="2"/>
  <c r="AJ52" i="8"/>
  <c r="F37" i="13"/>
  <c r="AJ50" i="8"/>
  <c r="F36" i="13"/>
  <c r="AJ49" i="8"/>
  <c r="F34" i="13"/>
  <c r="AJ46" i="8"/>
  <c r="F14" i="13"/>
  <c r="AJ44" i="8"/>
  <c r="AA44" i="8" s="1"/>
  <c r="AB44" i="8"/>
  <c r="E22" i="2"/>
  <c r="AJ43" i="8"/>
  <c r="AJ42" i="8"/>
  <c r="AJ38" i="8"/>
  <c r="AJ37" i="8"/>
  <c r="AJ36" i="8"/>
  <c r="AJ35" i="8"/>
  <c r="AJ34" i="8"/>
  <c r="AJ33" i="8"/>
  <c r="AJ32" i="8"/>
  <c r="E11" i="2"/>
  <c r="AJ31" i="8"/>
  <c r="AJ30" i="8"/>
  <c r="AJ29" i="8"/>
  <c r="E20" i="2"/>
  <c r="AJ27" i="8"/>
  <c r="AJ26" i="8"/>
  <c r="F21" i="13"/>
  <c r="AJ25" i="8"/>
  <c r="E19" i="2"/>
  <c r="AJ24" i="8"/>
  <c r="E10" i="2"/>
  <c r="AJ23" i="8"/>
  <c r="F20" i="13"/>
  <c r="AJ22" i="8"/>
  <c r="AJ21" i="8"/>
  <c r="AJ20" i="8"/>
  <c r="E32" i="2"/>
  <c r="AJ19" i="8"/>
  <c r="AJ18" i="8"/>
  <c r="AJ17" i="8"/>
  <c r="AJ16" i="8"/>
  <c r="E17" i="2"/>
  <c r="AJ14" i="8"/>
  <c r="E7" i="2"/>
  <c r="AJ13" i="8"/>
  <c r="AJ12" i="8"/>
  <c r="AJ11" i="8"/>
  <c r="E15" i="2"/>
  <c r="AJ10" i="8"/>
  <c r="AJ9" i="8"/>
  <c r="AJ8" i="8"/>
  <c r="AJ7" i="8"/>
  <c r="E6" i="2"/>
  <c r="AJ6" i="8"/>
  <c r="AJ5" i="8"/>
  <c r="Q57" i="8" l="1"/>
  <c r="E40" i="13" s="1"/>
  <c r="C84" i="9"/>
  <c r="R57" i="9"/>
  <c r="AC57" i="8" s="1"/>
  <c r="E84" i="9"/>
  <c r="D124" i="9"/>
  <c r="Q56" i="8"/>
  <c r="B34" i="2" s="1"/>
  <c r="R56" i="9"/>
  <c r="AC56" i="8" s="1"/>
  <c r="Q51" i="8"/>
  <c r="E101" i="9"/>
  <c r="C101" i="9"/>
  <c r="R51" i="9"/>
  <c r="AC51" i="8" s="1"/>
  <c r="C94" i="9"/>
  <c r="Q40" i="8"/>
  <c r="R40" i="9"/>
  <c r="AC40" i="8" s="1"/>
  <c r="Q39" i="8"/>
  <c r="R39" i="9"/>
  <c r="AC39" i="8" s="1"/>
  <c r="E102" i="9"/>
  <c r="Q45" i="8"/>
  <c r="E33" i="13" s="1"/>
  <c r="E87" i="9"/>
  <c r="C87" i="9"/>
  <c r="R45" i="9"/>
  <c r="AC45" i="8" s="1"/>
  <c r="C106" i="9"/>
  <c r="Q41" i="8"/>
  <c r="R41" i="9"/>
  <c r="AC41" i="8" s="1"/>
  <c r="F35" i="13"/>
  <c r="AJ47" i="8"/>
  <c r="AA33" i="8" s="1"/>
  <c r="AA80" i="9"/>
  <c r="Z80" i="9"/>
  <c r="Y80" i="9"/>
  <c r="X80" i="9"/>
  <c r="W80" i="9"/>
  <c r="V80" i="9"/>
  <c r="D91" i="9"/>
  <c r="G91" i="9" s="1"/>
  <c r="F91" i="9"/>
  <c r="AA77" i="9"/>
  <c r="Z77" i="9"/>
  <c r="Y77" i="9"/>
  <c r="X77" i="9"/>
  <c r="W77" i="9"/>
  <c r="V77" i="9"/>
  <c r="X76" i="9"/>
  <c r="V76" i="9"/>
  <c r="AA76" i="9"/>
  <c r="Z76" i="9"/>
  <c r="Y76" i="9"/>
  <c r="W76" i="9"/>
  <c r="C121" i="9"/>
  <c r="G121" i="9" s="1"/>
  <c r="AA75" i="9"/>
  <c r="Z75" i="9"/>
  <c r="Y75" i="9"/>
  <c r="X75" i="9"/>
  <c r="W75" i="9"/>
  <c r="V75" i="9"/>
  <c r="F121" i="9"/>
  <c r="C116" i="9"/>
  <c r="G116" i="9" s="1"/>
  <c r="AA74" i="9"/>
  <c r="Z74" i="9"/>
  <c r="Y74" i="9"/>
  <c r="X74" i="9"/>
  <c r="W74" i="9"/>
  <c r="V74" i="9"/>
  <c r="F116" i="9"/>
  <c r="C103" i="9"/>
  <c r="G103" i="9" s="1"/>
  <c r="AA73" i="9"/>
  <c r="Z73" i="9"/>
  <c r="Y73" i="9"/>
  <c r="X73" i="9"/>
  <c r="W73" i="9"/>
  <c r="V73" i="9"/>
  <c r="F103" i="9"/>
  <c r="D98" i="9"/>
  <c r="G98" i="9" s="1"/>
  <c r="Y72" i="9"/>
  <c r="V72" i="9"/>
  <c r="Z72" i="9"/>
  <c r="I8" i="6"/>
  <c r="AA72" i="9"/>
  <c r="X72" i="9"/>
  <c r="W72" i="9"/>
  <c r="F98" i="9"/>
  <c r="G13" i="1"/>
  <c r="O5" i="2"/>
  <c r="M5" i="2"/>
  <c r="E13" i="1"/>
  <c r="AJ79" i="8"/>
  <c r="AA79" i="8" s="1"/>
  <c r="F12" i="13"/>
  <c r="AJ28" i="8"/>
  <c r="F23" i="13"/>
  <c r="B18" i="2"/>
  <c r="B26" i="1"/>
  <c r="G35" i="6"/>
  <c r="AJ15" i="8"/>
  <c r="H35" i="6"/>
  <c r="E18" i="2"/>
  <c r="AJ78" i="8"/>
  <c r="AA78" i="8" s="1"/>
  <c r="F11" i="13"/>
  <c r="B23" i="2"/>
  <c r="B31" i="1"/>
  <c r="AJ48" i="8"/>
  <c r="E23" i="2"/>
  <c r="G17" i="13"/>
  <c r="S66" i="9"/>
  <c r="AD66" i="8"/>
  <c r="I22" i="6"/>
  <c r="S58" i="9"/>
  <c r="AD58" i="8"/>
  <c r="G16" i="13"/>
  <c r="S54" i="9"/>
  <c r="I26" i="6"/>
  <c r="G15" i="13"/>
  <c r="AD54" i="8"/>
  <c r="AD44" i="8"/>
  <c r="G14" i="13"/>
  <c r="S44" i="9"/>
  <c r="AA38" i="8"/>
  <c r="AB38" i="8" s="1"/>
  <c r="AA47" i="8"/>
  <c r="AB47" i="8" s="1"/>
  <c r="AA6" i="8"/>
  <c r="AA5" i="8"/>
  <c r="AA50" i="8"/>
  <c r="AB50" i="8" s="1"/>
  <c r="AA36" i="8"/>
  <c r="AE6" i="8"/>
  <c r="AF6" i="8"/>
  <c r="AE7" i="8"/>
  <c r="AF7" i="8"/>
  <c r="AE8" i="8"/>
  <c r="AF8" i="8"/>
  <c r="AE9" i="8"/>
  <c r="AF9" i="8"/>
  <c r="AE10" i="8"/>
  <c r="AF10" i="8"/>
  <c r="AE11" i="8"/>
  <c r="AF11" i="8"/>
  <c r="AE12" i="8"/>
  <c r="AF12" i="8"/>
  <c r="AE13" i="8"/>
  <c r="AF13" i="8"/>
  <c r="AE14" i="8"/>
  <c r="AF14" i="8"/>
  <c r="AE15" i="8"/>
  <c r="AF15" i="8"/>
  <c r="AE16" i="8"/>
  <c r="AF16" i="8"/>
  <c r="N30" i="2" s="1"/>
  <c r="AE17" i="8"/>
  <c r="AF17" i="8"/>
  <c r="AE18" i="8"/>
  <c r="AF18" i="8"/>
  <c r="N31" i="2" s="1"/>
  <c r="AE19" i="8"/>
  <c r="M32" i="2" s="1"/>
  <c r="AF19" i="8"/>
  <c r="N32" i="2" s="1"/>
  <c r="AE20" i="8"/>
  <c r="AF20" i="8"/>
  <c r="AE21" i="8"/>
  <c r="K49" i="6" s="1"/>
  <c r="AF21" i="8"/>
  <c r="AE22" i="8"/>
  <c r="AF22" i="8"/>
  <c r="AE23" i="8"/>
  <c r="AF23" i="8"/>
  <c r="AE24" i="8"/>
  <c r="AF80" i="8"/>
  <c r="AF24" i="8"/>
  <c r="AE25" i="8"/>
  <c r="AF25" i="8"/>
  <c r="AE26" i="8"/>
  <c r="K42" i="6" s="1"/>
  <c r="AF26" i="8"/>
  <c r="AE27" i="8"/>
  <c r="AF27" i="8"/>
  <c r="AE28" i="8"/>
  <c r="AF28" i="8"/>
  <c r="AE29" i="8"/>
  <c r="AF29" i="8"/>
  <c r="AE54" i="8"/>
  <c r="K26" i="6" s="1"/>
  <c r="AF54" i="8"/>
  <c r="AF30" i="8"/>
  <c r="AF32" i="8"/>
  <c r="AE33" i="8"/>
  <c r="AF36" i="8"/>
  <c r="N28" i="2" s="1"/>
  <c r="AE37" i="8"/>
  <c r="AF39" i="8"/>
  <c r="AF44" i="8"/>
  <c r="AE45" i="8"/>
  <c r="AF47" i="8"/>
  <c r="AF51" i="8"/>
  <c r="AF52" i="8"/>
  <c r="AF56" i="8"/>
  <c r="N34" i="2" s="1"/>
  <c r="AE66" i="8"/>
  <c r="AF69" i="8"/>
  <c r="AE71" i="8"/>
  <c r="AF73" i="8"/>
  <c r="AF74" i="8"/>
  <c r="AF76" i="8"/>
  <c r="AE77" i="8"/>
  <c r="AF77" i="8"/>
  <c r="AE78" i="8"/>
  <c r="AF78" i="8"/>
  <c r="AE79" i="8"/>
  <c r="AF79" i="8"/>
  <c r="AE80" i="8"/>
  <c r="AF31" i="8"/>
  <c r="AF33" i="8"/>
  <c r="N27" i="2" s="1"/>
  <c r="AF35" i="8"/>
  <c r="AF38" i="8"/>
  <c r="AF41" i="8"/>
  <c r="AF43" i="8"/>
  <c r="AE44" i="8"/>
  <c r="AE48" i="8"/>
  <c r="AE50" i="8"/>
  <c r="AE56" i="8"/>
  <c r="M34" i="2" s="1"/>
  <c r="AE58" i="8"/>
  <c r="AE60" i="8"/>
  <c r="AE64" i="8"/>
  <c r="AF66" i="8"/>
  <c r="AE69" i="8"/>
  <c r="AF72" i="8"/>
  <c r="AF75" i="8"/>
  <c r="AE30" i="8"/>
  <c r="AE31" i="8"/>
  <c r="AE32" i="8"/>
  <c r="AE34" i="8"/>
  <c r="AF34" i="8"/>
  <c r="AE35" i="8"/>
  <c r="K30" i="6" s="1"/>
  <c r="AE36" i="8"/>
  <c r="AF37" i="8"/>
  <c r="N29" i="2" s="1"/>
  <c r="AE38" i="8"/>
  <c r="K53" i="6" s="1"/>
  <c r="AE39" i="8"/>
  <c r="AE40" i="8"/>
  <c r="AF40" i="8"/>
  <c r="AE41" i="8"/>
  <c r="AE42" i="8"/>
  <c r="AF42" i="8"/>
  <c r="AE43" i="8"/>
  <c r="AF45" i="8"/>
  <c r="AE46" i="8"/>
  <c r="AF46" i="8"/>
  <c r="AE47" i="8"/>
  <c r="AF48" i="8"/>
  <c r="AE49" i="8"/>
  <c r="AF49" i="8"/>
  <c r="AF50" i="8"/>
  <c r="AE51" i="8"/>
  <c r="AE52" i="8"/>
  <c r="AE53" i="8"/>
  <c r="M33" i="2" s="1"/>
  <c r="AF53" i="8"/>
  <c r="N33" i="2" s="1"/>
  <c r="AE55" i="8"/>
  <c r="AF55" i="8"/>
  <c r="AE57" i="8"/>
  <c r="AF57" i="8"/>
  <c r="AF58" i="8"/>
  <c r="AE59" i="8"/>
  <c r="AF59" i="8"/>
  <c r="AF60" i="8"/>
  <c r="AE61" i="8"/>
  <c r="M35" i="2" s="1"/>
  <c r="AF61" i="8"/>
  <c r="N35" i="2" s="1"/>
  <c r="AE62" i="8"/>
  <c r="AF62" i="8"/>
  <c r="AE63" i="8"/>
  <c r="AF63" i="8"/>
  <c r="AF64" i="8"/>
  <c r="AE65" i="8"/>
  <c r="AF65" i="8"/>
  <c r="AE67" i="8"/>
  <c r="AF67" i="8"/>
  <c r="AE68" i="8"/>
  <c r="AF68" i="8"/>
  <c r="AE70" i="8"/>
  <c r="K27" i="6" s="1"/>
  <c r="AF70" i="8"/>
  <c r="AF71" i="8"/>
  <c r="AE72" i="8"/>
  <c r="K31" i="6" s="1"/>
  <c r="AE73" i="8"/>
  <c r="AE74" i="8"/>
  <c r="AE75" i="8"/>
  <c r="K44" i="6" s="1"/>
  <c r="AE76" i="8"/>
  <c r="AF5" i="8"/>
  <c r="K46" i="6" s="1"/>
  <c r="AH73" i="8"/>
  <c r="AH5" i="8"/>
  <c r="L46" i="6" s="1"/>
  <c r="AG9" i="8"/>
  <c r="AH11" i="8"/>
  <c r="AH13" i="8"/>
  <c r="AH15" i="8"/>
  <c r="AH17" i="8"/>
  <c r="AH19" i="8"/>
  <c r="P32" i="2" s="1"/>
  <c r="AH21" i="8"/>
  <c r="AH23" i="8"/>
  <c r="AH25" i="8"/>
  <c r="AH27" i="8"/>
  <c r="AH29" i="8"/>
  <c r="AH41" i="8"/>
  <c r="AG53" i="8"/>
  <c r="O33" i="2" s="1"/>
  <c r="AG65" i="8"/>
  <c r="AG75" i="8"/>
  <c r="AG79" i="8"/>
  <c r="AH30" i="8"/>
  <c r="AG37" i="8"/>
  <c r="AG47" i="8"/>
  <c r="AG57" i="8"/>
  <c r="AG67" i="8"/>
  <c r="AG30" i="8"/>
  <c r="L29" i="6" s="1"/>
  <c r="AH32" i="8"/>
  <c r="AG35" i="8"/>
  <c r="AH38" i="8"/>
  <c r="AH42" i="8"/>
  <c r="AH44" i="8"/>
  <c r="AH48" i="8"/>
  <c r="AH50" i="8"/>
  <c r="AH53" i="8"/>
  <c r="P33" i="2" s="1"/>
  <c r="AH56" i="8"/>
  <c r="P34" i="2" s="1"/>
  <c r="AH59" i="8"/>
  <c r="AH62" i="8"/>
  <c r="AG66" i="8"/>
  <c r="AG69" i="8"/>
  <c r="AG71" i="8"/>
  <c r="L24" i="6" s="1"/>
  <c r="AH75" i="8"/>
  <c r="AG6" i="8"/>
  <c r="AH8" i="8"/>
  <c r="AH10" i="8"/>
  <c r="AG13" i="8"/>
  <c r="AG15" i="8"/>
  <c r="AG17" i="8"/>
  <c r="AG19" i="8"/>
  <c r="O32" i="2" s="1"/>
  <c r="AG21" i="8"/>
  <c r="L49" i="6" s="1"/>
  <c r="AG23" i="8"/>
  <c r="AG25" i="8"/>
  <c r="AG27" i="8"/>
  <c r="AG29" i="8"/>
  <c r="L18" i="6" s="1"/>
  <c r="AG38" i="8"/>
  <c r="L53" i="6" s="1"/>
  <c r="AG48" i="8"/>
  <c r="AG63" i="8"/>
  <c r="AH70" i="8"/>
  <c r="AH78" i="8"/>
  <c r="AH80" i="8"/>
  <c r="AG36" i="8"/>
  <c r="AG40" i="8"/>
  <c r="AH51" i="8"/>
  <c r="AG61" i="8"/>
  <c r="O35" i="2" s="1"/>
  <c r="AG76" i="8"/>
  <c r="L45" i="6" s="1"/>
  <c r="AH31" i="8"/>
  <c r="AH33" i="8"/>
  <c r="P27" i="2" s="1"/>
  <c r="AH37" i="8"/>
  <c r="P29" i="2" s="1"/>
  <c r="AG41" i="8"/>
  <c r="AG44" i="8"/>
  <c r="AH47" i="8"/>
  <c r="AG51" i="8"/>
  <c r="L32" i="6" s="1"/>
  <c r="AH54" i="8"/>
  <c r="AG58" i="8"/>
  <c r="L22" i="6" s="1"/>
  <c r="AH60" i="8"/>
  <c r="AH64" i="8"/>
  <c r="AH67" i="8"/>
  <c r="AH69" i="8"/>
  <c r="AH6" i="8"/>
  <c r="AG7" i="8"/>
  <c r="AH7" i="8"/>
  <c r="AG8" i="8"/>
  <c r="AH9" i="8"/>
  <c r="AG10" i="8"/>
  <c r="AG11" i="8"/>
  <c r="AG12" i="8"/>
  <c r="AH12" i="8"/>
  <c r="AG14" i="8"/>
  <c r="AH14" i="8"/>
  <c r="AG16" i="8"/>
  <c r="AH16" i="8"/>
  <c r="P30" i="2" s="1"/>
  <c r="AG18" i="8"/>
  <c r="AH18" i="8"/>
  <c r="P31" i="2" s="1"/>
  <c r="AG20" i="8"/>
  <c r="AH20" i="8"/>
  <c r="AG22" i="8"/>
  <c r="AH22" i="8"/>
  <c r="AG24" i="8"/>
  <c r="AH24" i="8"/>
  <c r="AG26" i="8"/>
  <c r="AH26" i="8"/>
  <c r="AG28" i="8"/>
  <c r="AH28" i="8"/>
  <c r="AG54" i="8"/>
  <c r="AH35" i="8"/>
  <c r="AG42" i="8"/>
  <c r="L21" i="6" s="1"/>
  <c r="AG46" i="8"/>
  <c r="AH55" i="8"/>
  <c r="AG64" i="8"/>
  <c r="AG68" i="8"/>
  <c r="AH77" i="8"/>
  <c r="AG78" i="8"/>
  <c r="AH79" i="8"/>
  <c r="AG80" i="8"/>
  <c r="L37" i="6" s="1"/>
  <c r="AG34" i="8"/>
  <c r="L19" i="6" s="1"/>
  <c r="AH39" i="8"/>
  <c r="AG45" i="8"/>
  <c r="AG49" i="8"/>
  <c r="AG59" i="8"/>
  <c r="AG62" i="8"/>
  <c r="AH71" i="8"/>
  <c r="AG77" i="8"/>
  <c r="AG31" i="8"/>
  <c r="AG32" i="8"/>
  <c r="AG33" i="8"/>
  <c r="AH34" i="8"/>
  <c r="AH36" i="8"/>
  <c r="P28" i="2" s="1"/>
  <c r="AG39" i="8"/>
  <c r="AH40" i="8"/>
  <c r="AG43" i="8"/>
  <c r="AH43" i="8"/>
  <c r="AH45" i="8"/>
  <c r="AH46" i="8"/>
  <c r="AH49" i="8"/>
  <c r="AG50" i="8"/>
  <c r="AG52" i="8"/>
  <c r="AH52" i="8"/>
  <c r="AG55" i="8"/>
  <c r="AG56" i="8"/>
  <c r="O34" i="2" s="1"/>
  <c r="AH57" i="8"/>
  <c r="AH58" i="8"/>
  <c r="AG60" i="8"/>
  <c r="AH61" i="8"/>
  <c r="P35" i="2" s="1"/>
  <c r="AH63" i="8"/>
  <c r="AH65" i="8"/>
  <c r="AH66" i="8"/>
  <c r="AH68" i="8"/>
  <c r="AG70" i="8"/>
  <c r="AG72" i="8"/>
  <c r="AG73" i="8"/>
  <c r="AG74" i="8"/>
  <c r="AH74" i="8"/>
  <c r="AH76" i="8"/>
  <c r="AH72" i="8"/>
  <c r="F40" i="13" l="1"/>
  <c r="AJ57" i="8"/>
  <c r="AA57" i="8" s="1"/>
  <c r="AB57" i="8" s="1"/>
  <c r="E34" i="2"/>
  <c r="AJ56" i="8"/>
  <c r="E38" i="13"/>
  <c r="G32" i="6"/>
  <c r="AJ51" i="8"/>
  <c r="H32" i="6"/>
  <c r="F38" i="13"/>
  <c r="B29" i="1"/>
  <c r="B21" i="2"/>
  <c r="AJ40" i="8"/>
  <c r="E21" i="2"/>
  <c r="G51" i="6"/>
  <c r="E30" i="13"/>
  <c r="AJ39" i="8"/>
  <c r="H51" i="6"/>
  <c r="F30" i="13"/>
  <c r="AJ45" i="8"/>
  <c r="AA45" i="8" s="1"/>
  <c r="AB45" i="8" s="1"/>
  <c r="F33" i="13"/>
  <c r="AJ41" i="8"/>
  <c r="F31" i="13"/>
  <c r="K51" i="6"/>
  <c r="K32" i="6"/>
  <c r="K23" i="6"/>
  <c r="K45" i="6"/>
  <c r="K50" i="6"/>
  <c r="K43" i="6"/>
  <c r="L50" i="6"/>
  <c r="L42" i="6"/>
  <c r="L26" i="6"/>
  <c r="L52" i="6"/>
  <c r="K18" i="6"/>
  <c r="AA64" i="8"/>
  <c r="AB64" i="8" s="1"/>
  <c r="AA49" i="8"/>
  <c r="AB49" i="8" s="1"/>
  <c r="AA37" i="8"/>
  <c r="AA31" i="8"/>
  <c r="AA27" i="8"/>
  <c r="AA24" i="8"/>
  <c r="AA23" i="8"/>
  <c r="E31" i="13"/>
  <c r="AA17" i="8"/>
  <c r="AA13" i="8"/>
  <c r="AA11" i="8"/>
  <c r="AB33" i="8"/>
  <c r="C27" i="2"/>
  <c r="AA30" i="8"/>
  <c r="AB30" i="8" s="1"/>
  <c r="AA29" i="8"/>
  <c r="AB29" i="8" s="1"/>
  <c r="AA26" i="8"/>
  <c r="AB26" i="8" s="1"/>
  <c r="AA25" i="8"/>
  <c r="AB25" i="8" s="1"/>
  <c r="AA22" i="8"/>
  <c r="AB22" i="8" s="1"/>
  <c r="AA21" i="8"/>
  <c r="AB21" i="8" s="1"/>
  <c r="AA20" i="8"/>
  <c r="AB20" i="8" s="1"/>
  <c r="AA19" i="8"/>
  <c r="AA18" i="8"/>
  <c r="AA16" i="8"/>
  <c r="AA14" i="8"/>
  <c r="AA12" i="8"/>
  <c r="AA10" i="8"/>
  <c r="AA9" i="8"/>
  <c r="AA8" i="8"/>
  <c r="AA7" i="8"/>
  <c r="AA32" i="8"/>
  <c r="AB32" i="8" s="1"/>
  <c r="AA39" i="8"/>
  <c r="AB39" i="8" s="1"/>
  <c r="AA46" i="8"/>
  <c r="AB46" i="8" s="1"/>
  <c r="AA59" i="8"/>
  <c r="AB59" i="8" s="1"/>
  <c r="AA15" i="8"/>
  <c r="AA40" i="8"/>
  <c r="AA48" i="8"/>
  <c r="AA66" i="9"/>
  <c r="Z66" i="9"/>
  <c r="Y66" i="9"/>
  <c r="X66" i="9"/>
  <c r="W66" i="9"/>
  <c r="V66" i="9"/>
  <c r="Z58" i="9"/>
  <c r="Y58" i="9"/>
  <c r="W58" i="9"/>
  <c r="V58" i="9"/>
  <c r="AA58" i="9"/>
  <c r="X58" i="9"/>
  <c r="C104" i="9"/>
  <c r="X54" i="9"/>
  <c r="V54" i="9"/>
  <c r="AA54" i="9"/>
  <c r="Y54" i="9"/>
  <c r="W54" i="9"/>
  <c r="Z54" i="9"/>
  <c r="AA44" i="9"/>
  <c r="Z44" i="9"/>
  <c r="Y44" i="9"/>
  <c r="W44" i="9"/>
  <c r="V44" i="9"/>
  <c r="C120" i="9"/>
  <c r="X44" i="9"/>
  <c r="S38" i="9"/>
  <c r="I53" i="6"/>
  <c r="AD38" i="8"/>
  <c r="G29" i="13"/>
  <c r="S47" i="9"/>
  <c r="G35" i="13"/>
  <c r="AD47" i="8"/>
  <c r="AB6" i="8"/>
  <c r="C6" i="2"/>
  <c r="AB5" i="8"/>
  <c r="C5" i="2"/>
  <c r="S50" i="9"/>
  <c r="AD50" i="8"/>
  <c r="G37" i="13"/>
  <c r="AB36" i="8"/>
  <c r="C28" i="2"/>
  <c r="E14" i="1"/>
  <c r="M6" i="2"/>
  <c r="F14" i="1"/>
  <c r="N6" i="2"/>
  <c r="M12" i="2"/>
  <c r="K38" i="6"/>
  <c r="E20" i="1"/>
  <c r="N12" i="2"/>
  <c r="F20" i="1"/>
  <c r="M13" i="2"/>
  <c r="E21" i="1"/>
  <c r="K17" i="6"/>
  <c r="N13" i="2"/>
  <c r="F21" i="1"/>
  <c r="M14" i="2"/>
  <c r="E22" i="1"/>
  <c r="K28" i="6"/>
  <c r="N14" i="2"/>
  <c r="F22" i="1"/>
  <c r="E23" i="1"/>
  <c r="M15" i="2"/>
  <c r="N15" i="2"/>
  <c r="F23" i="1"/>
  <c r="K33" i="6"/>
  <c r="E16" i="1"/>
  <c r="M8" i="2"/>
  <c r="F16" i="1"/>
  <c r="N8" i="2"/>
  <c r="K34" i="6"/>
  <c r="E24" i="1"/>
  <c r="M16" i="2"/>
  <c r="N16" i="2"/>
  <c r="F24" i="1"/>
  <c r="E15" i="1"/>
  <c r="M7" i="2"/>
  <c r="N7" i="2"/>
  <c r="F15" i="1"/>
  <c r="E25" i="1"/>
  <c r="M17" i="2"/>
  <c r="N17" i="2"/>
  <c r="F25" i="1"/>
  <c r="K35" i="6"/>
  <c r="M18" i="2"/>
  <c r="E26" i="1"/>
  <c r="N18" i="2"/>
  <c r="F26" i="1"/>
  <c r="M30" i="2"/>
  <c r="K36" i="6"/>
  <c r="E17" i="1"/>
  <c r="M9" i="2"/>
  <c r="K25" i="6"/>
  <c r="F17" i="1"/>
  <c r="N9" i="2"/>
  <c r="M31" i="2"/>
  <c r="K47" i="6"/>
  <c r="E18" i="1"/>
  <c r="M10" i="2"/>
  <c r="N10" i="2"/>
  <c r="F18" i="1"/>
  <c r="M19" i="2"/>
  <c r="E27" i="1"/>
  <c r="N19" i="2"/>
  <c r="F27" i="1"/>
  <c r="M20" i="2"/>
  <c r="E28" i="1"/>
  <c r="N20" i="2"/>
  <c r="F28" i="1"/>
  <c r="K48" i="6"/>
  <c r="M27" i="2"/>
  <c r="K41" i="6"/>
  <c r="M29" i="2"/>
  <c r="N24" i="2"/>
  <c r="F32" i="1"/>
  <c r="F19" i="1"/>
  <c r="N11" i="2"/>
  <c r="F30" i="1"/>
  <c r="N22" i="2"/>
  <c r="M23" i="2"/>
  <c r="E31" i="1"/>
  <c r="M11" i="2"/>
  <c r="E19" i="1"/>
  <c r="K40" i="6"/>
  <c r="M28" i="2"/>
  <c r="M21" i="2"/>
  <c r="E29" i="1"/>
  <c r="N21" i="2"/>
  <c r="F29" i="1"/>
  <c r="M22" i="2"/>
  <c r="E30" i="1"/>
  <c r="N23" i="2"/>
  <c r="F31" i="1"/>
  <c r="M24" i="2"/>
  <c r="E32" i="1"/>
  <c r="N5" i="2"/>
  <c r="F13" i="1"/>
  <c r="H13" i="1"/>
  <c r="P5" i="2"/>
  <c r="L28" i="6"/>
  <c r="O14" i="2"/>
  <c r="G22" i="1"/>
  <c r="P8" i="2"/>
  <c r="H16" i="1"/>
  <c r="P7" i="2"/>
  <c r="H15" i="1"/>
  <c r="H26" i="1"/>
  <c r="P18" i="2"/>
  <c r="P9" i="2"/>
  <c r="H17" i="1"/>
  <c r="H18" i="1"/>
  <c r="P10" i="2"/>
  <c r="P20" i="2"/>
  <c r="H28" i="1"/>
  <c r="L41" i="6"/>
  <c r="O29" i="2"/>
  <c r="P23" i="2"/>
  <c r="H31" i="1"/>
  <c r="O6" i="2"/>
  <c r="G14" i="1"/>
  <c r="H21" i="1"/>
  <c r="P13" i="2"/>
  <c r="H23" i="1"/>
  <c r="P15" i="2"/>
  <c r="G15" i="1"/>
  <c r="O7" i="2"/>
  <c r="L35" i="6"/>
  <c r="O18" i="2"/>
  <c r="G26" i="1"/>
  <c r="L25" i="6"/>
  <c r="O9" i="2"/>
  <c r="G17" i="1"/>
  <c r="G18" i="1"/>
  <c r="O10" i="2"/>
  <c r="O20" i="2"/>
  <c r="G28" i="1"/>
  <c r="O23" i="2"/>
  <c r="G31" i="1"/>
  <c r="L40" i="6"/>
  <c r="O28" i="2"/>
  <c r="O21" i="2"/>
  <c r="G29" i="1"/>
  <c r="H19" i="1"/>
  <c r="P11" i="2"/>
  <c r="H14" i="1"/>
  <c r="P6" i="2"/>
  <c r="G20" i="1"/>
  <c r="L38" i="6"/>
  <c r="O12" i="2"/>
  <c r="H20" i="1"/>
  <c r="P12" i="2"/>
  <c r="G21" i="1"/>
  <c r="L17" i="6"/>
  <c r="O13" i="2"/>
  <c r="H22" i="1"/>
  <c r="P14" i="2"/>
  <c r="O15" i="2"/>
  <c r="G23" i="1"/>
  <c r="G16" i="1"/>
  <c r="O8" i="2"/>
  <c r="L33" i="6"/>
  <c r="O16" i="2"/>
  <c r="L34" i="6"/>
  <c r="G24" i="1"/>
  <c r="H24" i="1"/>
  <c r="P16" i="2"/>
  <c r="O17" i="2"/>
  <c r="G25" i="1"/>
  <c r="H25" i="1"/>
  <c r="P17" i="2"/>
  <c r="O30" i="2"/>
  <c r="L36" i="6"/>
  <c r="L47" i="6"/>
  <c r="O31" i="2"/>
  <c r="O19" i="2"/>
  <c r="G27" i="1"/>
  <c r="H27" i="1"/>
  <c r="P19" i="2"/>
  <c r="O11" i="2"/>
  <c r="G19" i="1"/>
  <c r="L48" i="6"/>
  <c r="O27" i="2"/>
  <c r="P21" i="2"/>
  <c r="H29" i="1"/>
  <c r="G30" i="1"/>
  <c r="O22" i="2"/>
  <c r="P22" i="2"/>
  <c r="H30" i="1"/>
  <c r="G32" i="1"/>
  <c r="O24" i="2"/>
  <c r="P24" i="2"/>
  <c r="H32" i="1"/>
  <c r="AA28" i="8"/>
  <c r="AB28" i="8" s="1"/>
  <c r="K24" i="6"/>
  <c r="K39" i="6"/>
  <c r="K37" i="6"/>
  <c r="K22" i="6"/>
  <c r="K29" i="6"/>
  <c r="K20" i="6"/>
  <c r="K19" i="6"/>
  <c r="K21" i="6"/>
  <c r="K52" i="6"/>
  <c r="L44" i="6"/>
  <c r="L30" i="6"/>
  <c r="L39" i="6"/>
  <c r="L20" i="6"/>
  <c r="L51" i="6"/>
  <c r="L27" i="6"/>
  <c r="L31" i="6"/>
  <c r="L43" i="6"/>
  <c r="L23" i="6"/>
  <c r="AA70" i="8"/>
  <c r="AB70" i="8" s="1"/>
  <c r="AA71" i="8"/>
  <c r="AB71" i="8" s="1"/>
  <c r="AA67" i="8"/>
  <c r="AB67" i="8" s="1"/>
  <c r="AA62" i="8"/>
  <c r="AB62" i="8" s="1"/>
  <c r="AA52" i="8"/>
  <c r="AA68" i="8"/>
  <c r="AB68" i="8" s="1"/>
  <c r="AA63" i="8"/>
  <c r="AB63" i="8" s="1"/>
  <c r="AA56" i="8"/>
  <c r="AA43" i="8" l="1"/>
  <c r="AA53" i="8"/>
  <c r="AA61" i="8"/>
  <c r="AA69" i="8"/>
  <c r="AB69" i="8" s="1"/>
  <c r="AA51" i="8"/>
  <c r="AB51" i="8" s="1"/>
  <c r="AA60" i="8"/>
  <c r="AB60" i="8" s="1"/>
  <c r="AA65" i="8"/>
  <c r="AB65" i="8" s="1"/>
  <c r="AA35" i="8"/>
  <c r="AB35" i="8" s="1"/>
  <c r="S35" i="9" s="1"/>
  <c r="AA55" i="8"/>
  <c r="AB55" i="8" s="1"/>
  <c r="AA41" i="8"/>
  <c r="AB41" i="8" s="1"/>
  <c r="AA34" i="8"/>
  <c r="AB34" i="8" s="1"/>
  <c r="AA42" i="8"/>
  <c r="AB42" i="8" s="1"/>
  <c r="G45" i="13"/>
  <c r="AD64" i="8"/>
  <c r="S64" i="9"/>
  <c r="AD49" i="8"/>
  <c r="G36" i="13"/>
  <c r="S49" i="9"/>
  <c r="AB37" i="8"/>
  <c r="C29" i="2"/>
  <c r="C11" i="2"/>
  <c r="AB31" i="8"/>
  <c r="C20" i="2"/>
  <c r="AB27" i="8"/>
  <c r="AB24" i="8"/>
  <c r="C19" i="2"/>
  <c r="C10" i="2"/>
  <c r="AB23" i="8"/>
  <c r="AB17" i="8"/>
  <c r="C9" i="2"/>
  <c r="AB13" i="8"/>
  <c r="C7" i="2"/>
  <c r="C8" i="2"/>
  <c r="AB11" i="8"/>
  <c r="S33" i="9"/>
  <c r="C66" i="10"/>
  <c r="I48" i="6"/>
  <c r="C67" i="10"/>
  <c r="D27" i="2"/>
  <c r="AD33" i="8"/>
  <c r="L27" i="2" s="1"/>
  <c r="C74" i="11"/>
  <c r="C75" i="11"/>
  <c r="C73" i="11"/>
  <c r="C65" i="10"/>
  <c r="AD30" i="8"/>
  <c r="S30" i="9"/>
  <c r="G25" i="13"/>
  <c r="I29" i="6"/>
  <c r="S29" i="9"/>
  <c r="I18" i="6"/>
  <c r="G24" i="13"/>
  <c r="AD29" i="8"/>
  <c r="G22" i="13"/>
  <c r="AD26" i="8"/>
  <c r="S26" i="9"/>
  <c r="I42" i="6"/>
  <c r="AD25" i="8"/>
  <c r="G21" i="13"/>
  <c r="S25" i="9"/>
  <c r="G20" i="13"/>
  <c r="AD22" i="8"/>
  <c r="S22" i="9"/>
  <c r="G19" i="13"/>
  <c r="I49" i="6"/>
  <c r="S21" i="9"/>
  <c r="AD21" i="8"/>
  <c r="S20" i="9"/>
  <c r="I50" i="6"/>
  <c r="G18" i="13"/>
  <c r="AD20" i="8"/>
  <c r="C32" i="2"/>
  <c r="AB19" i="8"/>
  <c r="C31" i="2"/>
  <c r="AB18" i="8"/>
  <c r="AB16" i="8"/>
  <c r="C30" i="2"/>
  <c r="C17" i="2"/>
  <c r="AB14" i="8"/>
  <c r="AB12" i="8"/>
  <c r="AD12" i="8" s="1"/>
  <c r="C16" i="2"/>
  <c r="AB10" i="8"/>
  <c r="C15" i="2"/>
  <c r="AB9" i="8"/>
  <c r="C14" i="2"/>
  <c r="AB8" i="8"/>
  <c r="C13" i="2"/>
  <c r="AB7" i="8"/>
  <c r="C12" i="2"/>
  <c r="AD32" i="8"/>
  <c r="S32" i="9"/>
  <c r="G26" i="13"/>
  <c r="I20" i="6"/>
  <c r="G30" i="13"/>
  <c r="I51" i="6"/>
  <c r="AD39" i="8"/>
  <c r="S39" i="9"/>
  <c r="S45" i="9"/>
  <c r="AD45" i="8"/>
  <c r="G33" i="13"/>
  <c r="S57" i="9"/>
  <c r="G40" i="13"/>
  <c r="AD57" i="8"/>
  <c r="G28" i="13"/>
  <c r="I30" i="6"/>
  <c r="AD35" i="8"/>
  <c r="AD51" i="8"/>
  <c r="G38" i="13"/>
  <c r="I32" i="6"/>
  <c r="S51" i="9"/>
  <c r="G39" i="13"/>
  <c r="S55" i="9"/>
  <c r="AD55" i="8"/>
  <c r="AD34" i="8"/>
  <c r="S34" i="9"/>
  <c r="G27" i="13"/>
  <c r="I19" i="6"/>
  <c r="I21" i="6"/>
  <c r="AD42" i="8"/>
  <c r="S42" i="9"/>
  <c r="G32" i="13"/>
  <c r="AD46" i="8"/>
  <c r="S46" i="9"/>
  <c r="G34" i="13"/>
  <c r="AD59" i="8"/>
  <c r="S59" i="9"/>
  <c r="G41" i="13"/>
  <c r="AB15" i="8"/>
  <c r="C18" i="2"/>
  <c r="AB40" i="8"/>
  <c r="C21" i="2"/>
  <c r="AB48" i="8"/>
  <c r="C23" i="2"/>
  <c r="X38" i="9"/>
  <c r="Z38" i="9"/>
  <c r="Y38" i="9"/>
  <c r="W38" i="9"/>
  <c r="V38" i="9"/>
  <c r="C118" i="9"/>
  <c r="AA38" i="9"/>
  <c r="Z47" i="9"/>
  <c r="C97" i="9"/>
  <c r="G97" i="9" s="1"/>
  <c r="AA47" i="9"/>
  <c r="Y47" i="9"/>
  <c r="X47" i="9"/>
  <c r="W47" i="9"/>
  <c r="V47" i="9"/>
  <c r="F97" i="9"/>
  <c r="AA64" i="9"/>
  <c r="Z64" i="9"/>
  <c r="Y64" i="9"/>
  <c r="X64" i="9"/>
  <c r="W64" i="9"/>
  <c r="V64" i="9"/>
  <c r="C100" i="9"/>
  <c r="G100" i="9" s="1"/>
  <c r="F100" i="9"/>
  <c r="AA49" i="9"/>
  <c r="C93" i="9"/>
  <c r="G93" i="9" s="1"/>
  <c r="Z49" i="9"/>
  <c r="X49" i="9"/>
  <c r="W49" i="9"/>
  <c r="V49" i="9"/>
  <c r="Y49" i="9"/>
  <c r="F93" i="9"/>
  <c r="AD37" i="8"/>
  <c r="L29" i="2" s="1"/>
  <c r="C78" i="11"/>
  <c r="C71" i="10"/>
  <c r="C72" i="10"/>
  <c r="C73" i="10"/>
  <c r="C79" i="11"/>
  <c r="S37" i="9"/>
  <c r="D29" i="2"/>
  <c r="I41" i="6"/>
  <c r="C23" i="10"/>
  <c r="C24" i="10"/>
  <c r="C25" i="10"/>
  <c r="C29" i="11"/>
  <c r="C30" i="11"/>
  <c r="C31" i="11"/>
  <c r="D11" i="2"/>
  <c r="AD31" i="8"/>
  <c r="S31" i="9"/>
  <c r="Z30" i="9"/>
  <c r="X30" i="9"/>
  <c r="W30" i="9"/>
  <c r="AA30" i="9"/>
  <c r="Y30" i="9"/>
  <c r="V30" i="9"/>
  <c r="AA29" i="9"/>
  <c r="Y29" i="9"/>
  <c r="X29" i="9"/>
  <c r="V29" i="9"/>
  <c r="Z29" i="9"/>
  <c r="W29" i="9"/>
  <c r="AD27" i="8"/>
  <c r="S27" i="9"/>
  <c r="C50" i="10"/>
  <c r="C51" i="10"/>
  <c r="C52" i="10"/>
  <c r="C58" i="11"/>
  <c r="C59" i="11"/>
  <c r="C60" i="11"/>
  <c r="D20" i="2"/>
  <c r="D122" i="9"/>
  <c r="G122" i="9" s="1"/>
  <c r="Z26" i="9"/>
  <c r="W26" i="9"/>
  <c r="AA26" i="9"/>
  <c r="Y26" i="9"/>
  <c r="X26" i="9"/>
  <c r="V26" i="9"/>
  <c r="F122" i="9"/>
  <c r="Z25" i="9"/>
  <c r="V25" i="9"/>
  <c r="AA25" i="9"/>
  <c r="Y25" i="9"/>
  <c r="X25" i="9"/>
  <c r="W25" i="9"/>
  <c r="AD24" i="8"/>
  <c r="S24" i="9"/>
  <c r="C47" i="10"/>
  <c r="C48" i="10"/>
  <c r="C49" i="10"/>
  <c r="C55" i="11"/>
  <c r="C56" i="11"/>
  <c r="C57" i="11"/>
  <c r="D19" i="2"/>
  <c r="AD23" i="8"/>
  <c r="D10" i="2"/>
  <c r="S23" i="9"/>
  <c r="C20" i="10"/>
  <c r="C21" i="10"/>
  <c r="C22" i="10"/>
  <c r="C25" i="11"/>
  <c r="C26" i="11"/>
  <c r="C27" i="11"/>
  <c r="C28" i="11"/>
  <c r="AA22" i="9"/>
  <c r="Y22" i="9"/>
  <c r="X22" i="9"/>
  <c r="V22" i="9"/>
  <c r="Z22" i="9"/>
  <c r="W22" i="9"/>
  <c r="D86" i="9"/>
  <c r="G86" i="9" s="1"/>
  <c r="Y21" i="9"/>
  <c r="AA21" i="9"/>
  <c r="Z21" i="9"/>
  <c r="X21" i="9"/>
  <c r="W21" i="9"/>
  <c r="V21" i="9"/>
  <c r="F86" i="9"/>
  <c r="D119" i="9"/>
  <c r="AA20" i="9"/>
  <c r="Z20" i="9"/>
  <c r="Y20" i="9"/>
  <c r="X20" i="9"/>
  <c r="W20" i="9"/>
  <c r="V20" i="9"/>
  <c r="AD19" i="8"/>
  <c r="L32" i="2" s="1"/>
  <c r="S19" i="9"/>
  <c r="C87" i="11"/>
  <c r="C88" i="11"/>
  <c r="C89" i="11"/>
  <c r="D32" i="2"/>
  <c r="C80" i="10"/>
  <c r="C81" i="10"/>
  <c r="C82" i="10"/>
  <c r="AD18" i="8"/>
  <c r="L31" i="2" s="1"/>
  <c r="S18" i="9"/>
  <c r="C83" i="11"/>
  <c r="C86" i="11"/>
  <c r="I47" i="6"/>
  <c r="C85" i="11"/>
  <c r="C77" i="10"/>
  <c r="C78" i="10"/>
  <c r="AD14" i="8"/>
  <c r="S14" i="9"/>
  <c r="C41" i="10"/>
  <c r="C42" i="10"/>
  <c r="C43" i="10"/>
  <c r="C49" i="11"/>
  <c r="C50" i="11"/>
  <c r="C51" i="11"/>
  <c r="D17" i="2"/>
  <c r="I34" i="6"/>
  <c r="S12" i="9"/>
  <c r="C38" i="10"/>
  <c r="C39" i="10"/>
  <c r="C40" i="10"/>
  <c r="C46" i="11"/>
  <c r="C47" i="11"/>
  <c r="C48" i="11"/>
  <c r="D16" i="2"/>
  <c r="AD10" i="8"/>
  <c r="S10" i="9"/>
  <c r="C35" i="10"/>
  <c r="C36" i="10"/>
  <c r="C37" i="10"/>
  <c r="C43" i="11"/>
  <c r="C44" i="11"/>
  <c r="C45" i="11"/>
  <c r="D15" i="2"/>
  <c r="AD9" i="8"/>
  <c r="S9" i="9"/>
  <c r="D14" i="2"/>
  <c r="I28" i="6"/>
  <c r="C32" i="10"/>
  <c r="C33" i="10"/>
  <c r="C34" i="10"/>
  <c r="C39" i="11"/>
  <c r="C40" i="11"/>
  <c r="C41" i="11"/>
  <c r="C42" i="11"/>
  <c r="AD8" i="8"/>
  <c r="S8" i="9"/>
  <c r="D13" i="2"/>
  <c r="C29" i="10"/>
  <c r="C30" i="10"/>
  <c r="C31" i="10"/>
  <c r="C35" i="11"/>
  <c r="C36" i="11"/>
  <c r="C37" i="11"/>
  <c r="C38" i="11"/>
  <c r="I17" i="6"/>
  <c r="AD7" i="8"/>
  <c r="S7" i="9"/>
  <c r="D12" i="2"/>
  <c r="I38" i="6"/>
  <c r="C26" i="10"/>
  <c r="C27" i="10"/>
  <c r="C28" i="10"/>
  <c r="C32" i="11"/>
  <c r="C33" i="11"/>
  <c r="C34" i="11"/>
  <c r="AD6" i="8"/>
  <c r="S6" i="9"/>
  <c r="D6" i="2"/>
  <c r="C8" i="10"/>
  <c r="C9" i="10"/>
  <c r="C10" i="10"/>
  <c r="C9" i="11"/>
  <c r="C10" i="11"/>
  <c r="C11" i="11"/>
  <c r="C12" i="11"/>
  <c r="AD5" i="8"/>
  <c r="S5" i="9"/>
  <c r="D5" i="2"/>
  <c r="I46" i="6"/>
  <c r="C5" i="10"/>
  <c r="C6" i="10"/>
  <c r="C7" i="10"/>
  <c r="C5" i="11"/>
  <c r="C6" i="11"/>
  <c r="C7" i="11"/>
  <c r="C8" i="11"/>
  <c r="AA50" i="9"/>
  <c r="Z50" i="9"/>
  <c r="Y50" i="9"/>
  <c r="X50" i="9"/>
  <c r="W50" i="9"/>
  <c r="V50" i="9"/>
  <c r="AD36" i="8"/>
  <c r="L28" i="2" s="1"/>
  <c r="C68" i="10"/>
  <c r="C69" i="10"/>
  <c r="C70" i="10"/>
  <c r="C77" i="11"/>
  <c r="I40" i="6"/>
  <c r="S36" i="9"/>
  <c r="C76" i="11"/>
  <c r="D28" i="2"/>
  <c r="AD28" i="8"/>
  <c r="G23" i="13"/>
  <c r="S28" i="9"/>
  <c r="AD70" i="8"/>
  <c r="S70" i="9"/>
  <c r="G50" i="13"/>
  <c r="I27" i="6"/>
  <c r="AD71" i="8"/>
  <c r="S71" i="9"/>
  <c r="I24" i="6"/>
  <c r="G51" i="13"/>
  <c r="I23" i="6"/>
  <c r="AD67" i="8"/>
  <c r="G47" i="13"/>
  <c r="S67" i="9"/>
  <c r="G43" i="13"/>
  <c r="S62" i="9"/>
  <c r="I52" i="6"/>
  <c r="AD62" i="8"/>
  <c r="C24" i="2"/>
  <c r="AB52" i="8"/>
  <c r="AD68" i="8"/>
  <c r="G48" i="13"/>
  <c r="S68" i="9"/>
  <c r="S63" i="9"/>
  <c r="G44" i="13"/>
  <c r="AD63" i="8"/>
  <c r="C34" i="2"/>
  <c r="AB56" i="8"/>
  <c r="C22" i="2" l="1"/>
  <c r="AB43" i="8"/>
  <c r="C33" i="2"/>
  <c r="AB53" i="8"/>
  <c r="C35" i="2"/>
  <c r="AB61" i="8"/>
  <c r="G49" i="13"/>
  <c r="S69" i="9"/>
  <c r="AD69" i="8"/>
  <c r="F119" i="9"/>
  <c r="AD60" i="8"/>
  <c r="G42" i="13"/>
  <c r="S60" i="9"/>
  <c r="AD65" i="8"/>
  <c r="G46" i="13"/>
  <c r="S65" i="9"/>
  <c r="S41" i="9"/>
  <c r="G31" i="13"/>
  <c r="AD41" i="8"/>
  <c r="AD17" i="8"/>
  <c r="S17" i="9"/>
  <c r="D9" i="2"/>
  <c r="I25" i="6"/>
  <c r="C17" i="10"/>
  <c r="C18" i="10"/>
  <c r="C19" i="10"/>
  <c r="C21" i="11"/>
  <c r="C22" i="11"/>
  <c r="C23" i="11"/>
  <c r="C24" i="11"/>
  <c r="C16" i="11"/>
  <c r="C15" i="11"/>
  <c r="C14" i="11"/>
  <c r="C13" i="10"/>
  <c r="C13" i="11"/>
  <c r="D7" i="2"/>
  <c r="C12" i="10"/>
  <c r="C11" i="10"/>
  <c r="S13" i="9"/>
  <c r="AD13" i="8"/>
  <c r="C20" i="11"/>
  <c r="AD11" i="8"/>
  <c r="I33" i="6"/>
  <c r="S11" i="9"/>
  <c r="C14" i="10"/>
  <c r="C15" i="10"/>
  <c r="C16" i="10"/>
  <c r="C17" i="11"/>
  <c r="C18" i="11"/>
  <c r="C19" i="11"/>
  <c r="D8" i="2"/>
  <c r="Z33" i="9"/>
  <c r="W33" i="9"/>
  <c r="AA33" i="9"/>
  <c r="Y33" i="9"/>
  <c r="X33" i="9"/>
  <c r="V33" i="9"/>
  <c r="C84" i="11"/>
  <c r="C79" i="10"/>
  <c r="D31" i="2"/>
  <c r="C76" i="10"/>
  <c r="D30" i="2"/>
  <c r="C74" i="10"/>
  <c r="C80" i="11"/>
  <c r="I36" i="6"/>
  <c r="C81" i="11"/>
  <c r="C75" i="10"/>
  <c r="S16" i="9"/>
  <c r="C82" i="11"/>
  <c r="AD16" i="8"/>
  <c r="L30" i="2" s="1"/>
  <c r="W32" i="9"/>
  <c r="Y32" i="9"/>
  <c r="AA32" i="9"/>
  <c r="Z32" i="9"/>
  <c r="X32" i="9"/>
  <c r="V32" i="9"/>
  <c r="Z39" i="9"/>
  <c r="Y39" i="9"/>
  <c r="X39" i="9"/>
  <c r="V39" i="9"/>
  <c r="AA39" i="9"/>
  <c r="W39" i="9"/>
  <c r="D102" i="9"/>
  <c r="Z45" i="9"/>
  <c r="Y45" i="9"/>
  <c r="W45" i="9"/>
  <c r="V45" i="9"/>
  <c r="D87" i="9"/>
  <c r="G87" i="9" s="1"/>
  <c r="AA45" i="9"/>
  <c r="X45" i="9"/>
  <c r="F87" i="9"/>
  <c r="Z57" i="9"/>
  <c r="X57" i="9"/>
  <c r="V57" i="9"/>
  <c r="AA57" i="9"/>
  <c r="Y57" i="9"/>
  <c r="W57" i="9"/>
  <c r="D84" i="9"/>
  <c r="G84" i="9" s="1"/>
  <c r="F84" i="9"/>
  <c r="Y35" i="9"/>
  <c r="Z35" i="9"/>
  <c r="X35" i="9"/>
  <c r="W35" i="9"/>
  <c r="V35" i="9"/>
  <c r="AA35" i="9"/>
  <c r="AA51" i="9"/>
  <c r="Y51" i="9"/>
  <c r="V51" i="9"/>
  <c r="D101" i="9"/>
  <c r="G101" i="9" s="1"/>
  <c r="Z51" i="9"/>
  <c r="X51" i="9"/>
  <c r="W51" i="9"/>
  <c r="I9" i="6"/>
  <c r="F101" i="9"/>
  <c r="Z55" i="9"/>
  <c r="Y55" i="9"/>
  <c r="X55" i="9"/>
  <c r="W55" i="9"/>
  <c r="V55" i="9"/>
  <c r="D123" i="9"/>
  <c r="G123" i="9" s="1"/>
  <c r="AA55" i="9"/>
  <c r="F123" i="9"/>
  <c r="Z34" i="9"/>
  <c r="W34" i="9"/>
  <c r="AA34" i="9"/>
  <c r="X34" i="9"/>
  <c r="V34" i="9"/>
  <c r="Y34" i="9"/>
  <c r="AA42" i="9"/>
  <c r="Z42" i="9"/>
  <c r="X42" i="9"/>
  <c r="W42" i="9"/>
  <c r="V42" i="9"/>
  <c r="Y42" i="9"/>
  <c r="Z46" i="9"/>
  <c r="X46" i="9"/>
  <c r="AA46" i="9"/>
  <c r="Y46" i="9"/>
  <c r="W46" i="9"/>
  <c r="V46" i="9"/>
  <c r="Z59" i="9"/>
  <c r="Y59" i="9"/>
  <c r="X59" i="9"/>
  <c r="V59" i="9"/>
  <c r="AA59" i="9"/>
  <c r="W59" i="9"/>
  <c r="AD15" i="8"/>
  <c r="D18" i="2"/>
  <c r="S15" i="9"/>
  <c r="I35" i="6"/>
  <c r="C44" i="10"/>
  <c r="C45" i="10"/>
  <c r="C46" i="10"/>
  <c r="C52" i="11"/>
  <c r="C53" i="11"/>
  <c r="C54" i="11"/>
  <c r="S40" i="9"/>
  <c r="D21" i="2"/>
  <c r="C53" i="10"/>
  <c r="C54" i="10"/>
  <c r="C55" i="10"/>
  <c r="C61" i="11"/>
  <c r="C62" i="11"/>
  <c r="C63" i="11"/>
  <c r="AD40" i="8"/>
  <c r="S48" i="9"/>
  <c r="C69" i="11"/>
  <c r="D23" i="2"/>
  <c r="AD48" i="8"/>
  <c r="C59" i="10"/>
  <c r="C60" i="10"/>
  <c r="C61" i="10"/>
  <c r="C67" i="11"/>
  <c r="C68" i="11"/>
  <c r="AA37" i="9"/>
  <c r="X37" i="9"/>
  <c r="V37" i="9"/>
  <c r="C125" i="9"/>
  <c r="G125" i="9" s="1"/>
  <c r="Z37" i="9"/>
  <c r="Y37" i="9"/>
  <c r="W37" i="9"/>
  <c r="F125" i="9"/>
  <c r="K19" i="1"/>
  <c r="L11" i="2"/>
  <c r="C96" i="9"/>
  <c r="G96" i="9" s="1"/>
  <c r="AA31" i="9"/>
  <c r="Y31" i="9"/>
  <c r="W31" i="9"/>
  <c r="Z31" i="9"/>
  <c r="X31" i="9"/>
  <c r="V31" i="9"/>
  <c r="L20" i="2"/>
  <c r="K28" i="1"/>
  <c r="X27" i="9"/>
  <c r="E114" i="9"/>
  <c r="AA27" i="9"/>
  <c r="Y27" i="9"/>
  <c r="W27" i="9"/>
  <c r="Z27" i="9"/>
  <c r="V27" i="9"/>
  <c r="L19" i="2"/>
  <c r="K27" i="1"/>
  <c r="Z24" i="9"/>
  <c r="X24" i="9"/>
  <c r="V24" i="9"/>
  <c r="AA24" i="9"/>
  <c r="Y24" i="9"/>
  <c r="W24" i="9"/>
  <c r="K18" i="1"/>
  <c r="L10" i="2"/>
  <c r="C102" i="9"/>
  <c r="G102" i="9" s="1"/>
  <c r="AA23" i="9"/>
  <c r="Z23" i="9"/>
  <c r="Y23" i="9"/>
  <c r="X23" i="9"/>
  <c r="W23" i="9"/>
  <c r="V23" i="9"/>
  <c r="F102" i="9"/>
  <c r="Y19" i="9"/>
  <c r="AA19" i="9"/>
  <c r="Z19" i="9"/>
  <c r="W19" i="9"/>
  <c r="V19" i="9"/>
  <c r="D106" i="9"/>
  <c r="X19" i="9"/>
  <c r="D117" i="9"/>
  <c r="G117" i="9" s="1"/>
  <c r="AA18" i="9"/>
  <c r="Z18" i="9"/>
  <c r="X18" i="9"/>
  <c r="W18" i="9"/>
  <c r="V18" i="9"/>
  <c r="Y18" i="9"/>
  <c r="F117" i="9"/>
  <c r="K17" i="1"/>
  <c r="L9" i="2"/>
  <c r="I6" i="6"/>
  <c r="C107" i="9"/>
  <c r="G107" i="9" s="1"/>
  <c r="AA17" i="9"/>
  <c r="Z17" i="9"/>
  <c r="Y17" i="9"/>
  <c r="X17" i="9"/>
  <c r="W17" i="9"/>
  <c r="V17" i="9"/>
  <c r="F107" i="9"/>
  <c r="Y16" i="9"/>
  <c r="V16" i="9"/>
  <c r="D90" i="9"/>
  <c r="G90" i="9" s="1"/>
  <c r="Z16" i="9"/>
  <c r="X16" i="9"/>
  <c r="AA16" i="9"/>
  <c r="W16" i="9"/>
  <c r="F90" i="9"/>
  <c r="L17" i="2"/>
  <c r="K25" i="1"/>
  <c r="AA14" i="9"/>
  <c r="Y14" i="9"/>
  <c r="X14" i="9"/>
  <c r="W14" i="9"/>
  <c r="V14" i="9"/>
  <c r="D118" i="9"/>
  <c r="G118" i="9" s="1"/>
  <c r="Z14" i="9"/>
  <c r="F118" i="9"/>
  <c r="K15" i="1"/>
  <c r="L7" i="2"/>
  <c r="C124" i="9"/>
  <c r="X13" i="9"/>
  <c r="Y13" i="9"/>
  <c r="AA13" i="9"/>
  <c r="V13" i="9"/>
  <c r="Z13" i="9"/>
  <c r="W13" i="9"/>
  <c r="L16" i="2"/>
  <c r="K24" i="1"/>
  <c r="D92" i="9"/>
  <c r="G92" i="9" s="1"/>
  <c r="Z12" i="9"/>
  <c r="X12" i="9"/>
  <c r="W12" i="9"/>
  <c r="V12" i="9"/>
  <c r="AA12" i="9"/>
  <c r="Y12" i="9"/>
  <c r="F92" i="9"/>
  <c r="K16" i="1"/>
  <c r="L8" i="2"/>
  <c r="C89" i="9"/>
  <c r="AA11" i="9"/>
  <c r="Z11" i="9"/>
  <c r="Y11" i="9"/>
  <c r="X11" i="9"/>
  <c r="W11" i="9"/>
  <c r="V11" i="9"/>
  <c r="L15" i="2"/>
  <c r="K23" i="1"/>
  <c r="D120" i="9"/>
  <c r="G120" i="9" s="1"/>
  <c r="X10" i="9"/>
  <c r="Y10" i="9"/>
  <c r="V10" i="9"/>
  <c r="Z10" i="9"/>
  <c r="AA10" i="9"/>
  <c r="W10" i="9"/>
  <c r="F120" i="9"/>
  <c r="K22" i="1"/>
  <c r="L14" i="2"/>
  <c r="I7" i="6"/>
  <c r="AA9" i="9"/>
  <c r="X9" i="9"/>
  <c r="V9" i="9"/>
  <c r="Z9" i="9"/>
  <c r="Y9" i="9"/>
  <c r="W9" i="9"/>
  <c r="D109" i="9"/>
  <c r="G109" i="9" s="1"/>
  <c r="F109" i="9"/>
  <c r="K21" i="1"/>
  <c r="L13" i="2"/>
  <c r="I5" i="6"/>
  <c r="AA8" i="9"/>
  <c r="W8" i="9"/>
  <c r="X8" i="9"/>
  <c r="V8" i="9"/>
  <c r="Y8" i="9"/>
  <c r="D104" i="9"/>
  <c r="G104" i="9" s="1"/>
  <c r="Z8" i="9"/>
  <c r="F104" i="9"/>
  <c r="L12" i="2"/>
  <c r="K20" i="1"/>
  <c r="I11" i="6"/>
  <c r="D95" i="9"/>
  <c r="G95" i="9" s="1"/>
  <c r="Y7" i="9"/>
  <c r="W7" i="9"/>
  <c r="V7" i="9"/>
  <c r="AA7" i="9"/>
  <c r="Z7" i="9"/>
  <c r="X7" i="9"/>
  <c r="F95" i="9"/>
  <c r="K14" i="1"/>
  <c r="L6" i="2"/>
  <c r="C114" i="9"/>
  <c r="G114" i="9" s="1"/>
  <c r="AA6" i="9"/>
  <c r="Y6" i="9"/>
  <c r="X6" i="9"/>
  <c r="W6" i="9"/>
  <c r="V6" i="9"/>
  <c r="Z6" i="9"/>
  <c r="F114" i="9"/>
  <c r="K13" i="1"/>
  <c r="L5" i="2"/>
  <c r="I13" i="6"/>
  <c r="AA5" i="9"/>
  <c r="Z5" i="9"/>
  <c r="Y5" i="9"/>
  <c r="X5" i="9"/>
  <c r="W5" i="9"/>
  <c r="V5" i="9"/>
  <c r="C113" i="9"/>
  <c r="G113" i="9" s="1"/>
  <c r="F113" i="9"/>
  <c r="I12" i="6"/>
  <c r="Z36" i="9"/>
  <c r="Y36" i="9"/>
  <c r="X36" i="9"/>
  <c r="W36" i="9"/>
  <c r="V36" i="9"/>
  <c r="C115" i="9"/>
  <c r="G115" i="9" s="1"/>
  <c r="AA36" i="9"/>
  <c r="F115" i="9"/>
  <c r="V28" i="9"/>
  <c r="W28" i="9"/>
  <c r="X28" i="9"/>
  <c r="Y28" i="9"/>
  <c r="Z28" i="9"/>
  <c r="AA28" i="9"/>
  <c r="E107" i="9"/>
  <c r="Y70" i="9"/>
  <c r="V70" i="9"/>
  <c r="AA70" i="9"/>
  <c r="W70" i="9"/>
  <c r="X70" i="9"/>
  <c r="Z70" i="9"/>
  <c r="AA71" i="9"/>
  <c r="Z71" i="9"/>
  <c r="Y71" i="9"/>
  <c r="X71" i="9"/>
  <c r="W71" i="9"/>
  <c r="V71" i="9"/>
  <c r="Z67" i="9"/>
  <c r="X67" i="9"/>
  <c r="V67" i="9"/>
  <c r="E104" i="9"/>
  <c r="AA67" i="9"/>
  <c r="Y67" i="9"/>
  <c r="W67" i="9"/>
  <c r="V62" i="9"/>
  <c r="E85" i="9"/>
  <c r="G85" i="9" s="1"/>
  <c r="AA62" i="9"/>
  <c r="Z62" i="9"/>
  <c r="Y62" i="9"/>
  <c r="X62" i="9"/>
  <c r="W62" i="9"/>
  <c r="F85" i="9"/>
  <c r="S52" i="9"/>
  <c r="C70" i="11"/>
  <c r="C62" i="10"/>
  <c r="C63" i="10"/>
  <c r="C64" i="10"/>
  <c r="C72" i="11"/>
  <c r="AD52" i="8"/>
  <c r="C71" i="11"/>
  <c r="D24" i="2"/>
  <c r="E119" i="9"/>
  <c r="G119" i="9" s="1"/>
  <c r="Z68" i="9"/>
  <c r="X68" i="9"/>
  <c r="AA68" i="9"/>
  <c r="W68" i="9"/>
  <c r="Y68" i="9"/>
  <c r="V68" i="9"/>
  <c r="E110" i="9"/>
  <c r="G110" i="9" s="1"/>
  <c r="Z63" i="9"/>
  <c r="V63" i="9"/>
  <c r="AA63" i="9"/>
  <c r="Y63" i="9"/>
  <c r="X63" i="9"/>
  <c r="W63" i="9"/>
  <c r="F110" i="9"/>
  <c r="C94" i="11"/>
  <c r="AD56" i="8"/>
  <c r="L34" i="2" s="1"/>
  <c r="S56" i="9"/>
  <c r="C86" i="10"/>
  <c r="C95" i="11"/>
  <c r="C87" i="10"/>
  <c r="C88" i="10"/>
  <c r="C93" i="11"/>
  <c r="D34" i="2"/>
  <c r="D96" i="9"/>
  <c r="F96" i="9"/>
  <c r="C66" i="11" l="1"/>
  <c r="C56" i="10"/>
  <c r="D22" i="2"/>
  <c r="S43" i="9"/>
  <c r="C58" i="10"/>
  <c r="AD43" i="8"/>
  <c r="C57" i="10"/>
  <c r="C65" i="11"/>
  <c r="C64" i="11"/>
  <c r="C33" i="1"/>
  <c r="C91" i="11"/>
  <c r="C90" i="11"/>
  <c r="C85" i="10"/>
  <c r="C84" i="10"/>
  <c r="C83" i="10"/>
  <c r="S53" i="9"/>
  <c r="D33" i="2"/>
  <c r="C92" i="11"/>
  <c r="AD53" i="8"/>
  <c r="L33" i="2" s="1"/>
  <c r="C98" i="11"/>
  <c r="C91" i="10"/>
  <c r="C90" i="10"/>
  <c r="C89" i="10"/>
  <c r="C96" i="11"/>
  <c r="S61" i="9"/>
  <c r="D35" i="2"/>
  <c r="C97" i="11"/>
  <c r="AD61" i="8"/>
  <c r="L35" i="2" s="1"/>
  <c r="F99" i="9"/>
  <c r="W69" i="9"/>
  <c r="Z69" i="9"/>
  <c r="E99" i="9"/>
  <c r="G99" i="9" s="1"/>
  <c r="V69" i="9"/>
  <c r="AA69" i="9"/>
  <c r="X69" i="9"/>
  <c r="Y69" i="9"/>
  <c r="F124" i="9"/>
  <c r="D88" i="9"/>
  <c r="G88" i="9" s="1"/>
  <c r="AA60" i="9"/>
  <c r="Z60" i="9"/>
  <c r="Y60" i="9"/>
  <c r="X60" i="9"/>
  <c r="W60" i="9"/>
  <c r="V60" i="9"/>
  <c r="F88" i="9"/>
  <c r="AA65" i="9"/>
  <c r="Y65" i="9"/>
  <c r="W65" i="9"/>
  <c r="V65" i="9"/>
  <c r="D94" i="9"/>
  <c r="Z65" i="9"/>
  <c r="X65" i="9"/>
  <c r="Y41" i="9"/>
  <c r="X41" i="9"/>
  <c r="W41" i="9"/>
  <c r="V41" i="9"/>
  <c r="Z41" i="9"/>
  <c r="AA41" i="9"/>
  <c r="L18" i="2"/>
  <c r="K26" i="1"/>
  <c r="V15" i="9"/>
  <c r="W15" i="9"/>
  <c r="X15" i="9"/>
  <c r="Y15" i="9"/>
  <c r="Z15" i="9"/>
  <c r="AA15" i="9"/>
  <c r="D89" i="9"/>
  <c r="G89" i="9" s="1"/>
  <c r="AA40" i="9"/>
  <c r="W40" i="9"/>
  <c r="E94" i="9"/>
  <c r="Z40" i="9"/>
  <c r="Y40" i="9"/>
  <c r="X40" i="9"/>
  <c r="V40" i="9"/>
  <c r="F94" i="9"/>
  <c r="L21" i="2"/>
  <c r="K29" i="1"/>
  <c r="W48" i="9"/>
  <c r="X48" i="9"/>
  <c r="Z48" i="9"/>
  <c r="V48" i="9"/>
  <c r="Y48" i="9"/>
  <c r="AA48" i="9"/>
  <c r="K31" i="1"/>
  <c r="L23" i="2"/>
  <c r="AA52" i="9"/>
  <c r="Z52" i="9"/>
  <c r="Y52" i="9"/>
  <c r="X52" i="9"/>
  <c r="W52" i="9"/>
  <c r="V52" i="9"/>
  <c r="K32" i="1"/>
  <c r="L24" i="2"/>
  <c r="AA56" i="9"/>
  <c r="Z56" i="9"/>
  <c r="Y56" i="9"/>
  <c r="W56" i="9"/>
  <c r="V56" i="9"/>
  <c r="E124" i="9"/>
  <c r="G124" i="9" s="1"/>
  <c r="X56" i="9"/>
  <c r="I10" i="6"/>
  <c r="F89" i="9"/>
  <c r="E105" i="9"/>
  <c r="G105" i="9" s="1"/>
  <c r="F105" i="9"/>
  <c r="V43" i="9" l="1"/>
  <c r="W43" i="9"/>
  <c r="X43" i="9"/>
  <c r="Y43" i="9"/>
  <c r="AA43" i="9"/>
  <c r="Z43" i="9"/>
  <c r="L22" i="2"/>
  <c r="K30" i="1"/>
  <c r="F106" i="9"/>
  <c r="E106" i="9"/>
  <c r="G106" i="9" s="1"/>
  <c r="V53" i="9"/>
  <c r="W53" i="9"/>
  <c r="X53" i="9"/>
  <c r="Y53" i="9"/>
  <c r="Z53" i="9"/>
  <c r="AA53" i="9"/>
  <c r="F108" i="9"/>
  <c r="AA61" i="9"/>
  <c r="E108" i="9"/>
  <c r="G108" i="9" s="1"/>
  <c r="V61" i="9"/>
  <c r="W61" i="9"/>
  <c r="X61" i="9"/>
  <c r="Y61" i="9"/>
  <c r="Z61" i="9"/>
  <c r="G94" i="9"/>
</calcChain>
</file>

<file path=xl/sharedStrings.xml><?xml version="1.0" encoding="utf-8"?>
<sst xmlns="http://schemas.openxmlformats.org/spreadsheetml/2006/main" count="11951" uniqueCount="6793">
  <si>
    <t>Staples Marketplace PoC: the Top 20 L3/L4 shelves, and who to benchmark them against</t>
  </si>
  <si>
    <t>v3, prepared 29-Sep-2026 for Sai (LatentView). Paths are exact nodes from the Staples navigation tree (snapshot 21-Sep-2026).</t>
  </si>
  <si>
    <t>•</t>
  </si>
  <si>
    <t>Recommendation: 20 L3/L4 shelves: 7 Hero, 7 Probable Hero and 6 Non-Hero. Each is benchmarked against 4 competitors: 2 primaries (broad retailers that measure the gap) and 2 secondaries (enthusiast / design specialists outside Staples' scope that show the 'super-extension', like Scheels and Michaels in Ben's examples).</t>
  </si>
  <si>
    <t>Hero = Staples' own top categories (EXTEND with style variants; PROTECT where variants would copy 1P). Probable Hero = the market's top categories where Staples is not yet a destination (BUILD). Non-Hero = neither (EXPLORE: a low-risk test where sellers hold the stock). Full rules and 1-5 anchors are in 'Hero Criteria'.</t>
  </si>
  <si>
    <t>How the 20 are chosen: 4 hard gates, then the Hero segment, then an 8-criterion path score. The best shelves inside each segment fill the quota. Quotas, cut-offs and weights are editable, and everything recalculates.</t>
  </si>
  <si>
    <t>Secondaries double as a recruitment list: 9 of the Top-20 secondary picks are D2C brands that could list on Staples Marketplace themselves (Bellroy, Bentgo, Erin Condren, Fellow, Felt Right, Grovemade, Keychron, Orbitkey, YETI).</t>
  </si>
  <si>
    <t>8 Top-20 shelves already have Staples SKUs in hand ('Fast-start'); the rest need a Staples leaf scrape first.</t>
  </si>
  <si>
    <t>Caveats: no internal Staples sales or margin data, so 'Hero' uses external proxies (swap in Staples' own sales rank when Pat shares it). Competitor depth is scored from desk research (retailer sites blocked live counts); confirm it when listings are collected.</t>
  </si>
  <si>
    <t>Top 20 (grouped by segment; everything in this table is live)</t>
  </si>
  <si>
    <t>#</t>
  </si>
  <si>
    <t>Segment · play</t>
  </si>
  <si>
    <t>Staples path (exact L3/L4)</t>
  </si>
  <si>
    <t>Score</t>
  </si>
  <si>
    <t>Primary 1</t>
  </si>
  <si>
    <t>Primary 2</t>
  </si>
  <si>
    <t>Secondary 1</t>
  </si>
  <si>
    <t>Secondary 2</t>
  </si>
  <si>
    <t>The story for the room</t>
  </si>
  <si>
    <t>Commercial moment</t>
  </si>
  <si>
    <t>Fast-start</t>
  </si>
  <si>
    <t>Office Supplies &gt; Calendars &amp; Planners &gt; Planners &amp; Personal Organizers</t>
  </si>
  <si>
    <t>Staples launched Sincerely Jules for Blue Sky in Jun-2026. This shows the next step beyond one influencer line.</t>
  </si>
  <si>
    <t>Jan-2027 New Year planning; Jul-Aug 2027 academic planners.</t>
  </si>
  <si>
    <t>Office Supplies &gt; Desk Organizers &amp; Accessories &gt; Desk Organizers</t>
  </si>
  <si>
    <t>Desk organization is a header-nav Staples staple and a low-ticket attach to every paper and pen basket.</t>
  </si>
  <si>
    <t>January 'get organized' season; BTS desk &amp; dorm refresh.</t>
  </si>
  <si>
    <t>School Supplies &gt; Teacher Supplies &gt; Classroom Decorations &gt; Decorative Accents &amp; Board Sets</t>
  </si>
  <si>
    <t>Teachers are a Staples loyalty segment (teacher coupon, teacher lists).</t>
  </si>
  <si>
    <t>BTS-2027 classroom set-up (Jul-Aug); Teacher Appreciation Week (May).</t>
  </si>
  <si>
    <t>Bags, Backpacks &amp; Luggage &gt; Backpacks &amp; Laptop Bags &gt; Backpacks</t>
  </si>
  <si>
    <t>JanSport now sells on Target Plus, the curated-marketplace peer Pat can point to.</t>
  </si>
  <si>
    <t>BTS-2027.</t>
  </si>
  <si>
    <t>Furniture &gt; Desks &gt; Office Desks</t>
  </si>
  <si>
    <t>Second half of the White Chair story.</t>
  </si>
  <si>
    <t>Q1 office refresh.</t>
  </si>
  <si>
    <t>Furniture &gt; Boards &amp; Easels &gt; Bulletin Boards</t>
  </si>
  <si>
    <t>Letter boards are an office &amp; classroom staple.</t>
  </si>
  <si>
    <t>BTS dorm; Jan planning.</t>
  </si>
  <si>
    <t>Computers &amp; Accessories &gt; Computer Accessories &amp; Peripherals &gt; Computer Keyboards</t>
  </si>
  <si>
    <t>Shows the colour gap inside a brand Staples already sells.</t>
  </si>
  <si>
    <t>BTS; holiday.</t>
  </si>
  <si>
    <t>Coffee, Water &amp; Snacks &gt; Water &amp; Beverages &gt; Water Bottles, Tumblers &amp; Travel Mugs</t>
  </si>
  <si>
    <t>Everyone in the room knows the Stanley / Owala craze.</t>
  </si>
  <si>
    <t>BTS-2027 (Jul-Sep); Q4 gifting; January hydration resolutions.</t>
  </si>
  <si>
    <t>Furniture &gt; Chairs &amp; Seating &gt; Accent &amp; Waiting Room Chairs</t>
  </si>
  <si>
    <t>Pat's own example: the thesis in one picture.</t>
  </si>
  <si>
    <t>Q1-2027 office refresh and return-to-office budgets.</t>
  </si>
  <si>
    <t>Furniture &gt; Lamps &amp; Lighting &gt; Desk Lamps</t>
  </si>
  <si>
    <t>2026 home-office trend reports all name better lighting and warm materials.</t>
  </si>
  <si>
    <t>Q1-2027 home-office refresh; BTS dorm.</t>
  </si>
  <si>
    <t>Office Supplies &gt; Writing Supplies &amp; Instruments &gt; Pencil Accessories &gt; Pencil Cases &amp; Pouches</t>
  </si>
  <si>
    <t>Staples' Recess Club / Jellygram exclusives (BTS 2026) already prove the demand.</t>
  </si>
  <si>
    <t>BTS-2027 (Jul-Sep).</t>
  </si>
  <si>
    <t>Bags, Backpacks &amp; Luggage &gt; Totes &amp; Handbags &gt; Lunch Bags &amp; Boxes</t>
  </si>
  <si>
    <t>BTS is Pat's named seasonal anchor and lunch is on every parent's list.</t>
  </si>
  <si>
    <t>BTS-2027; January 'bring lunch to the office' resolutions.</t>
  </si>
  <si>
    <t>Office Supplies &gt; Storage &amp; Organization &gt; Storage Baskets</t>
  </si>
  <si>
    <t>Organization is a January ritual every retailer promotes.</t>
  </si>
  <si>
    <t>January 'get organized' season.</t>
  </si>
  <si>
    <t>Bags, Backpacks &amp; Luggage &gt; Backpacks &amp; Laptop Bags &gt; Laptop Sleeves &amp; Cases</t>
  </si>
  <si>
    <t>Directly serves Pat's '1-2 extra items per checkout'.</t>
  </si>
  <si>
    <t>BTS; laptop-attach all year.</t>
  </si>
  <si>
    <t>Furniture &gt; Decor &gt; Clocks &amp; Timers</t>
  </si>
  <si>
    <t>Every office wall has one.</t>
  </si>
  <si>
    <t>Office Supplies &gt; Desk Organizers &amp; Accessories &gt; Desk Pads</t>
  </si>
  <si>
    <t>Wayfair even has a Desk Pads node.</t>
  </si>
  <si>
    <t>Q1.</t>
  </si>
  <si>
    <t>Coffee, Water &amp; Snacks &gt; Coffee, Coffee Makers &amp; Supplies &gt; Coffee Organizers &amp; Dispensers</t>
  </si>
  <si>
    <t>Every office has a coffee corner.</t>
  </si>
  <si>
    <t>Q1-2027 breakroom refresh; holiday hosting.</t>
  </si>
  <si>
    <t>Furniture &gt; Cubicle &amp; Panel Systems &gt; Desktop Privacy Panels</t>
  </si>
  <si>
    <t>Open-plan noise is every office manager's complaint.</t>
  </si>
  <si>
    <t>Q1-2027 return-to-office fit-outs.</t>
  </si>
  <si>
    <t>Furniture &gt; Cubicle &amp; Panel Systems &gt; Office Partitions &amp; Dividers</t>
  </si>
  <si>
    <t>'Broken-plan' offices and home work corners.</t>
  </si>
  <si>
    <t>Q1-2027 office fit-outs; WFH corners.</t>
  </si>
  <si>
    <t>Coffee, Water &amp; Snacks &gt; Coffee, Coffee Makers &amp; Supplies &gt; Carafes, Kettles &amp; Decanters</t>
  </si>
  <si>
    <t>Coffee culture at the office.</t>
  </si>
  <si>
    <t>Q4 gifting; Q1 breakroom refresh.</t>
  </si>
  <si>
    <t>Top-20 mix (live)</t>
  </si>
  <si>
    <t>What changed</t>
  </si>
  <si>
    <t>v3 vs v2: the recommendation is now a Top 20 with every segment represented (7 / 7 / 6). Non-Hero shelves are no longer capped; their play is EXPLORE (a low-risk marketplace test). Six Non-Hero shelves enter: Clocks, Desk Pads, Coffee Organizers, Desktop Privacy Panels, Office Partitions and Kettles.</t>
  </si>
  <si>
    <t>v3 vs v2: four competitors per shelf (2 primary + 2 secondary) with separate, documented criteria ('Competitor Criteria'). Scheels and Michaels, your original picks, are kept as secondaries where they score best (Water Bottles; Planners). For Backpacks, Bellroy and Urban Outfitters edge Scheels on adjacency, so Scheels stays an alternate.</t>
  </si>
  <si>
    <t>v3 vs v2: dedicated 'Hero Criteria' sheet with plain-English definitions, the decision rule, 1-5 scoring anchors for every factor, quotas and worked plays.</t>
  </si>
  <si>
    <t>v3 vs v2: 9 new candidate shelves researched (incl. Ben's Scheels examples: yard games, recovery tools, hydration mixes). Outdoor Games is a Non-Hero reserve; the rest are backlog.</t>
  </si>
  <si>
    <t>Versus your initial 9-item list: kept and drilled down Chairs &amp; Seating, Desks, Lamps, Hydration and Planning. Parked Rugs and Labels (no L3/L4 below them), reframed Labels &amp; Packaging to small-business packaging, and refocused Fitness to 'active workstation'. See 'Your List Review'.</t>
  </si>
  <si>
    <t>Suggested sequencing</t>
  </si>
  <si>
    <t>1.</t>
  </si>
  <si>
    <t>Wave 1a (Staples data in hand): Planners, Backpacks, Office desks, Water bottles, Accent chairs, Desk lamps, Lunch, Laptop sleeves.</t>
  </si>
  <si>
    <t>2.</t>
  </si>
  <si>
    <t>Wave 1b (needs a Staples leaf scrape): Desk organizers, Classroom decor, Bulletin boards, Keyboards, Pencil cases, Storage baskets, Clocks, Desk pads, Coffee organizers, Privacy panels, Partitions, Kettles.</t>
  </si>
  <si>
    <t>3.</t>
  </si>
  <si>
    <t>Keep Office Chairs as a control shelf (Hero, PROTECT): it shows the safety gate correctly rejecting look-alikes of core 1P chairs.</t>
  </si>
  <si>
    <t>4.</t>
  </si>
  <si>
    <t>Collect primaries at scale for the gap maths; sample secondaries by hand as a style / upside lens. Ask Pat for a Staples sales / margin rank to replace the Hero proxies.</t>
  </si>
  <si>
    <t>How to read this workbook</t>
  </si>
  <si>
    <t>Top 20 Recommendations</t>
  </si>
  <si>
    <t>The 20 shelves (+ 9 reserves) with segment, play, 4 competitors, the super-extension, archetypes, 1P watch-outs and moments.</t>
  </si>
  <si>
    <t>Segment Map</t>
  </si>
  <si>
    <t>One picture: every shelf placed as Hero, Probable Hero or Non-Hero.</t>
  </si>
  <si>
    <t>Hero Criteria</t>
  </si>
  <si>
    <t>Segment definitions, the decision rule, 1-5 anchors, cut-offs and quotas (editable).</t>
  </si>
  <si>
    <t>Competitor Criteria</t>
  </si>
  <si>
    <t>Primary (K1-K5) and secondary (E1-E5) competitor criteria, pools and weights (editable).</t>
  </si>
  <si>
    <t>Your List Review</t>
  </si>
  <si>
    <t>Verdict on each of the 9 initial items, their segment mix, and exact L3/L4 drill-downs.</t>
  </si>
  <si>
    <t>Selection Criteria</t>
  </si>
  <si>
    <t>Gates and the 8 path-score criteria (editable).</t>
  </si>
  <si>
    <t>Path Scorecard</t>
  </si>
  <si>
    <t>All 76 candidate shelves with gates, segment, score, rank, status, play and 4 competitors (formulas).</t>
  </si>
  <si>
    <t>Hero Segmentation</t>
  </si>
  <si>
    <t>The two indices behind each segment, plus an L2 roll-up.</t>
  </si>
  <si>
    <t>Primary / Secondary Competitor Fit</t>
  </si>
  <si>
    <t>Competitor scores per shelf; ranks 1-2 are the picks.</t>
  </si>
  <si>
    <t>Competitor Profiles</t>
  </si>
  <si>
    <t>Every competitor: pool, evidence, scores, where it is used, cautions.</t>
  </si>
  <si>
    <t>Parked &amp; Excluded / Evidence &amp; Sources / Staples Tree Extract</t>
  </si>
  <si>
    <t>What was dropped and why; every fact with its source; all terminal Staples nodes.</t>
  </si>
  <si>
    <t>Legend</t>
  </si>
  <si>
    <t>Blue text on yellow = editable input. Segments: blue Hero, orange Probable Hero, grey Non-Hero. Status: green Recommended, amber Reserve, grey Backlog, light blue Protect, red Parked.</t>
  </si>
  <si>
    <t>Top 20 L3/L4 recommendations: 7 Hero · 7 Probable Hero · 6 Non-Hero, each with 4 competitors</t>
  </si>
  <si>
    <t>Segment, rank, status, play, score and all four competitors are live lookups. Primary = broad retailer (measures the gap); Secondary = enthusiast / design specialist (the super-extension).</t>
  </si>
  <si>
    <t>Hero segment</t>
  </si>
  <si>
    <t>Rank in segment</t>
  </si>
  <si>
    <t>Status (live)</t>
  </si>
  <si>
    <t>Marketplace play</t>
  </si>
  <si>
    <t>Path score</t>
  </si>
  <si>
    <t>Staples path (exact)</t>
  </si>
  <si>
    <t>Level</t>
  </si>
  <si>
    <t>Category ID</t>
  </si>
  <si>
    <t>Staples items</t>
  </si>
  <si>
    <t>SKUs in hand</t>
  </si>
  <si>
    <t>Secondary 1 (enthusiast)</t>
  </si>
  <si>
    <t>Secondary 2 (enthusiast)</t>
  </si>
  <si>
    <t>What the secondaries show (super-extension)</t>
  </si>
  <si>
    <t>Why this path</t>
  </si>
  <si>
    <t>Archetypes we expect to find (hypotheses)</t>
  </si>
  <si>
    <t>1P watch-out (cannibalisation)</t>
  </si>
  <si>
    <t>Why the room will relate</t>
  </si>
  <si>
    <t>Where to look on the primaries</t>
  </si>
  <si>
    <t>Staples URL</t>
  </si>
  <si>
    <t>CL166388</t>
  </si>
  <si>
    <t>Erin Condren and Michaels show the enthusiast planner system: customisable LifePlanners, disc-bound Happy Planner, stickers and accessories sold as an ecosystem.</t>
  </si>
  <si>
    <t>Staples' deepest stationery shelf (1,037 items) is dated-planner led (Blue Sky, At-A-Glance). Enthusiast formats (disc-bound, undated, sticker-ready, wellness) live at Michaels and Amazon.</t>
  </si>
  <si>
    <t>Disc-bound customisable planners; undated goal &amp; wellness planners; pastel/floral teacher &amp; student planners; vegan-leather premium planners ($30-60).</t>
  </si>
  <si>
    <t>Dated 12-month planners incl. the Sincerely Jules exclusive: add other formats, not look-alikes.</t>
  </si>
  <si>
    <t>Amazon: Planners, Refills &amp; Covers (breadth + recruitable sellers). Michaels: Papercraft &gt; Planners (The Happy Planner + companion accessories); near-tie with Amazon.</t>
  </si>
  <si>
    <t>https://www.staples.com/Planners-Personal-Organizers/cat_CL166388</t>
  </si>
  <si>
    <t>CL140991</t>
  </si>
  <si>
    <t>Grovemade shows the premium end (walnut, cork, modular desk systems); The Container Store shows coordinated acrylic / marble collections.</t>
  </si>
  <si>
    <t>Staples' 342 organizers are mostly black mesh and utility. Target (Brightroom) and Container Store sell coordinated desk collections in acrylic, bamboo, marble, linen and pastel.</t>
  </si>
  <si>
    <t>Clear acrylic modular sets; warm-wood / bamboo sets; pastel &amp; neutral 'aesthetic desk' collections; turntable caddies.</t>
  </si>
  <si>
    <t>Black mesh sets (Staples brand, Officemate).</t>
  </si>
  <si>
    <t>Target: Brightroom desk organization + Target Plus brands. Amazon: Desk Organizers. Container Store: Office &gt; Desktop Collections (style benchmark).</t>
  </si>
  <si>
    <t>https://www.staples.com/Desk-Organizers/cat_CL140991</t>
  </si>
  <si>
    <t>CL219245</t>
  </si>
  <si>
    <t>Etsy shows handmade theme sets (boho, calm); Oriental Trading shows complete themed classroom kits.</t>
  </si>
  <si>
    <t>607 Staples items. Teachers self-fund about $895 a year and buy decor as coordinated themes (boho, calm, pastel).</t>
  </si>
  <si>
    <t>Boho / neutral theme sets; calm-corner &amp; SEL decor; pastel bulletin-board kits; plant &amp; nature themes.</t>
  </si>
  <si>
    <t>Existing bulletin-board sets: compare theme coverage, not SKU swaps.</t>
  </si>
  <si>
    <t>Amazon: Classroom Decorations. Oriental Trading: Teaching Supplies &gt; Classroom Decorations. Michaels: Teacher Supplies.</t>
  </si>
  <si>
    <t>https://www.staples.com/Decorative-Accents-Board-Sets/cat_CL219245</t>
  </si>
  <si>
    <t>CL142745</t>
  </si>
  <si>
    <t>Bellroy shows premium commuter design; Urban Outfitters shows fashion-led styles (mini packs, corduroy). Scheels and REI (alternates) show technical packs.</t>
  </si>
  <si>
    <t>585 Staples items, laptop &amp; commuter led. 85% of parents bought a backpack for BTS; lifestyle backpacks grew 3% in 2025 (Circana).</t>
  </si>
  <si>
    <t>Corduroy / soft-aesthetic backpacks; Scandinavian-minimal daypacks; mini backpacks; personalisable patch &amp; pin packs.</t>
  </si>
  <si>
    <t>Laptop backpacks (SwissGear, Targus): watch cannibalisation here.</t>
  </si>
  <si>
    <t>Amazon: Backpacks. Target: Backpacks (incl. JanSport on Target Plus).</t>
  </si>
  <si>
    <t>https://www.staples.com/Backpacks/cat_CL142745</t>
  </si>
  <si>
    <t>CL210795</t>
  </si>
  <si>
    <t>Design Within Reach shows iconic design desks (Herman Miller); West Elm shows mid-century home-office desks.</t>
  </si>
  <si>
    <t>1,501 Staples items. Pilot Computer-desk split: 3 recommended archetypes (1 Strong). Split by Staples' own type facet.</t>
  </si>
  <si>
    <t>Fluted / curved-edge writing desks; cane &amp; rattan desks; small-space floating desks; warm-wood Scandinavian desks.</t>
  </si>
  <si>
    <t>Laminate computer desks (Bush, Sauder, Union &amp; Scale).</t>
  </si>
  <si>
    <t>Wayfair: Office Furniture &gt; Desks + Small Space Offices. Amazon: Home Office Desks.</t>
  </si>
  <si>
    <t>https://www.staples.com/Office-Desks/cat_CL210795</t>
  </si>
  <si>
    <t>CL142403</t>
  </si>
  <si>
    <t>Etsy shows letter boards and custom felt boards; Pottery Barn Teen shows scalloped, fabric and statement pinboards.</t>
  </si>
  <si>
    <t>284 Staples items, cork &amp; utility led.</t>
  </si>
  <si>
    <t>Fabric memo boards; felt letter boards; pinnable felt tiles; framed &amp; acrylic boards.</t>
  </si>
  <si>
    <t>Cork boards (Quartet, U Brands).</t>
  </si>
  <si>
    <t>Amazon: memo &amp; letter boards. Wayfair: Office Organization &gt; Memo Boards.</t>
  </si>
  <si>
    <t>https://www.staples.com/Bulletin-Boards/cat_CL142403</t>
  </si>
  <si>
    <t>CL215783</t>
  </si>
  <si>
    <t>Keychron and Drop show the enthusiast keyboard world: retro layouts, custom keycaps, hot-swap switches.</t>
  </si>
  <si>
    <t>374 Staples items. Typewriter-style and pastel keyboards went mainstream (Logitech POP).</t>
  </si>
  <si>
    <t>Retro round-key keyboards; pastel compact 75% boards; colour-matched keyboard + mouse sets.</t>
  </si>
  <si>
    <t>Logitech / Microsoft business keyboards: core 1P, watch CRS.</t>
  </si>
  <si>
    <t>Amazon: Keyboards. Best Buy: Keyboards (colour filter).</t>
  </si>
  <si>
    <t>https://www.staples.com/Computer-Keyboards/cat_CL215783</t>
  </si>
  <si>
    <t>CL354650</t>
  </si>
  <si>
    <t>Scheels shows wall-to-wall colourways, lids and accessories; YETI shows customisation and premium colour drops.</t>
  </si>
  <si>
    <t>Staples carries 463 desk-use items. Specialists sell full colourways, lids, sizes and accessories from Owala, Stanley, YETI, HydroJug and BruMate.</t>
  </si>
  <si>
    <t>Sip/chug hybrid bottles; 40 oz handle tumblers in seasonal colourways; kids' 12-16 oz school bottles; lids, boots &amp; straw accessories.</t>
  </si>
  <si>
    <t>Stanley / Hydro Flask SKUs Staples already sells: gap is colourway &amp; size, not the same SKU.</t>
  </si>
  <si>
    <t>Dick's: Drinkware / Sport Water Bottles. Target: water bottles &amp; tumblers incl. exclusive colourways.</t>
  </si>
  <si>
    <t>https://www.staples.com/Water-Bottles-Tumblers-Travel-Mugs/cat_CL354650</t>
  </si>
  <si>
    <t>CL70203</t>
  </si>
  <si>
    <t>Article and West Elm show the design-led mid-century / boucle end at $300-600.</t>
  </si>
  <si>
    <t>The original 'White Chair' shelf. Pilot (Sep-2026): 5 recommended archetypes, 2 Strong; 94% high-confidence mapping.</t>
  </si>
  <si>
    <t>Boucle / curved barrel chairs; cream &amp; sage upholstered side chairs with wood legs; rattan &amp; cane lounge chairs; $150-350 design tier.</t>
  </si>
  <si>
    <t>Black vinyl / fabric guest &amp; reception chairs (Flash, Boss, HON).</t>
  </si>
  <si>
    <t>Wayfair: Living Room &gt; Accent Chairs and Professional &gt; Office Seating &gt; Accent Chairs. Amazon: Accent Chairs.</t>
  </si>
  <si>
    <t>https://www.staples.com/Accent-Waiting-Room-Chairs/cat_CL70203</t>
  </si>
  <si>
    <t>CL167867</t>
  </si>
  <si>
    <t>Lamps Plus shows specialist depth (90,000+ designs); Urban Outfitters shows trend lamps (mushroom, pleated).</t>
  </si>
  <si>
    <t>210 Staples items, mostly LED task lamps. Wayfair sells mushroom, pleated, rechargeable and sculptural lamps that sit between task light and decor.</t>
  </si>
  <si>
    <t>Mushroom / dome lamps; pleated-shade &amp; ceramic-base lamps; rechargeable cordless lamps; brass &amp; warm-wood architect lamps.</t>
  </si>
  <si>
    <t>LED task lamps with USB ports: Staples' core.</t>
  </si>
  <si>
    <t>Wayfair: Lighting &gt; Table &amp; Floor Lamps &gt; Desk Lamps (+ Teen Desk Lamps). Amazon: Desk Lamps.</t>
  </si>
  <si>
    <t>https://www.staples.com/Desk-Lamps/cat_CL167867</t>
  </si>
  <si>
    <t>CL141253</t>
  </si>
  <si>
    <t>JetPens and Kinokuniya show Japanese stationery culture: stand-up pouches, multi-compartment cases, character collabs.</t>
  </si>
  <si>
    <t>107 Staples items. The pencil pouch is the first 'aesthetic' purchase in the BTS basket, at under $20.</t>
  </si>
  <si>
    <t>Large-capacity multi-layer pouches (Japanese style); clear / jelly pouches; corduroy &amp; quilted pouches; kawaii &amp; character cases.</t>
  </si>
  <si>
    <t>Staples' own Recess Club pouches: extend beyond them, don't duplicate.</t>
  </si>
  <si>
    <t>Amazon: Pencil Cases. Target: pencil cases &amp; pouches. JetPens: Pencil Cases (style benchmark).</t>
  </si>
  <si>
    <t>https://www.staples.com/Pencil-Cases-Pouches/cat_CL141253</t>
  </si>
  <si>
    <t>CL165124</t>
  </si>
  <si>
    <t>Bentgo shows the bento system for kids and adults; Pottery Barn Kids shows personalised, coordinated lunch bundles.</t>
  </si>
  <si>
    <t>404 Staples items. Bento compartments, stainless and leak-proof designs lead BTS and work-lunch search.</t>
  </si>
  <si>
    <t>Bento compartment boxes (kids &amp; adult); neutral / vegan-leather insulated lunch totes; stainless &amp; glass meal-prep sets.</t>
  </si>
  <si>
    <t>Basic insulated lunch bags Staples already stocks.</t>
  </si>
  <si>
    <t>Amazon: Lunch Boxes &amp; Bags. Target: lunch boxes &amp; bags (Bentgo, Stasher, owned brands).</t>
  </si>
  <si>
    <t>https://www.staples.com/Lunch-Bags-Boxes/cat_CL165124</t>
  </si>
  <si>
    <t>CL354705</t>
  </si>
  <si>
    <t>The Container Store and Pottery Barn show curated basket collections (seagrass, rattan, lined).</t>
  </si>
  <si>
    <t>Only 95 Staples items, while Wayfair has dedicated Woven Baskets, Decorative Bins and Fabric Baskets nodes. Pure style-led storage.</t>
  </si>
  <si>
    <t>Seagrass / water-hyacinth woven baskets; felt &amp; linen fabric bins; lined wire baskets; lidded decorative boxes.</t>
  </si>
  <si>
    <t>Plastic bins sit in the sister node: keep baskets style-led.</t>
  </si>
  <si>
    <t>Wayfair: Organization &gt; Storage Containers &amp; Drawers (Woven Baskets, Decorative Bins, Fabric Baskets). Target: Brightroom baskets.</t>
  </si>
  <si>
    <t>https://www.staples.com/Storage-Baskets/cat_CL354705</t>
  </si>
  <si>
    <t>CL219256</t>
  </si>
  <si>
    <t>Bellroy shows premium minimal sleeves; Urban Outfitters shows fashion sleeves.</t>
  </si>
  <si>
    <t>300 Staples items. A sleeve is a low-ticket attach to every laptop sale.</t>
  </si>
  <si>
    <t>Felt &amp; vegan-leather sleeves; pastel / pattern sleeves with pouch; puffer sleeves.</t>
  </si>
  <si>
    <t>Black Targus / Case Logic sleeves.</t>
  </si>
  <si>
    <t>Amazon: Laptop Sleeves. Target: laptop sleeves.</t>
  </si>
  <si>
    <t>https://www.staples.com/Laptop-Sleeves-Cases/cat_CL219256</t>
  </si>
  <si>
    <t>CL161533</t>
  </si>
  <si>
    <t>Schoolhouse shows heirloom-design clocks; Anthropologie shows statement decor clocks.</t>
  </si>
  <si>
    <t>229 Staples items, mostly office wall clocks. Wayfair runs a whole Clocks department.</t>
  </si>
  <si>
    <t>Oversized wood / metal wall clocks; minimalist silent clocks; mantel &amp; desk clocks.</t>
  </si>
  <si>
    <t>Atomic / commercial wall clocks.</t>
  </si>
  <si>
    <t>Wayfair: Decor &amp; Pillows &gt; Clocks. Amazon: Wall Clocks.</t>
  </si>
  <si>
    <t>https://www.staples.com/Clocks-Timers/cat_CL161533</t>
  </si>
  <si>
    <t>CL140589</t>
  </si>
  <si>
    <t>Grovemade and Orbitkey show the premium desk pad (vegetable-tanned leather, felt, built-in organisers).</t>
  </si>
  <si>
    <t>82 Staples items; overlaps with desk mats.</t>
  </si>
  <si>
    <t>Vegan-leather dual-colour desk pads; felt blotters.</t>
  </si>
  <si>
    <t>Paper desk-pad calendars.</t>
  </si>
  <si>
    <t>Amazon. Wayfair: Office Organization &gt; Desk Pads.</t>
  </si>
  <si>
    <t>https://www.staples.com/Desk-Pads/cat_CL140589</t>
  </si>
  <si>
    <t>CL214775</t>
  </si>
  <si>
    <t>Williams Sonoma and Crate &amp; Barrel show the styled coffee bar (ash-wood stations, glass canisters).</t>
  </si>
  <si>
    <t>50 Staples items, mostly K-cup carousels and condiment caddies. The coffee corner has become a styled 'coffee bar' at home and in breakrooms.</t>
  </si>
  <si>
    <t>Ash-wood / bamboo pod drawers and coffee stations; glass canister sets; marble &amp; brass coffee-bar trays; tiered coffee-bar shelves.</t>
  </si>
  <si>
    <t>Keurig carousels and condiment organisers (low 1P risk).</t>
  </si>
  <si>
    <t>Amazon / Target: coffee pod storage. Williams Sonoma: Coffee Bar Accessories, Hold Everything. Crate &amp; Barrel: coffee storage.</t>
  </si>
  <si>
    <t>https://www.staples.com/Coffee-Organizers-Dispensers/cat_CL214775</t>
  </si>
  <si>
    <t>CL166381</t>
  </si>
  <si>
    <t>Felt Right shows acoustic felt panels as design objects; Etsy shows handmade felt screens.</t>
  </si>
  <si>
    <t>136 Staples items of utilitarian desktop screens. Acoustic PET-felt dividers double as pinboards and come in colours and patterns.</t>
  </si>
  <si>
    <t>Patterned acoustic felt desk dividers (sage, terracotta); pinnable felt screens; clamp-on curved dividers.</t>
  </si>
  <si>
    <t>Clear acrylic / fabric desktop panels (low risk).</t>
  </si>
  <si>
    <t>Amazon / Wayfair: desk dividers. Felt Right: Room &amp; Desk Dividers. Etsy: felt panels.</t>
  </si>
  <si>
    <t>https://www.staples.com/Desktop-Privacy-Panels/cat_CL166381</t>
  </si>
  <si>
    <t>CL70600</t>
  </si>
  <si>
    <t>Felt Right shows acoustic room dividers; Anthropologie shows decorative folding screens.</t>
  </si>
  <si>
    <t>152 Staples items of office partitions. Folding screens are back in home decor, and room-divider searches peaked in Feb-2026.</t>
  </si>
  <si>
    <t>Rattan / cane folding screens; slatted wood dividers with shelves; acoustic felt room dividers; tension-rod curtain dividers.</t>
  </si>
  <si>
    <t>Cubicle panels and mobile partitions (Staples core).</t>
  </si>
  <si>
    <t>Wayfair: Room Dividers (Consumer + Pro). Amazon. Felt Right: acoustic dividers. Anthropologie: decorative screens.</t>
  </si>
  <si>
    <t>https://www.staples.com/Office-Partitions-Dividers/cat_CL70600</t>
  </si>
  <si>
    <t>CL142180</t>
  </si>
  <si>
    <t>Fellow and Williams Sonoma show the design / coffee-enthusiast kettle.</t>
  </si>
  <si>
    <t>55 Staples items of carafes, kettles &amp; decanters. The gooseneck, temperature-control kettle (Fellow Stagg) is a design object in coffee culture.</t>
  </si>
  <si>
    <t>Matte-black gooseneck kettles with temperature control; retro enamel kettles; glass tea kettles.</t>
  </si>
  <si>
    <t>Basic electric kettles and airpots (moderate 1P).</t>
  </si>
  <si>
    <t>Amazon / Target: electric kettles. Fellow: Stagg range. Williams Sonoma: kettles.</t>
  </si>
  <si>
    <t>https://www.staples.com/Carafes-Kettles-Decanters/cat_CL142180</t>
  </si>
  <si>
    <t>Reserves: the next 3 shelves per segment (swap-ins)</t>
  </si>
  <si>
    <t>R1</t>
  </si>
  <si>
    <t>Office Supplies &gt; Calendars &amp; Planners &gt; Calendars</t>
  </si>
  <si>
    <t>CL166389</t>
  </si>
  <si>
    <t>Erin Condren and Etsy show design and personalised calendars.</t>
  </si>
  <si>
    <t>1,234 Staples items of dated wall &amp; desk calendars.</t>
  </si>
  <si>
    <t>Art &amp; photography wall calendars; acrylic reusable calendars; minimalist desk calendars.</t>
  </si>
  <si>
    <t>At-A-Glance / Blue Sky dated calendars: core 1P.</t>
  </si>
  <si>
    <t>Q4-2026 / Jan-2027 dated-goods peak.</t>
  </si>
  <si>
    <t>Calendar season lines up with Q1 planning.</t>
  </si>
  <si>
    <t>Amazon: wall calendars. Target.</t>
  </si>
  <si>
    <t>https://www.staples.com/Calendars/cat_CL166389</t>
  </si>
  <si>
    <t>R2</t>
  </si>
  <si>
    <t>Office Supplies &gt; Label Makers &amp; Tapes &gt; Label Makers</t>
  </si>
  <si>
    <t>CL90400</t>
  </si>
  <si>
    <t>Michaels (Cricut) and The Container Store show the organising / crafting use of label makers.</t>
  </si>
  <si>
    <t>148 Staples items (Brother, DYMO). Mini Bluetooth thermal printers went viral for home, classroom and seller labelling.</t>
  </si>
  <si>
    <t>Pastel mini Bluetooth label printers; sticker printers for small sellers; 4x6 shipping-label printers.</t>
  </si>
  <si>
    <t>Brother P-touch / DYMO LabelManager: core 1P, check CRS.</t>
  </si>
  <si>
    <t>January organize; BTS teachers.</t>
  </si>
  <si>
    <t>Your 'Labels &amp; Packaging' idea, made specific.</t>
  </si>
  <si>
    <t>Amazon: Label Makers. Michaels: Cricut Joy / craft machines.</t>
  </si>
  <si>
    <t>https://www.staples.com/Label-Makers/cat_CL90400</t>
  </si>
  <si>
    <t>R3</t>
  </si>
  <si>
    <t>Shipping, Packing &amp; Mailing Supplies &gt; Mailing Supplies &gt; Mailers</t>
  </si>
  <si>
    <t>CL142648</t>
  </si>
  <si>
    <t>noissue and Packhelp show custom-branded, eco packaging with low minimums.</t>
  </si>
  <si>
    <t>396 Staples items of utility mailers.</t>
  </si>
  <si>
    <t>Coloured &amp; printed poly mailers; recycled / compostable mailers; coloured padded kraft.</t>
  </si>
  <si>
    <t>Staples-brand &amp; Scotch bubble mailers: core 1P.</t>
  </si>
  <si>
    <t>Q4 small-business shipping peak.</t>
  </si>
  <si>
    <t>Small-business unboxing trend.</t>
  </si>
  <si>
    <t>Amazon: poly mailers. Uline: coloured poly mailers.</t>
  </si>
  <si>
    <t>https://www.staples.com/Mailers/cat_CL142648</t>
  </si>
  <si>
    <t>R4</t>
  </si>
  <si>
    <t>Bags, Backpacks &amp; Luggage &gt; Briefcases &amp; Padfolios &gt; Totes &amp; Handbags</t>
  </si>
  <si>
    <t>CL160451</t>
  </si>
  <si>
    <t>Bellroy and Nordstrom show premium work totes.</t>
  </si>
  <si>
    <t>173 Staples items. The work tote is the lifestyle version of the briefcase.</t>
  </si>
  <si>
    <t>Structured work totes with laptop sleeve; neoprene totes; vegan-leather commuter totes.</t>
  </si>
  <si>
    <t>Briefcases &amp; padfolios (Samsonite, Solo).</t>
  </si>
  <si>
    <t>Q1 return-to-office; graduation gifting.</t>
  </si>
  <si>
    <t>The 'White Chair' of bags.</t>
  </si>
  <si>
    <t>Amazon: work totes. Target: tote bags.</t>
  </si>
  <si>
    <t>https://www.staples.com/Totes-Handbags/cat_CL160451</t>
  </si>
  <si>
    <t>R5</t>
  </si>
  <si>
    <t>Office Supplies &gt; Notebooks &amp; Notepads &gt; Journals &amp; Diaries</t>
  </si>
  <si>
    <t>CL166390</t>
  </si>
  <si>
    <t>JetPens and Kinokuniya show premium Japanese journals (Hobonichi, Traveler's).</t>
  </si>
  <si>
    <t>253 Staples items. Journaling is a Gen-Z wellness habit.</t>
  </si>
  <si>
    <t>Dotted-grid bullet journals; linen &amp; leather-look hardcovers; guided gratitude / wellness journals.</t>
  </si>
  <si>
    <t>Notebooks Staples already sells.</t>
  </si>
  <si>
    <t>Jan-2027.</t>
  </si>
  <si>
    <t>Pairs with the planner story.</t>
  </si>
  <si>
    <t>Amazon: Journals. Michaels: Papercraft journals.</t>
  </si>
  <si>
    <t>https://www.staples.com/Journals-Diaries/cat_CL166390</t>
  </si>
  <si>
    <t>R6</t>
  </si>
  <si>
    <t>Furniture &gt; Decor &gt; Artificial Plants &amp; Flowers &gt; Artificial Plants</t>
  </si>
  <si>
    <t>CL355087</t>
  </si>
  <si>
    <t>Michaels (floral) and Anthropologie show premium faux botanicals.</t>
  </si>
  <si>
    <t>203 Staples items. Plants are the most-used desk personalisation in 2026 home-office trend reports.</t>
  </si>
  <si>
    <t>Trailing pothos / ivy; small potted succulents in ceramic; olive &amp; fiddle-leaf floor trees; plant + planter sets.</t>
  </si>
  <si>
    <t>Seasonal faux trees &amp; wreaths.</t>
  </si>
  <si>
    <t>Q1 office refresh; spring.</t>
  </si>
  <si>
    <t>Biophilic, 'resimercial' offices are the return-to-office default.</t>
  </si>
  <si>
    <t>Wayfair: Flowers &amp; Plants &gt; Faux Plants / Faux Trees. Michaels: Floral.</t>
  </si>
  <si>
    <t>https://www.staples.com/Artificial-Plants/cat_CL355087</t>
  </si>
  <si>
    <t>R7</t>
  </si>
  <si>
    <t>Furniture &gt; Decor &gt; Essential Oils &amp; Diffusers</t>
  </si>
  <si>
    <t>CL354884</t>
  </si>
  <si>
    <t>Vitruvi and Anthropologie show diffusers as decor objects.</t>
  </si>
  <si>
    <t>46 Staples items. Wellness decor for desks and reception areas.</t>
  </si>
  <si>
    <t>Porcelain / stone ultrasonic diffusers; USB desk diffusers; reed diffusers.</t>
  </si>
  <si>
    <t>None material.</t>
  </si>
  <si>
    <t>Q1 wellness resolutions; holiday gifting.</t>
  </si>
  <si>
    <t>Wellness at work.</t>
  </si>
  <si>
    <t>Amazon / Target. Vitruvi: diffusers. Anthropologie: home fragrance.</t>
  </si>
  <si>
    <t>https://www.staples.com/Oils-Diffusers/cat_CL354884</t>
  </si>
  <si>
    <t>R8</t>
  </si>
  <si>
    <t>School Supplies &gt; Teacher Supplies &gt; Physical Education &amp; Recreation &gt; Outdoor Games</t>
  </si>
  <si>
    <t>CL353835</t>
  </si>
  <si>
    <t>Scheels shows premium cornhole, Spikeball and giant games; Etsy shows custom boards.</t>
  </si>
  <si>
    <t>78 Staples items of PE-style outdoor games. Scheels sells premium cornhole, Spikeball and giant yard games (one of Ben's examples).</t>
  </si>
  <si>
    <t>Tournament-grade cornhole boards; Spikeball / roundnet sets; giant yard games; pickleball sets.</t>
  </si>
  <si>
    <t>Classroom PE games (low risk).</t>
  </si>
  <si>
    <t>Summer company picnics (May-Aug 2027).</t>
  </si>
  <si>
    <t>Corporate picnics and team events.</t>
  </si>
  <si>
    <t>Amazon / Walmart. Scheels: Yard Games, Cornhole Boards. Etsy: custom cornhole.</t>
  </si>
  <si>
    <t>https://www.staples.com/Outdoor-Games/cat_CL353835</t>
  </si>
  <si>
    <t>R9</t>
  </si>
  <si>
    <t>Furniture &gt; Home &amp; Office Tables &gt; Accent &amp; Coffee Tables</t>
  </si>
  <si>
    <t>CL161009</t>
  </si>
  <si>
    <t>Article and West Elm show design accent tables.</t>
  </si>
  <si>
    <t>203 Staples items for reception areas.</t>
  </si>
  <si>
    <t>Travertine / marble side tables; rattan &amp; mango-wood accent tables; nesting tables.</t>
  </si>
  <si>
    <t>Laminate reception tables.</t>
  </si>
  <si>
    <t>Reception makeovers.</t>
  </si>
  <si>
    <t>Wayfair / Amazon. Article, West Elm, CB2.</t>
  </si>
  <si>
    <t>https://www.staples.com/Accent-Coffee-Tables/cat_CL161009</t>
  </si>
  <si>
    <t>Segment map: Staples strength vs market attractiveness</t>
  </si>
  <si>
    <t>Picture = snapshot at default inputs (labelled). The Excel chart further down is live: it moves when you edit inputs or cut-offs.</t>
  </si>
  <si>
    <t>How to read it: right of the dashed line = Hero (Staples is already strong); top-left = Probable Hero (the market loves it, Staples is not yet a destination); bottom-left = Non-Hero.</t>
  </si>
  <si>
    <t>Plays: Hero = EXTEND (style extensions only) or PROTECT (keep the marketplace out, e.g. Office Chairs, Pens); Probable Hero = BUILD (fill the gap with sellers); Non-Hero = EXPLORE (low-risk test, sellers hold the stock).</t>
  </si>
  <si>
    <t>The Top 20 takes the best 7 Hero, 7 Probable Hero and 6 Non-Hero shelves by path score, so every segment is represented.</t>
  </si>
  <si>
    <t>Hero segmentation criteria: Hero, Probable Hero, Non-Hero</t>
  </si>
  <si>
    <t>How every L3/L4 shelf is placed in a segment, how each segment is played, and how many of each go into the Top 20. Yellow cells are editable.</t>
  </si>
  <si>
    <t>1. What the three segments mean</t>
  </si>
  <si>
    <t>Segment</t>
  </si>
  <si>
    <t>In plain words</t>
  </si>
  <si>
    <t>The question it answers</t>
  </si>
  <si>
    <t>Play</t>
  </si>
  <si>
    <t>What Staples Marketplace does</t>
  </si>
  <si>
    <t>Hero</t>
  </si>
  <si>
    <t>Staples' own top categories: where Staples already has depth, visibility, investment and shopper trust. (Proxy for 'top by sales / profit / assortment', built from external data.)</t>
  </si>
  <si>
    <t>Is Staples already known for this?</t>
  </si>
  <si>
    <t>EXTEND (or PROTECT)</t>
  </si>
  <si>
    <t>Add design / lifestyle extensions of what Staples already sells well. Keep the marketplace out where variants would copy 1P best-sellers (PROTECT).</t>
  </si>
  <si>
    <t>Probable Hero</t>
  </si>
  <si>
    <t>The market's top categories where Staples is not (yet) a destination: room for improvement.</t>
  </si>
  <si>
    <t>Does the market love it while Staples is still thin?</t>
  </si>
  <si>
    <t>BUILD</t>
  </si>
  <si>
    <t>Fill the depth gap fast with marketplace sellers recruited from the competitors' brands. The biggest commission upside.</t>
  </si>
  <si>
    <t>Non-Hero</t>
  </si>
  <si>
    <t>Neither a Staples strength nor a market favourite today.</t>
  </si>
  <si>
    <t>Is it a low-risk experiment worth a small test?</t>
  </si>
  <si>
    <t>EXPLORE</t>
  </si>
  <si>
    <t>Test a small, curated range through sellers: no inventory and no 1P risk. Keep the winners, drop the rest.</t>
  </si>
  <si>
    <t>2. The decision rule (applied in this order)</t>
  </si>
  <si>
    <t>Step 1</t>
  </si>
  <si>
    <t>Compute two scores for every L3/L4 shelf: the Staples Strength Index (SSI, section 3) and the Market Attractiveness Index (MAI, section 4), each 0-100.</t>
  </si>
  <si>
    <t>Step 2</t>
  </si>
  <si>
    <t>If SSI &gt;= the Hero cut-off, the shelf is a HERO. Inside Hero: if the shelf's 1P-protection score (C3 on the Path Scorecard) &lt;= the Protect cut-off, the play is PROTECT (control shelf); otherwise EXTEND.</t>
  </si>
  <si>
    <t>Step 3</t>
  </si>
  <si>
    <t>Otherwise, if MAI &gt;= the Probable Hero cut-off, the shelf is a PROBABLE HERO (play BUILD).</t>
  </si>
  <si>
    <t>Step 4</t>
  </si>
  <si>
    <t>Otherwise the shelf is a NON-HERO (play EXPLORE).</t>
  </si>
  <si>
    <t>Step 5</t>
  </si>
  <si>
    <t>Rank the shelves inside each segment by path score ('Selection Criteria') and take the quota per segment (section 5) = the Top 20. The next shelves are reserves.</t>
  </si>
  <si>
    <t>3. Staples Strength Index (SSI): is it already a Staples hero?</t>
  </si>
  <si>
    <t>Code</t>
  </si>
  <si>
    <t>Component</t>
  </si>
  <si>
    <t>What it measures</t>
  </si>
  <si>
    <t>Weight</t>
  </si>
  <si>
    <t>Score 1</t>
  </si>
  <si>
    <t>Score 2</t>
  </si>
  <si>
    <t>Score 3</t>
  </si>
  <si>
    <t>Score 4</t>
  </si>
  <si>
    <t>Score 5</t>
  </si>
  <si>
    <t>How it is scored</t>
  </si>
  <si>
    <t>S1</t>
  </si>
  <si>
    <t>Assortment depth</t>
  </si>
  <si>
    <t>Staples items on the leaf (the only 'size' signal available without sales data)</t>
  </si>
  <si>
    <t>&lt; 75 items</t>
  </si>
  <si>
    <t>75-199</t>
  </si>
  <si>
    <t>200-499</t>
  </si>
  <si>
    <t>500-999</t>
  </si>
  <si>
    <t>&gt;= 1,000</t>
  </si>
  <si>
    <t>Computed from the tree (bands in section 5)</t>
  </si>
  <si>
    <t>S2</t>
  </si>
  <si>
    <t>Shelf visibility</t>
  </si>
  <si>
    <t>Is the shelf's L1 in Staples' header navigation?</t>
  </si>
  <si>
    <t>-</t>
  </si>
  <si>
    <t>L1 not in header nav</t>
  </si>
  <si>
    <t>L1 in header nav</t>
  </si>
  <si>
    <t>Computed from the tree ('Summary by L1')</t>
  </si>
  <si>
    <t>S3</t>
  </si>
  <si>
    <t>Merchandising investment</t>
  </si>
  <si>
    <t>Exclusives, collaborations, own brands, BTS / seasonal feature slots</t>
  </si>
  <si>
    <t>No visible investment; generic range</t>
  </si>
  <si>
    <t>Occasional promos only</t>
  </si>
  <si>
    <t>Seasonal features or some own brand</t>
  </si>
  <si>
    <t>Own brand or an exclusive line + feature slots</t>
  </si>
  <si>
    <t>Exclusive collabs + own brand + hero campaigns (e.g. Sincerely Jules planners)</t>
  </si>
  <si>
    <t>Analyst: Staples press releases &amp; site</t>
  </si>
  <si>
    <t>S4</t>
  </si>
  <si>
    <t>Shopper association</t>
  </si>
  <si>
    <t>Would a shopper think of Staples first for this?</t>
  </si>
  <si>
    <t>Nobody thinks of Staples for this</t>
  </si>
  <si>
    <t>Occasional convenience buy</t>
  </si>
  <si>
    <t>One of several options</t>
  </si>
  <si>
    <t>Staples is a usual stop</t>
  </si>
  <si>
    <t>Staples is the default destination</t>
  </si>
  <si>
    <t>Analyst judgement</t>
  </si>
  <si>
    <t>Total weight</t>
  </si>
  <si>
    <t>Index = sum(score x weight) / (5 x total weight) x 100</t>
  </si>
  <si>
    <t>4. Market Attractiveness Index (MAI): is it a market hero?</t>
  </si>
  <si>
    <t>M1</t>
  </si>
  <si>
    <t>Demand momentum</t>
  </si>
  <si>
    <t>Growth and trend signals</t>
  </si>
  <si>
    <t>Declining</t>
  </si>
  <si>
    <t>Flat</t>
  </si>
  <si>
    <t>Steady growth</t>
  </si>
  <si>
    <t>Clear growth / trending on social</t>
  </si>
  <si>
    <t>Viral or double-digit growth (e.g. Owala, Stanley)</t>
  </si>
  <si>
    <t>Analyst: Circana, trade press, social</t>
  </si>
  <si>
    <t>M2</t>
  </si>
  <si>
    <t>Competitor destination strength</t>
  </si>
  <si>
    <t>Do competitors run it as a department with specialist depth?</t>
  </si>
  <si>
    <t>No competitor features it</t>
  </si>
  <si>
    <t>One competitor</t>
  </si>
  <si>
    <t>A few mass retailers carry decent depth</t>
  </si>
  <si>
    <t>Mass + a specialist run it as a department</t>
  </si>
  <si>
    <t>Several specialists and mass leaders treat it as a destination</t>
  </si>
  <si>
    <t>Analyst: competitor site structure</t>
  </si>
  <si>
    <t>M3</t>
  </si>
  <si>
    <t>Category size &amp; purchase frequency</t>
  </si>
  <si>
    <t>How big the category is and how often it is bought</t>
  </si>
  <si>
    <t>Niche, rare purchase</t>
  </si>
  <si>
    <t>Small or infrequent</t>
  </si>
  <si>
    <t>Mid-sized, yearly</t>
  </si>
  <si>
    <t>Large or several times a year</t>
  </si>
  <si>
    <t>Very large and frequent</t>
  </si>
  <si>
    <t>Analyst</t>
  </si>
  <si>
    <t>M4</t>
  </si>
  <si>
    <t>Occasion strength</t>
  </si>
  <si>
    <t>Seasonal peak in the planning window</t>
  </si>
  <si>
    <t>No moment</t>
  </si>
  <si>
    <t>Weak</t>
  </si>
  <si>
    <t>Some seasonality</t>
  </si>
  <si>
    <t>Clear Q1 or BTS peak</t>
  </si>
  <si>
    <t>Peaks in both Q1-2027 and BTS-2027</t>
  </si>
  <si>
    <t>Same as C7 on the Path Scorecard</t>
  </si>
  <si>
    <t>5. Cut-offs, quotas and settings</t>
  </si>
  <si>
    <t>Setting</t>
  </si>
  <si>
    <t>Value</t>
  </si>
  <si>
    <t>Note</t>
  </si>
  <si>
    <t>H</t>
  </si>
  <si>
    <t>Hero cut-off (SSI &gt;=)</t>
  </si>
  <si>
    <t>Checked first: a strong Staples shelf is a Hero whatever the market does.</t>
  </si>
  <si>
    <t>P</t>
  </si>
  <si>
    <t>Probable Hero cut-off (MAI &gt;=)</t>
  </si>
  <si>
    <t>Applied to shelves that are not Heroes.</t>
  </si>
  <si>
    <t>PR</t>
  </si>
  <si>
    <t>Protect cut-off (Hero with C3 &lt;=)</t>
  </si>
  <si>
    <t>Hero shelves where design variants would substitute 1P: keep the marketplace out.</t>
  </si>
  <si>
    <t>QH</t>
  </si>
  <si>
    <t>Top-20 quota: Hero</t>
  </si>
  <si>
    <t>Brief: 20 shelves, at least 6 per segment.</t>
  </si>
  <si>
    <t>QP</t>
  </si>
  <si>
    <t>Top-20 quota: Probable Hero</t>
  </si>
  <si>
    <t>QN</t>
  </si>
  <si>
    <t>Top-20 quota: Non-Hero</t>
  </si>
  <si>
    <t>RS</t>
  </si>
  <si>
    <t>Reserves per segment</t>
  </si>
  <si>
    <t>Swap-ins if a Top-20 shelf is dropped.</t>
  </si>
  <si>
    <t>B5</t>
  </si>
  <si>
    <t>S1 band: items &gt;= this scores 5</t>
  </si>
  <si>
    <t>B4</t>
  </si>
  <si>
    <t>S1 band: scores 4</t>
  </si>
  <si>
    <t>B3</t>
  </si>
  <si>
    <t>S1 band: scores 3</t>
  </si>
  <si>
    <t>B2</t>
  </si>
  <si>
    <t>S1 band: scores 2 (else 1)</t>
  </si>
  <si>
    <t>NY</t>
  </si>
  <si>
    <t>S2 score if the L1 is in the header nav</t>
  </si>
  <si>
    <t>NN</t>
  </si>
  <si>
    <t>S2 score if not</t>
  </si>
  <si>
    <t>Top-20 check (live)</t>
  </si>
  <si>
    <t>6. Marketplace plays</t>
  </si>
  <si>
    <t>When</t>
  </si>
  <si>
    <t>EXTEND</t>
  </si>
  <si>
    <t>Staples is strong and 1P risk is manageable (C3 above the Protect cut-off).</t>
  </si>
  <si>
    <t>Add style / lifestyle extensions of the hero only (the 'White Chair' move); strict cannibalisation gate; invite brands Staples already buys first.</t>
  </si>
  <si>
    <t>PROTECT</t>
  </si>
  <si>
    <t>Staples is strong and design variants would substitute 1P (C3 at or below the Protect cut-off).</t>
  </si>
  <si>
    <t>Keep the marketplace out; use as a control shelf that shows the safety gate working.</t>
  </si>
  <si>
    <t>The market treats it as a top category but Staples is not (yet) a destination.</t>
  </si>
  <si>
    <t>Fill the depth gap quickly with marketplace sellers recruited from the primary competitor's brands: the biggest commission upside.</t>
  </si>
  <si>
    <t>Neither a Staples strength nor a market favourite.</t>
  </si>
  <si>
    <t>Low-risk test through the marketplace: no 1P to protect and sellers hold the inventory. Keep the winners, drop the rest.</t>
  </si>
  <si>
    <t>Competitor criteria: 2 primary + 2 secondary competitors per shelf</t>
  </si>
  <si>
    <t>Primary = broad retailers that measure the gap. Secondary = enthusiast / design specialists outside Staples' scope that show the 'super-extension'. Yellow cells are editable.</t>
  </si>
  <si>
    <t>1. Why four competitors, in two roles</t>
  </si>
  <si>
    <t>PRIMARY (2 per shelf): broad retailers and marketplaces that sell to the same shopper at scale. They measure the gap (archetypes, price tiers, colourways Staples lacks) and feed the share-based gap maths. Chosen with K1-K5 from the primary pool.</t>
  </si>
  <si>
    <t>SECONDARY (2 per shelf): enthusiast or design specialists outside Staples' normal competitive set, like Scheels and Michaels in Ben's examples. They show the 'super-extension': how far the category stretches in depth, premium tier and aesthetics. Chosen with E1-E5 from the secondary pool.</t>
  </si>
  <si>
    <t>Secondaries are a style / upside lens, not a share baseline. Many are D2C brands (Erin Condren, Grovemade, Keychron, Bellroy, Felt Right, Fellow, Bentgo, YETI, noissue) that could list on Staples Marketplace themselves: a ready seller-recruitment list.</t>
  </si>
  <si>
    <t>2. Primary competitor criteria (K1-K5)</t>
  </si>
  <si>
    <t>Criterion</t>
  </si>
  <si>
    <t>Scores 5 when</t>
  </si>
  <si>
    <t>Scores 1 when</t>
  </si>
  <si>
    <t>K1</t>
  </si>
  <si>
    <t>Assortment depth on this shelf</t>
  </si>
  <si>
    <t>Breadth of the competitor's range on the mapped node</t>
  </si>
  <si>
    <t>Several times Staples' range, many sub-types</t>
  </si>
  <si>
    <t>Similar or smaller than Staples</t>
  </si>
  <si>
    <t>K2</t>
  </si>
  <si>
    <t>Aesthetic &amp; lifestyle range</t>
  </si>
  <si>
    <t>Variety of styles, colourways, materials and price tiers</t>
  </si>
  <si>
    <t>Destination for design-led choice</t>
  </si>
  <si>
    <t>Utility only</t>
  </si>
  <si>
    <t>K3</t>
  </si>
  <si>
    <t>Shopper overlap with Staples</t>
  </si>
  <si>
    <t>Same home-office, student, teacher or small-business shopper</t>
  </si>
  <si>
    <t>Same shopper and mission</t>
  </si>
  <si>
    <t>Different shopper</t>
  </si>
  <si>
    <t>K4</t>
  </si>
  <si>
    <t>Seller recruitability</t>
  </si>
  <si>
    <t>Can the brands / suppliers behind the range be invited onto Staples Marketplace?</t>
  </si>
  <si>
    <t>Multi-brand 3P or drop-ship suppliers</t>
  </si>
  <si>
    <t>Mostly own / private label</t>
  </si>
  <si>
    <t>K5</t>
  </si>
  <si>
    <t>Data accessibility</t>
  </si>
  <si>
    <t>Can the team collect listing-level data at PoC speed? (tested 29-Sep-2026)</t>
  </si>
  <si>
    <t>Already scraped or official API</t>
  </si>
  <si>
    <t>Bot-blocked, needs a paid proxy</t>
  </si>
  <si>
    <t>3. Secondary competitor criteria (E1-E5): the 'super-extension' lens</t>
  </si>
  <si>
    <t>E1</t>
  </si>
  <si>
    <t>Enthusiast depth</t>
  </si>
  <si>
    <t>How far beyond Staples the specialist's range goes (technical, premium, hobby-grade sub-types)</t>
  </si>
  <si>
    <t>Enthusiast destination: many sub-types, premium tiers, accessories</t>
  </si>
  <si>
    <t>Similar to Staples</t>
  </si>
  <si>
    <t>E2</t>
  </si>
  <si>
    <t>Aesthetic authority</t>
  </si>
  <si>
    <t>Does it set the look: design-led, trend-setting, curated?</t>
  </si>
  <si>
    <t>A trend-setter the shopper follows</t>
  </si>
  <si>
    <t>Generic look</t>
  </si>
  <si>
    <t>E3</t>
  </si>
  <si>
    <t>Distance from Staples' scope</t>
  </si>
  <si>
    <t>Is it outside Staples' normal competitive set (not an office-supply or mass retailer)?</t>
  </si>
  <si>
    <t>Clearly outside (specialist, D2C, lifestyle)</t>
  </si>
  <si>
    <t>A direct Staples competitor</t>
  </si>
  <si>
    <t>E4</t>
  </si>
  <si>
    <t>Adjacency relevance</t>
  </si>
  <si>
    <t>Would the extension still make sense to a Staples shopper? (guards against off-brand picks)</t>
  </si>
  <si>
    <t>Obvious next step for the Staples shopper</t>
  </si>
  <si>
    <t>Unrelated hobby or luxury</t>
  </si>
  <si>
    <t>E5</t>
  </si>
  <si>
    <t>Seller / brand transferability</t>
  </si>
  <si>
    <t>Could its brands, or the brand itself if D2C, list on Staples Marketplace?</t>
  </si>
  <si>
    <t>D2C brand or multi-brand seller base</t>
  </si>
  <si>
    <t>Only own / private label</t>
  </si>
  <si>
    <t>4. Competitor pools</t>
  </si>
  <si>
    <t>Pool</t>
  </si>
  <si>
    <t>Members</t>
  </si>
  <si>
    <t>Rule</t>
  </si>
  <si>
    <t>Primary</t>
  </si>
  <si>
    <t>Wayfair, Amazon, Target, Walmart, Best Buy, Dick's Sporting Goods, Uline</t>
  </si>
  <si>
    <t>Same shopper, broad assortment, data at scale. Office Depot is excluded: its range mirrors Staples', so it shows little gap.</t>
  </si>
  <si>
    <t>Secondary</t>
  </si>
  <si>
    <t>Anthropologie, Article, Bellroy, Bentgo, CB2, Crate &amp; Barrel, Design Within Reach, Drop, Erin Condren, Etsy, Fellow, Felt Right, Grovemade, JetPens, Keychron, Kinokuniya, Lamps Plus, Michaels, Micro Center, Nordstrom, Orbitkey, Oriental Trading, Packhelp, Paper Source, Pottery Barn, Pottery Barn Kids, Pottery Barn Teen, REI, Really Good Stuff, Scheels, Schoolhouse, The Container Store, Urban Outfitters, Vitruvi, West Elm, Williams Sonoma, YETI, noissue</t>
  </si>
  <si>
    <t>Enthusiast, design or D2C specialists that are not direct Staples competitors. Dick's is primary (national mass sporting); Scheels and REI are secondary (enthusiast).</t>
  </si>
  <si>
    <t>5. How the four are picked</t>
  </si>
  <si>
    <t>For every Top-20 and reserve shelf, 3 plausible primaries and 2-4 plausible secondaries are scored 1-5 on the shelf-specific criteria (K1-K3; E1, E2, E4). The competitor-level criteria (K4, K5; E3, E5) are fixed per competitor ('Competitor Profiles').</t>
  </si>
  <si>
    <t>Primary 1 and 2 = the two highest primary fit scores ('Primary Competitor Fit'). Secondary 1 and 2 = the two highest secondary fit scores ('Secondary Competitor Fit'). Ties are broken by depth (K1 / E1).</t>
  </si>
  <si>
    <t>Everything is live: change a weight here or a score in the fit sheets and the picks update across the workbook.</t>
  </si>
  <si>
    <t>Scores are analyst judgement from desk research ('Evidence &amp; Sources'). Confirm depth when listings are collected; secondaries can be sampled manually because they are a style lens, not a share baseline.</t>
  </si>
  <si>
    <t>Review of the initial 9-item list: verdicts, segment mix and exact L3/L4 drill-downs</t>
  </si>
  <si>
    <t>Table 1 = verdict per item; column I shows most L2s mix Hero, Probable Hero and Non-Hero shelves (why segmenting at L2 misleads). Table 2 = the drill-down paths with live segment, status and competitors.</t>
  </si>
  <si>
    <t>Your item</t>
  </si>
  <si>
    <t>Your competitor</t>
  </si>
  <si>
    <t>Exact Staples node(s)</t>
  </si>
  <si>
    <t>Verdict</t>
  </si>
  <si>
    <t>What the research says</t>
  </si>
  <si>
    <t>Competitor view (v3: 2 primary + 2 secondary)</t>
  </si>
  <si>
    <t>Headline competitors</t>
  </si>
  <si>
    <t>Segment mix of its L3/L4 paths (live)</t>
  </si>
  <si>
    <t>1</t>
  </si>
  <si>
    <t>Chairs &amp; Seating</t>
  </si>
  <si>
    <t>Wayfair</t>
  </si>
  <si>
    <t>Furniture &gt; Chairs &amp; Seating</t>
  </si>
  <si>
    <t>KEEP: strongest furniture item</t>
  </si>
  <si>
    <t>Core-adjacent furniture with 14 leaves. The pilot proved the method here (Accent &amp; Waiting Room, Benches, Bar Stools). The 2026 'resimercial' return-to-office trend supports design-led seating.</t>
  </si>
  <si>
    <t>Wayfair is right as Primary 1, with Amazon as Primary 2 (seller pool, value tier). Secondaries: Article + West Elm (design-led accent chairs).</t>
  </si>
  <si>
    <t>P: Wayfair + Amazon | S: Article + West Elm</t>
  </si>
  <si>
    <t>2</t>
  </si>
  <si>
    <t>Desks</t>
  </si>
  <si>
    <t>Furniture &gt; Desks</t>
  </si>
  <si>
    <t>KEEP, narrow to Office Desks</t>
  </si>
  <si>
    <t>Office Desks is the real shelf (1,501 items), split by Staples' own type facet. Sit &amp; Stand is spec-led, so design gaps are smaller and it is a PROTECT shelf.</t>
  </si>
  <si>
    <t>Wayfair + Amazon as primaries; Design Within Reach + West Elm as secondaries.</t>
  </si>
  <si>
    <t>P: Wayfair + Amazon | S: DWR + West Elm</t>
  </si>
  <si>
    <t>3</t>
  </si>
  <si>
    <t>Lamps &amp; Lighting</t>
  </si>
  <si>
    <t>Furniture &gt; Lamps &amp; Lighting</t>
  </si>
  <si>
    <t>KEEP (Desk Lamps)</t>
  </si>
  <si>
    <t>The purest aesthetic category in the core catalogue; Staples SKUs already in hand.</t>
  </si>
  <si>
    <t>Wayfair + Amazon as primaries; Lamps Plus (specialist depth) + Urban Outfitters (trend lamps) as secondaries.</t>
  </si>
  <si>
    <t>P: Wayfair + Amazon | S: Lamps Plus + Urban Outfitters</t>
  </si>
  <si>
    <t>4</t>
  </si>
  <si>
    <t>Rugs</t>
  </si>
  <si>
    <t>Decor &gt; Rugs (L2 leaf, no L3/L4 under it)</t>
  </si>
  <si>
    <t>PARK: fails the granularity gate</t>
  </si>
  <si>
    <t>There is nothing to drill into: 'Decor &gt; Rugs' is a single L2 leaf of 804 items. Rugs are also residential decor, the weakest link to Staples' work and school mission.</t>
  </si>
  <si>
    <t>For a decor story at L3/L4, use Storage Baskets (Top 20) or Faux Plants (reserve).</t>
  </si>
  <si>
    <t>n/a (parked)</t>
  </si>
  <si>
    <t>5</t>
  </si>
  <si>
    <t>Fitness Equipment</t>
  </si>
  <si>
    <t>Amazon</t>
  </si>
  <si>
    <t>Fitness &gt; Fitness Equipment &gt; Fitness Machines &gt; Fitness Machines (the only leaf)</t>
  </si>
  <si>
    <t>REFOCUS as 'active workstation' (backlog)</t>
  </si>
  <si>
    <t>Fitness is not a Staples destination: one leaf, 43 items, not in the header nav. Defensible only as under-desk walking pads and desk bikes next to sit-stand desks. A Probable Hero, but a low path score.</t>
  </si>
  <si>
    <t>If run: Amazon + Dick's as primaries; Scheels as the enthusiast secondary (recovery and training gear).</t>
  </si>
  <si>
    <t>Backlog</t>
  </si>
  <si>
    <t>6</t>
  </si>
  <si>
    <t>Backpacks &amp; Bags</t>
  </si>
  <si>
    <t>Scheels</t>
  </si>
  <si>
    <t>Bags, Backpacks &amp; Luggage &gt; Backpacks &amp; Laptop Bags (+ Totes &amp; Handbags, Briefcases &amp; Padfolios)</t>
  </si>
  <si>
    <t>KEEP, re-cast Scheels as a secondary</t>
  </si>
  <si>
    <t>Strong BTS anchor (85% of parents buy a backpack, Circana). Scheels is exactly the enthusiast lens, but its depth is technical / hunting packs, so for backpacks Bellroy and Urban Outfitters score higher on adjacency.</t>
  </si>
  <si>
    <t>Primaries: Amazon + Target. Secondaries: Bellroy (premium commuter) + Urban Outfitters (fashion). Scheels and REI stay as technical-pack alternates.</t>
  </si>
  <si>
    <t>P: Amazon + Target | S: Bellroy + Urban Outfitters</t>
  </si>
  <si>
    <t>7</t>
  </si>
  <si>
    <t>Hydration &amp; Drinkware</t>
  </si>
  <si>
    <t>KEEP: #1 Probable Hero</t>
  </si>
  <si>
    <t>The Staples node is an L3 under Coffee, Water &amp; Snacks. 463 items, already in the sample. The kitchen 'Drinkware &amp; Glassware' leaf has only 15 items and fails the baseline gate.</t>
  </si>
  <si>
    <t>Primaries: Dick's + Target. Scheels is kept, now as Secondary 1 (wall-to-wall colourways), with YETI (customisation).</t>
  </si>
  <si>
    <t>P: Dick's + Target | S: Scheels + YETI</t>
  </si>
  <si>
    <t>8</t>
  </si>
  <si>
    <t>Labels &amp; Packaging Accessories</t>
  </si>
  <si>
    <t>Michaels</t>
  </si>
  <si>
    <t>Office Supplies &gt; Labels (L2 leaf) · Party Supplies &gt; Wrapping Supplies · Retail Store Supplies &gt; Retail Packaging</t>
  </si>
  <si>
    <t>REFRAME</t>
  </si>
  <si>
    <t>'Labels' is an L2 leaf of 11,493 commodity labels (a Hero to protect). Gift wrap and gift bags overlap the Party City partner assortment on Staples.com (Apr-2026). Label Makers and Mailers are Hero reserves.</t>
  </si>
  <si>
    <t>Mailers: P Amazon + Uline, S noissue + Packhelp (custom branded packaging). Label Makers: P Amazon + Walmart, S Michaels (Cricut) + Container Store.</t>
  </si>
  <si>
    <t>Reserves: see Table 2</t>
  </si>
  <si>
    <t>9</t>
  </si>
  <si>
    <t>Planning &amp; Craft Organization</t>
  </si>
  <si>
    <t>Office Supplies &gt; Calendars &amp; Planners · Arts &amp; Crafts &gt; Scrapbooking / Crafting · Office Supplies &gt; Storage &amp; Organization</t>
  </si>
  <si>
    <t>KEEP, split in two</t>
  </si>
  <si>
    <t>Two shopper missions in one bucket. Planning is the #1 Hero (Michaels' Happy Planner ecosystem vs Staples' dated planners). Organization works better as Desk Organizers (Hero) and Storage Baskets (Probable Hero).</t>
  </si>
  <si>
    <t>Planners: P Amazon + Target, S Erin Condren + Michaels (your pick, kept). Organization: P Target + Amazon / Wayfair, S Grovemade + Container Store.</t>
  </si>
  <si>
    <t>P: Amazon + Target | S: Erin Condren + Michaels</t>
  </si>
  <si>
    <t>Table 2. Drill-down L3/L4 paths for each item (exact nav-tree paths; segment, status and competitors are live)</t>
  </si>
  <si>
    <t>Path ID</t>
  </si>
  <si>
    <t>Status</t>
  </si>
  <si>
    <t>Primary 1 / Primary 2</t>
  </si>
  <si>
    <t>Secondary 1 / Secondary 2</t>
  </si>
  <si>
    <t>Role in PoC</t>
  </si>
  <si>
    <t>P04</t>
  </si>
  <si>
    <t>Top 20</t>
  </si>
  <si>
    <t>P25</t>
  </si>
  <si>
    <t>Furniture &gt; Chairs &amp; Seating &gt; Sofas &amp; Benches &gt; Benches &amp; Beam Seating</t>
  </si>
  <si>
    <t>CL163750</t>
  </si>
  <si>
    <t>P30</t>
  </si>
  <si>
    <t>Furniture &gt; Chairs &amp; Seating &gt; Stools &amp; Ottomans &gt; Counter &amp; Bar Stools</t>
  </si>
  <si>
    <t>CL166182</t>
  </si>
  <si>
    <t>P28</t>
  </si>
  <si>
    <t>Furniture &gt; Chairs &amp; Seating &gt; Breakroom &amp; Dining Chairs</t>
  </si>
  <si>
    <t>CL166181</t>
  </si>
  <si>
    <t>P38</t>
  </si>
  <si>
    <t>Furniture &gt; Chairs &amp; Seating &gt; Stools &amp; Ottomans &gt; Ottomans</t>
  </si>
  <si>
    <t>CL161807</t>
  </si>
  <si>
    <t>P54</t>
  </si>
  <si>
    <t>Furniture &gt; Chairs &amp; Seating &gt; Office Chairs</t>
  </si>
  <si>
    <t>CL166253</t>
  </si>
  <si>
    <t>Control shelf (Hero, PROTECT): shows the safety gate rejecting core-1P look-alikes</t>
  </si>
  <si>
    <t>P63</t>
  </si>
  <si>
    <t>Furniture &gt; Chairs &amp; Seating &gt; Kids Seating</t>
  </si>
  <si>
    <t>CL210316</t>
  </si>
  <si>
    <t>P67</t>
  </si>
  <si>
    <t>Furniture &gt; Chairs &amp; Seating &gt; Gaming Chairs</t>
  </si>
  <si>
    <t>CL210317</t>
  </si>
  <si>
    <t>P13</t>
  </si>
  <si>
    <t>P50</t>
  </si>
  <si>
    <t>Furniture &gt; Desks &gt; Sit &amp; Stand Desks</t>
  </si>
  <si>
    <t>CL215523</t>
  </si>
  <si>
    <t>Control shelf (PROTECT)</t>
  </si>
  <si>
    <t>P66</t>
  </si>
  <si>
    <t>Furniture &gt; Desks &gt; Desk Components &amp; Hutches &gt; Hutches</t>
  </si>
  <si>
    <t>CL353865</t>
  </si>
  <si>
    <t>P05</t>
  </si>
  <si>
    <t>P26</t>
  </si>
  <si>
    <t>Furniture &gt; Lamps &amp; Lighting &gt; Table Lamps</t>
  </si>
  <si>
    <t>CL216712</t>
  </si>
  <si>
    <t>P31</t>
  </si>
  <si>
    <t>Furniture &gt; Lamps &amp; Lighting &gt; Floor Lamps</t>
  </si>
  <si>
    <t>CL216710</t>
  </si>
  <si>
    <t>X01</t>
  </si>
  <si>
    <t>Decor &gt; Rugs</t>
  </si>
  <si>
    <t>CL167008</t>
  </si>
  <si>
    <t>Parked: no L3/L4 exists</t>
  </si>
  <si>
    <t>P47</t>
  </si>
  <si>
    <t>Fitness &gt; Fitness Equipment &gt; Fitness Machines &gt; Fitness Machines</t>
  </si>
  <si>
    <t>CL205616</t>
  </si>
  <si>
    <t>P07</t>
  </si>
  <si>
    <t>P08</t>
  </si>
  <si>
    <t>P11</t>
  </si>
  <si>
    <t>P12</t>
  </si>
  <si>
    <t>Reserve (swap-in)</t>
  </si>
  <si>
    <t>X09</t>
  </si>
  <si>
    <t>Bags, Backpacks &amp; Luggage &gt; Luggage &amp; Travel Accessories &gt; Luggage &amp; Duffel Bags &gt; Suitcases &amp; Luggage Sets</t>
  </si>
  <si>
    <t>CL140613</t>
  </si>
  <si>
    <t>Parked: leisure travel, off-mission</t>
  </si>
  <si>
    <t>P03</t>
  </si>
  <si>
    <t>X06</t>
  </si>
  <si>
    <t>Appliances &amp; Kitchenware &gt; Kitchenware &gt; Dining &amp; Tableware &gt; Drinkware &amp; Glassware</t>
  </si>
  <si>
    <t>CL212425</t>
  </si>
  <si>
    <t>Parked: 15 items, no baseline</t>
  </si>
  <si>
    <t>P32</t>
  </si>
  <si>
    <t>P33</t>
  </si>
  <si>
    <t>P22</t>
  </si>
  <si>
    <t>Retail Store Supplies &gt; Retail Packaging &gt; Retail Boxes &amp; Bags</t>
  </si>
  <si>
    <t>CL167951</t>
  </si>
  <si>
    <t>X03</t>
  </si>
  <si>
    <t>Office Supplies &gt; Labels</t>
  </si>
  <si>
    <t>CL142725</t>
  </si>
  <si>
    <t>Parked: L2 leaf, commodity</t>
  </si>
  <si>
    <t>X04</t>
  </si>
  <si>
    <t>Party Supplies &gt; Wrapping Supplies &gt; Gift Boxes &amp; Bags</t>
  </si>
  <si>
    <t>CL215556</t>
  </si>
  <si>
    <t>Parked: Party City partner overlap</t>
  </si>
  <si>
    <t>X05</t>
  </si>
  <si>
    <t>Party Supplies &gt; Wrapping Supplies &gt; Gift Wrap &amp; Wrapping Paper</t>
  </si>
  <si>
    <t>CL215563</t>
  </si>
  <si>
    <t>P01</t>
  </si>
  <si>
    <t>P14</t>
  </si>
  <si>
    <t>P29</t>
  </si>
  <si>
    <t>P17</t>
  </si>
  <si>
    <t>Arts &amp; Crafts &gt; Scrapbooking &gt; Stickers &amp; Embellishments</t>
  </si>
  <si>
    <t>CL167442</t>
  </si>
  <si>
    <t>P16</t>
  </si>
  <si>
    <t>Office Supplies &gt; Tape, Fasteners &amp; Adhesives &gt; Tape &gt; Arts &amp; Crafts Tape</t>
  </si>
  <si>
    <t>CL215702</t>
  </si>
  <si>
    <t>P35</t>
  </si>
  <si>
    <t>Furniture &gt; Boards &amp; Easels &gt; Calendar &amp; In-Out Boards</t>
  </si>
  <si>
    <t>CL142105</t>
  </si>
  <si>
    <t>P58</t>
  </si>
  <si>
    <t>Arts &amp; Crafts &gt; Crafting &gt; Art Portfolios &amp; Craft Storage</t>
  </si>
  <si>
    <t>CL166121</t>
  </si>
  <si>
    <t>P34</t>
  </si>
  <si>
    <t>Office Supplies &gt; Storage &amp; Organization &gt; Storage Bins</t>
  </si>
  <si>
    <t>CL354710</t>
  </si>
  <si>
    <t>Path selection: gates and the 8 path-score criteria</t>
  </si>
  <si>
    <t>Yellow cells with blue text are editable. Hero segmentation lives in 'Hero Criteria'; competitor criteria in 'Competitor Criteria'.</t>
  </si>
  <si>
    <t>A. Hard gates: a path must pass all four to be considered</t>
  </si>
  <si>
    <t>Gate</t>
  </si>
  <si>
    <t>Why it matters</t>
  </si>
  <si>
    <t>G1</t>
  </si>
  <si>
    <t>Granularity</t>
  </si>
  <si>
    <t>The node is an L3 or L4 in the Staples navigation tree (Level 3 or 4).</t>
  </si>
  <si>
    <t>L2 is too coarse: the gap must be readable on one shelf.</t>
  </si>
  <si>
    <t>G2</t>
  </si>
  <si>
    <t>Brand authority</t>
  </si>
  <si>
    <t>The node sits on a Staples work / school / small-business mission (not mis-shelved or leisure).</t>
  </si>
  <si>
    <t>Pat: build momentum 'without straying too far from Staples' brand authority'.</t>
  </si>
  <si>
    <t>G3</t>
  </si>
  <si>
    <t>Staples baseline</t>
  </si>
  <si>
    <t>Staples lists at least the minimum item count (section C).</t>
  </si>
  <si>
    <t>Needs a nearest-Staples-family comparison and a share baseline.</t>
  </si>
  <si>
    <t>G4</t>
  </si>
  <si>
    <t>No partner conflict</t>
  </si>
  <si>
    <t>No Staples strategic partner already owns the assortment on Staples.com.</t>
  </si>
  <si>
    <t>Party City (Apr-2026) now supplies party decor, gift bags and wrap.</t>
  </si>
  <si>
    <t>B. Path-score criteria: each scored 1-5, weighted score scaled to 0-100 (ranks shelves inside each segment)</t>
  </si>
  <si>
    <t>C1</t>
  </si>
  <si>
    <t>Design &amp; lifestyle variance ('White Chair' test)</t>
  </si>
  <si>
    <t>Do shoppers choose on colour, material, style or 'vibe' rather than spec?</t>
  </si>
  <si>
    <t>Style drives the choice; many aesthetic archetypes exist</t>
  </si>
  <si>
    <t>Pure spec / commodity</t>
  </si>
  <si>
    <t>C2</t>
  </si>
  <si>
    <t>Competitor depth advantage</t>
  </si>
  <si>
    <t>How much wider the best competitor's assortment is on this shelf</t>
  </si>
  <si>
    <t>Best competitor is several times wider, with archetypes Staples lacks</t>
  </si>
  <si>
    <t>Parity with Staples</t>
  </si>
  <si>
    <t>C3</t>
  </si>
  <si>
    <t>1P protection (low cannibalisation)</t>
  </si>
  <si>
    <t>Can design variants be added without substituting Staples' core best-sellers?</t>
  </si>
  <si>
    <t>Design variants clearly distinct from the 1P core</t>
  </si>
  <si>
    <t>Direct substitute of core 1P</t>
  </si>
  <si>
    <t>C4</t>
  </si>
  <si>
    <t>Core-adjacency &amp; shopper mission</t>
  </si>
  <si>
    <t>Same work, school or small-business mission as Staples' core</t>
  </si>
  <si>
    <t>Sits on the core Staples mission</t>
  </si>
  <si>
    <t>Residential or leisure mission</t>
  </si>
  <si>
    <t>C5</t>
  </si>
  <si>
    <t>Basket attach &amp; quick-win economics</t>
  </si>
  <si>
    <t>Parcel-shippable, lower ticket, attaches to core baskets (Pat: +1-2 items per checkout)</t>
  </si>
  <si>
    <t>Under ~$50, parcel, frequent attach</t>
  </si>
  <si>
    <t>Oversize freight, considered purchase</t>
  </si>
  <si>
    <t>C6</t>
  </si>
  <si>
    <t>Business familiarity &amp; story</t>
  </si>
  <si>
    <t>Would the Staples room recognise it instantly (header nav, Staples' own moves, visible trend)?</t>
  </si>
  <si>
    <t>Header-nav shelf + Staples' own recent move or a famous trend</t>
  </si>
  <si>
    <t>Obscure shelf</t>
  </si>
  <si>
    <t>C7</t>
  </si>
  <si>
    <t>Peaks in the Q1-2027 window or BTS-2027 (Pat's seasonal anchor)</t>
  </si>
  <si>
    <t>Peaks in Jan-Mar or Jul-Sep 2027</t>
  </si>
  <si>
    <t>No clear moment</t>
  </si>
  <si>
    <t>C8</t>
  </si>
  <si>
    <t>Data readiness</t>
  </si>
  <si>
    <t>Staples SKUs already in hand + competitor already scraped or reachable</t>
  </si>
  <si>
    <t>Both sides in hand / reachable</t>
  </si>
  <si>
    <t>Neither side available</t>
  </si>
  <si>
    <t>C. Thresholds</t>
  </si>
  <si>
    <t>Parameter</t>
  </si>
  <si>
    <t>Minimum Staples items on the leaf</t>
  </si>
  <si>
    <t>Feeds gate G3.</t>
  </si>
  <si>
    <t>FS</t>
  </si>
  <si>
    <t>Fast-start: min Staples SKUs already in the sample</t>
  </si>
  <si>
    <t>Top-20 shelves above this can start without a new Staples scrape.</t>
  </si>
  <si>
    <t>D. How the Top 20 is chosen</t>
  </si>
  <si>
    <t>Gates (section A) remove shelves that are not true L3/L4, are off-mission, too thin, or in a partner's space.</t>
  </si>
  <si>
    <t>Each remaining shelf gets a Hero segment and a marketplace play ('Hero Criteria').</t>
  </si>
  <si>
    <t>Each shelf gets a path score, 0-100, from the 8 criteria above.</t>
  </si>
  <si>
    <t>Inside each segment, shelves are ranked by path score (ties: C4 core-adjacency, then C1 design variance). PROTECT shelves are left out: they are control shelves.</t>
  </si>
  <si>
    <t>5.</t>
  </si>
  <si>
    <t>The top 7 Hero + 7 Probable Hero + 6 Non-Hero become the Top 20 (quotas editable in 'Hero Criteria', minimum 6 each); the next 3 per segment are reserves.</t>
  </si>
  <si>
    <t>6.</t>
  </si>
  <si>
    <t>Each Top-20 and reserve shelf gets 2 primary + 2 secondary competitors ('Competitor Criteria').</t>
  </si>
  <si>
    <t>Path scorecard: every candidate Staples L3/L4 path</t>
  </si>
  <si>
    <t>Blue cells are analyst inputs. Gates, segment, score, rank in segment, status, play and competitors are formulas. Sort or filter freely; IDs are stable.</t>
  </si>
  <si>
    <t>Staples path (exact, from nav tree)</t>
  </si>
  <si>
    <t>L1</t>
  </si>
  <si>
    <t>L2</t>
  </si>
  <si>
    <t>L3</t>
  </si>
  <si>
    <t>L4</t>
  </si>
  <si>
    <t>Staples items (site)</t>
  </si>
  <si>
    <t>Staples SKUs in hand (sample)</t>
  </si>
  <si>
    <t>Link to your list</t>
  </si>
  <si>
    <t>G1 Granularity</t>
  </si>
  <si>
    <t>G2 Brand authority</t>
  </si>
  <si>
    <t>G3 Baseline</t>
  </si>
  <si>
    <t>G4 No partner conflict</t>
  </si>
  <si>
    <t>All gates</t>
  </si>
  <si>
    <t>C1 Design variance</t>
  </si>
  <si>
    <t>C2 Comp. depth</t>
  </si>
  <si>
    <t>C3 1P protection</t>
  </si>
  <si>
    <t>C4 Core-adjacency</t>
  </si>
  <si>
    <t>C5 Basket attach</t>
  </si>
  <si>
    <t>C6 Familiarity</t>
  </si>
  <si>
    <t>C7 Moment</t>
  </si>
  <si>
    <t>C8 Data readiness</t>
  </si>
  <si>
    <t>Path score (0-100)</t>
  </si>
  <si>
    <t>Rationale / gate note</t>
  </si>
  <si>
    <t>Rank key (helper)</t>
  </si>
  <si>
    <t>Office Supplies</t>
  </si>
  <si>
    <t>Calendars &amp; Planners</t>
  </si>
  <si>
    <t>Planners &amp; Personal Organizers</t>
  </si>
  <si>
    <t>9. Planning &amp; Craft Organization</t>
  </si>
  <si>
    <t>Pass</t>
  </si>
  <si>
    <t>Deep Staples shelf (1,037) and Staples' own Sincerely Jules move; enthusiast formats missing.</t>
  </si>
  <si>
    <t>P02</t>
  </si>
  <si>
    <t>Desk Organizers &amp; Accessories</t>
  </si>
  <si>
    <t>Desk Organizers</t>
  </si>
  <si>
    <t>New</t>
  </si>
  <si>
    <t>Header-nav core, low ticket, coordinated design collections at Target/Container Store.</t>
  </si>
  <si>
    <t>Coffee, Water &amp; Snacks</t>
  </si>
  <si>
    <t>Water &amp; Beverages</t>
  </si>
  <si>
    <t>Water Bottles, Tumblers &amp; Travel Mugs</t>
  </si>
  <si>
    <t>7. Hydration &amp; Drinkware</t>
  </si>
  <si>
    <t>Owala/Stanley colourway gap; data in hand; everyone relates.</t>
  </si>
  <si>
    <t>Furniture</t>
  </si>
  <si>
    <t>Accent &amp; Waiting Room Chairs</t>
  </si>
  <si>
    <t>1. Chairs &amp; Seating</t>
  </si>
  <si>
    <t>Pat's own 'White Chair' shelf; pilot: 5 recs, 2 Strong, 94% confident mapping.</t>
  </si>
  <si>
    <t>Desk Lamps</t>
  </si>
  <si>
    <t>3. Lamps &amp; Lighting</t>
  </si>
  <si>
    <t>Aesthetic lighting on the work desk; Staples SKUs in hand.</t>
  </si>
  <si>
    <t>P06</t>
  </si>
  <si>
    <t>Writing Supplies &amp; Instruments</t>
  </si>
  <si>
    <t>Pencil Accessories</t>
  </si>
  <si>
    <t>Pencil Cases &amp; Pouches</t>
  </si>
  <si>
    <t>First 'aesthetic' item in the BTS basket; Staples' Recess Club proves demand.</t>
  </si>
  <si>
    <t>Bags, Backpacks &amp; Luggage</t>
  </si>
  <si>
    <t>Backpacks &amp; Laptop Bags</t>
  </si>
  <si>
    <t>Backpacks</t>
  </si>
  <si>
    <t>6. Backpacks &amp; Bags</t>
  </si>
  <si>
    <t>BTS anchor (85% of parents buy one); laptop packs are core 1P.</t>
  </si>
  <si>
    <t>Totes &amp; Handbags</t>
  </si>
  <si>
    <t>Lunch Bags &amp; Boxes</t>
  </si>
  <si>
    <t>Bento/leak-proof designs lead BTS &amp; work-lunch; data in hand.</t>
  </si>
  <si>
    <t>P09</t>
  </si>
  <si>
    <t>School Supplies</t>
  </si>
  <si>
    <t>Teacher Supplies</t>
  </si>
  <si>
    <t>Classroom Decorations</t>
  </si>
  <si>
    <t>Decorative Accents &amp; Board Sets</t>
  </si>
  <si>
    <t>Teachers self-fund ~$895/yr and buy themed sets: Pat's BTS anchor.</t>
  </si>
  <si>
    <t>P10</t>
  </si>
  <si>
    <t>Storage &amp; Organization</t>
  </si>
  <si>
    <t>Storage Baskets</t>
  </si>
  <si>
    <t>95 items vs Wayfair's Woven/Decorative/Fabric basket nodes; style-led storage.</t>
  </si>
  <si>
    <t>Laptop Sleeves &amp; Cases</t>
  </si>
  <si>
    <t>Low-ticket attach to every laptop sale.</t>
  </si>
  <si>
    <t>Briefcases &amp; Padfolios</t>
  </si>
  <si>
    <t>Lifestyle version of the briefcase.</t>
  </si>
  <si>
    <t>Office Desks</t>
  </si>
  <si>
    <t>2. Desks</t>
  </si>
  <si>
    <t>1,501 items; pilot Computer split: 3 recs (1 Strong). Split by Staples' own type facet.</t>
  </si>
  <si>
    <t>Notebooks &amp; Notepads</t>
  </si>
  <si>
    <t>Journals &amp; Diaries</t>
  </si>
  <si>
    <t>Gen-Z journaling habit; pairs with planners.</t>
  </si>
  <si>
    <t>P15</t>
  </si>
  <si>
    <t>Decor</t>
  </si>
  <si>
    <t>Artificial Plants &amp; Flowers</t>
  </si>
  <si>
    <t>Artificial Plants</t>
  </si>
  <si>
    <t>Biophilic / resimercial office default.</t>
  </si>
  <si>
    <t>Tape, Fasteners &amp; Adhesives</t>
  </si>
  <si>
    <t>Tape</t>
  </si>
  <si>
    <t>Arts &amp; Crafts Tape</t>
  </si>
  <si>
    <t>Only 32 Staples items: near-pure whitespace, tiny ticket.</t>
  </si>
  <si>
    <t>Arts &amp; Crafts</t>
  </si>
  <si>
    <t>Scrapbooking</t>
  </si>
  <si>
    <t>Stickers &amp; Embellishments</t>
  </si>
  <si>
    <t>Planner-companion consumable = repeat commission.</t>
  </si>
  <si>
    <t>P18</t>
  </si>
  <si>
    <t>Computers &amp; Accessories &gt; Computer Accessories &amp; Peripherals &gt; Mouse Pads &amp; Wrist Rests</t>
  </si>
  <si>
    <t>Computers &amp; Accessories</t>
  </si>
  <si>
    <t>Computer Accessories &amp; Peripherals</t>
  </si>
  <si>
    <t>Mouse Pads &amp; Wrist Rests</t>
  </si>
  <si>
    <t>CL141474</t>
  </si>
  <si>
    <t>Desk mat is now a decor object; gel wrist rests are core.</t>
  </si>
  <si>
    <t>P19</t>
  </si>
  <si>
    <t>Boards &amp; Easels</t>
  </si>
  <si>
    <t>Bulletin Boards</t>
  </si>
  <si>
    <t>Letter/felt/fabric memo boards vs cork utility.</t>
  </si>
  <si>
    <t>P20</t>
  </si>
  <si>
    <t>Clocks &amp; Timers</t>
  </si>
  <si>
    <t>Wayfair runs a whole Clocks department.</t>
  </si>
  <si>
    <t>P21</t>
  </si>
  <si>
    <t>Furniture &gt; Decor &gt; Picture Frames &amp; Photo Albums</t>
  </si>
  <si>
    <t>Picture Frames &amp; Photo Albums</t>
  </si>
  <si>
    <t>CL161523</t>
  </si>
  <si>
    <t>Examples doc already names Michaels on framing.</t>
  </si>
  <si>
    <t>Retail Store Supplies</t>
  </si>
  <si>
    <t>Retail Packaging</t>
  </si>
  <si>
    <t>Retail Boxes &amp; Bags</t>
  </si>
  <si>
    <t>8. Labels &amp; Packaging Accessories</t>
  </si>
  <si>
    <t>Boutique packaging for small sellers: Staples' core SMB customer.</t>
  </si>
  <si>
    <t>P23</t>
  </si>
  <si>
    <t>Desk Pads</t>
  </si>
  <si>
    <t>Leather/felt desk pads; Wayfair has a Desk Pads node.</t>
  </si>
  <si>
    <t>P24</t>
  </si>
  <si>
    <t>Computers &amp; Accessories &gt; Computer Accessories &amp; Peripherals &gt; Laptop Accessories &gt; Laptop Stands &amp; Lap Desks</t>
  </si>
  <si>
    <t>Laptop Accessories</t>
  </si>
  <si>
    <t>Laptop Stands &amp; Lap Desks</t>
  </si>
  <si>
    <t>CL165071</t>
  </si>
  <si>
    <t>Wood/aluminium stands are desk-setup objects.</t>
  </si>
  <si>
    <t>Sofas &amp; Benches</t>
  </si>
  <si>
    <t>Benches &amp; Beam Seating</t>
  </si>
  <si>
    <t>Pilot: 2 Strong recs; thin Staples baseline (49); oversize freight.</t>
  </si>
  <si>
    <t>Table Lamps</t>
  </si>
  <si>
    <t>Reception / home-office decor lighting.</t>
  </si>
  <si>
    <t>P27</t>
  </si>
  <si>
    <t>Computer Keyboards</t>
  </si>
  <si>
    <t>Typewriter/pastel keyboards mainstream (Logitech POP); business keyboards are core.</t>
  </si>
  <si>
    <t>Breakroom &amp; Dining Chairs</t>
  </si>
  <si>
    <t>Pilot: 5 recs but methods disagree (rho 0.08); RTO breakroom story.</t>
  </si>
  <si>
    <t>Calendars</t>
  </si>
  <si>
    <t>Dated goods are core 1P; design calendars are the adjacency.</t>
  </si>
  <si>
    <t>Stools &amp; Ottomans</t>
  </si>
  <si>
    <t>Counter &amp; Bar Stools</t>
  </si>
  <si>
    <t>Pilot: best method agreement (rho 0.73 on bar-height split); café/breakroom, not the core work mission.</t>
  </si>
  <si>
    <t>Floor Lamps</t>
  </si>
  <si>
    <t>Strong design variance; living-room leaning.</t>
  </si>
  <si>
    <t>Label Makers &amp; Tapes</t>
  </si>
  <si>
    <t>Label Makers</t>
  </si>
  <si>
    <t>Mini thermal label printers went viral; Brother/DYMO are core 1P.</t>
  </si>
  <si>
    <t>Shipping, Packing &amp; Mailing Supplies</t>
  </si>
  <si>
    <t>Mailing Supplies</t>
  </si>
  <si>
    <t>Mailers</t>
  </si>
  <si>
    <t>Coloured/printed/recycled mailers; utility mailers are core 1P.</t>
  </si>
  <si>
    <t>Storage Bins</t>
  </si>
  <si>
    <t>Plastic utility bins are core; fabric/acrylic are the adjacency.</t>
  </si>
  <si>
    <t>Calendar &amp; In-Out Boards</t>
  </si>
  <si>
    <t>Acrylic/glass calendars; pairs with planners.</t>
  </si>
  <si>
    <t>P36</t>
  </si>
  <si>
    <t>Coffee, Coffee Makers &amp; Supplies</t>
  </si>
  <si>
    <t>Coffee Organizers &amp; Dispensers</t>
  </si>
  <si>
    <t>Breakroom coffee station: design-led pod drawers and coffee-bar sets vs utility carousels.</t>
  </si>
  <si>
    <t>P37</t>
  </si>
  <si>
    <t>Furniture &gt; Decor &gt; Mirrors</t>
  </si>
  <si>
    <t>Mirrors</t>
  </si>
  <si>
    <t>CL163751</t>
  </si>
  <si>
    <t>Decor mirrors; residential leaning, oversize.</t>
  </si>
  <si>
    <t>Ottomans</t>
  </si>
  <si>
    <t>Wayfair 1,069 vs Staples 29 in pilot; residential, weak work mission.</t>
  </si>
  <si>
    <t>P39</t>
  </si>
  <si>
    <t>Cubicle &amp; Panel Systems</t>
  </si>
  <si>
    <t>Desktop Privacy Panels</t>
  </si>
  <si>
    <t>Acoustic felt desk dividers.</t>
  </si>
  <si>
    <t>P40</t>
  </si>
  <si>
    <t>Office Supplies &gt; Writing Supplies &amp; Instruments &gt; Pens</t>
  </si>
  <si>
    <t>Pens</t>
  </si>
  <si>
    <t>CL110001</t>
  </si>
  <si>
    <t>Core 1P writing instruments: design pens would substitute best-sellers.</t>
  </si>
  <si>
    <t>P41</t>
  </si>
  <si>
    <t>Audio &gt; Headphones &gt; Headphones</t>
  </si>
  <si>
    <t>Audio</t>
  </si>
  <si>
    <t>Headphones</t>
  </si>
  <si>
    <t>CL210844</t>
  </si>
  <si>
    <t>BTS growth category but Staples already carries 782 items: substitution risk.</t>
  </si>
  <si>
    <t>P42</t>
  </si>
  <si>
    <t>Furniture &gt; Decor &gt; Candles</t>
  </si>
  <si>
    <t>Candles</t>
  </si>
  <si>
    <t>CL354882</t>
  </si>
  <si>
    <t>Home fragrance; weak Staples authority.</t>
  </si>
  <si>
    <t>P43</t>
  </si>
  <si>
    <t>Computers &amp; Accessories &gt; Computer Monitors &amp; Stands &gt; Monitor Stands &amp; Mounts</t>
  </si>
  <si>
    <t>Computer Monitors &amp; Stands</t>
  </si>
  <si>
    <t>Monitor Stands &amp; Mounts</t>
  </si>
  <si>
    <t>CL141470</t>
  </si>
  <si>
    <t>Mounts/arms are spec-led; only risers are style-led.</t>
  </si>
  <si>
    <t>P44</t>
  </si>
  <si>
    <t>Office Partitions &amp; Dividers</t>
  </si>
  <si>
    <t>Decorative dividers &amp; acoustic panels (RTO); freight.</t>
  </si>
  <si>
    <t>P45</t>
  </si>
  <si>
    <t>Cleaning Supplies &gt; Waste &amp; Recycling &gt; Trash Cans &amp; Recycling Bins</t>
  </si>
  <si>
    <t>Cleaning Supplies</t>
  </si>
  <si>
    <t>Waste &amp; Recycling</t>
  </si>
  <si>
    <t>Trash Cans &amp; Recycling Bins</t>
  </si>
  <si>
    <t>CL141928</t>
  </si>
  <si>
    <t>Facilities whitespace (Pat's doc); design bins for lobbies.</t>
  </si>
  <si>
    <t>P46</t>
  </si>
  <si>
    <t>School Supplies &gt; Teacher Supplies &gt; Classroom Storage &amp; Organization</t>
  </si>
  <si>
    <t>Classroom Storage &amp; Organization</t>
  </si>
  <si>
    <t>CL207294</t>
  </si>
  <si>
    <t>Functional; weaker design variance.</t>
  </si>
  <si>
    <t>Fitness</t>
  </si>
  <si>
    <t>Fitness Machines</t>
  </si>
  <si>
    <t>5. Fitness Equipment</t>
  </si>
  <si>
    <t>Only as 'active workstation' (walking pads, desk bikes); bulky, thin baseline.</t>
  </si>
  <si>
    <t>P48</t>
  </si>
  <si>
    <t>Carafes, Kettles &amp; Decanters</t>
  </si>
  <si>
    <t>Design electric kettles for breakrooms.</t>
  </si>
  <si>
    <t>P49</t>
  </si>
  <si>
    <t>Essential Oils &amp; Diffusers</t>
  </si>
  <si>
    <t>Wellness decor; weak Staples authority.</t>
  </si>
  <si>
    <t>Sit &amp; Stand Desks</t>
  </si>
  <si>
    <t>Spec-led (motor/frame); design gaps small, CRS high.</t>
  </si>
  <si>
    <t>P51</t>
  </si>
  <si>
    <t>Retail Store Supplies &gt; Spa &amp; Salon &gt; Spa &amp; Massage &gt; Massage &amp; Recovery Tools</t>
  </si>
  <si>
    <t>Spa &amp; Salon</t>
  </si>
  <si>
    <t>Spa &amp; Massage</t>
  </si>
  <si>
    <t>Massage &amp; Recovery Tools</t>
  </si>
  <si>
    <t>CL214214</t>
  </si>
  <si>
    <t>Desk-worker recovery tech (massage guns), one of Ben's Scheels examples; odd Staples placement under Spa &amp; Salon.</t>
  </si>
  <si>
    <t>P52</t>
  </si>
  <si>
    <t>Physical Education &amp; Recreation</t>
  </si>
  <si>
    <t>Outdoor Games</t>
  </si>
  <si>
    <t>Company-picnic yard games vs Scheels' premium cornhole / Spikeball depth (Ben's example).</t>
  </si>
  <si>
    <t>P53</t>
  </si>
  <si>
    <t>Appliances &amp; Kitchenware &gt; Kitchenware &gt; Kitchen Accessories &gt; Kitchen Storage &amp; Organization</t>
  </si>
  <si>
    <t>Appliances &amp; Kitchenware</t>
  </si>
  <si>
    <t>Kitchenware</t>
  </si>
  <si>
    <t>Kitchen Accessories</t>
  </si>
  <si>
    <t>Kitchen Storage &amp; Organization</t>
  </si>
  <si>
    <t>CL142181</t>
  </si>
  <si>
    <t>Breakroom pantry organisation (acrylic, bamboo).</t>
  </si>
  <si>
    <t>Office Chairs</t>
  </si>
  <si>
    <t>Core 1P, highest cannibalisation risk. Keep as the CONTROL shelf that shows the gate working.</t>
  </si>
  <si>
    <t>P55</t>
  </si>
  <si>
    <t>Coffee, Water &amp; Snacks &gt; Water &amp; Beverages &gt; Liquid &amp; Powdered Drink Mixes</t>
  </si>
  <si>
    <t>Liquid &amp; Powdered Drink Mixes</t>
  </si>
  <si>
    <t>CL350770</t>
  </si>
  <si>
    <t>Hydration powders (Liquid I.V., Nuun), Ben's Scheels example; food compliance for 3P sellers.</t>
  </si>
  <si>
    <t>P56</t>
  </si>
  <si>
    <t>Audio &gt; Portable Audio &gt; Portable Speakers &amp; Radios</t>
  </si>
  <si>
    <t>Portable Audio</t>
  </si>
  <si>
    <t>Portable Speakers &amp; Radios</t>
  </si>
  <si>
    <t>CL167926</t>
  </si>
  <si>
    <t>Retro / design speakers vs utility speakers.</t>
  </si>
  <si>
    <t>P57</t>
  </si>
  <si>
    <t>Home &amp; Office Tables</t>
  </si>
  <si>
    <t>Accent &amp; Coffee Tables</t>
  </si>
  <si>
    <t>Reception-area furniture; oversize.</t>
  </si>
  <si>
    <t>Crafting</t>
  </si>
  <si>
    <t>Art Portfolios &amp; Craft Storage</t>
  </si>
  <si>
    <t>Thin (66) and a hobbyist mission.</t>
  </si>
  <si>
    <t>P59</t>
  </si>
  <si>
    <t>Furniture &gt; Storage Furniture &gt; Coat Trees, Stands &amp; Hooks</t>
  </si>
  <si>
    <t>Storage Furniture</t>
  </si>
  <si>
    <t>Coat Trees, Stands &amp; Hooks</t>
  </si>
  <si>
    <t>CL167079</t>
  </si>
  <si>
    <t>Entry/office coat racks; niche.</t>
  </si>
  <si>
    <t>P60</t>
  </si>
  <si>
    <t>Facilities &gt; Floor Mats &amp; Flooring &gt; Commercial Floor Mats</t>
  </si>
  <si>
    <t>Facilities</t>
  </si>
  <si>
    <t>Floor Mats &amp; Flooring</t>
  </si>
  <si>
    <t>Commercial Floor Mats</t>
  </si>
  <si>
    <t>CL214671</t>
  </si>
  <si>
    <t>Wayfair doormat pages already scraped; commercial mats are core.</t>
  </si>
  <si>
    <t>P61</t>
  </si>
  <si>
    <t>Coffee, Water &amp; Snacks &gt; Coffee, Coffee Makers &amp; Supplies &gt; Coffee Makers &amp; Espresso Machines</t>
  </si>
  <si>
    <t>Coffee Makers &amp; Espresso Machines</t>
  </si>
  <si>
    <t>CL140860</t>
  </si>
  <si>
    <t>Breakroom design appliances; moderate fit.</t>
  </si>
  <si>
    <t>P62</t>
  </si>
  <si>
    <t>Furniture &gt; Boards &amp; Easels &gt; Dry Erase Whiteboards</t>
  </si>
  <si>
    <t>Dry Erase Whiteboards</t>
  </si>
  <si>
    <t>CL166382</t>
  </si>
  <si>
    <t>Quartet-led core 1P; glass boards the only adjacency.</t>
  </si>
  <si>
    <t>Kids Seating</t>
  </si>
  <si>
    <t>Pilot: no recommended archetypes.</t>
  </si>
  <si>
    <t>P64</t>
  </si>
  <si>
    <t>Office Supplies &gt; Tape, Fasteners &amp; Adhesives &gt; Hot Glue Sticks &amp; Guns</t>
  </si>
  <si>
    <t>Hot Glue Sticks &amp; Guns</t>
  </si>
  <si>
    <t>CL354680</t>
  </si>
  <si>
    <t>Michaels-style temperature-controlled glue guns vs basic guns.</t>
  </si>
  <si>
    <t>P65</t>
  </si>
  <si>
    <t>Facilities &gt; Air Quality &gt; Air Purifiers</t>
  </si>
  <si>
    <t>Air Quality</t>
  </si>
  <si>
    <t>Air Purifiers</t>
  </si>
  <si>
    <t>CL140858</t>
  </si>
  <si>
    <t>Spec-led wellness appliance.</t>
  </si>
  <si>
    <t>Desk Components &amp; Hutches</t>
  </si>
  <si>
    <t>Hutches</t>
  </si>
  <si>
    <t>Component shelf, little design variance.</t>
  </si>
  <si>
    <t>Gaming Chairs</t>
  </si>
  <si>
    <t>Pilot thin (22 families); spec-led.</t>
  </si>
  <si>
    <t>4. Rugs</t>
  </si>
  <si>
    <t>No L3/L4 exists under Rugs (L2 leaf).</t>
  </si>
  <si>
    <t>X02</t>
  </si>
  <si>
    <t>Furniture &gt; Chair Mats</t>
  </si>
  <si>
    <t>Chair Mats</t>
  </si>
  <si>
    <t>CL70205</t>
  </si>
  <si>
    <t>L2 leaf: no L3/L4 to drill into.</t>
  </si>
  <si>
    <t>Labels</t>
  </si>
  <si>
    <t>L2 leaf of 11,493 commodity labels.</t>
  </si>
  <si>
    <t>Party Supplies</t>
  </si>
  <si>
    <t>Wrapping Supplies</t>
  </si>
  <si>
    <t>Gift Boxes &amp; Bags</t>
  </si>
  <si>
    <t>Fail</t>
  </si>
  <si>
    <t>Overlaps the Party City partner assortment on Staples.com (Apr-2026).</t>
  </si>
  <si>
    <t>Gift Wrap &amp; Wrapping Paper</t>
  </si>
  <si>
    <t>Dining &amp; Tableware</t>
  </si>
  <si>
    <t>Drinkware &amp; Glassware</t>
  </si>
  <si>
    <t>Only 15 Staples items: no baseline.</t>
  </si>
  <si>
    <t>X07</t>
  </si>
  <si>
    <t>Gift Shop &gt; Stationery</t>
  </si>
  <si>
    <t>Gift Shop</t>
  </si>
  <si>
    <t>Stationery</t>
  </si>
  <si>
    <t>CL164333</t>
  </si>
  <si>
    <t>L2 leaf.</t>
  </si>
  <si>
    <t>X08</t>
  </si>
  <si>
    <t>Gift Shop &gt; Professional Gifts &gt; Compasses &gt; Patio Furniture</t>
  </si>
  <si>
    <t>Professional Gifts</t>
  </si>
  <si>
    <t>Compasses</t>
  </si>
  <si>
    <t>Patio Furniture</t>
  </si>
  <si>
    <t>CL213655</t>
  </si>
  <si>
    <t>Mis-shelved under Gift Shop &gt; Compasses; leisure, off-mission.</t>
  </si>
  <si>
    <t>Luggage &amp; Travel Accessories</t>
  </si>
  <si>
    <t>Luggage &amp; Duffel Bags</t>
  </si>
  <si>
    <t>Suitcases &amp; Luggage Sets</t>
  </si>
  <si>
    <t>Leisure travel; off Staples' work/school mission.</t>
  </si>
  <si>
    <t>Hero segmentation: Staples strength vs market attractiveness, per L3/L4 path</t>
  </si>
  <si>
    <t>Rules and 1-5 anchors are in 'Hero Criteria'. S1-S2 and M4 are computed; S3, S4, M1-M3 are analyst inputs (blue).</t>
  </si>
  <si>
    <t>L1 &gt; L2</t>
  </si>
  <si>
    <t>S1 Depth</t>
  </si>
  <si>
    <t>S2 Visibility</t>
  </si>
  <si>
    <t>S3 Merch. investment</t>
  </si>
  <si>
    <t>S4 Shopper association</t>
  </si>
  <si>
    <t>SSI Staples strength (0-100)</t>
  </si>
  <si>
    <t>M1 Demand momentum</t>
  </si>
  <si>
    <t>M2 Competitor destination</t>
  </si>
  <si>
    <t>M3 Size &amp; frequency</t>
  </si>
  <si>
    <t>M4 Occasion (=C7)</t>
  </si>
  <si>
    <t>MAI Market attractiveness (0-100)</t>
  </si>
  <si>
    <t>Evidence / note</t>
  </si>
  <si>
    <t>Chart helpers (#N/A = point hidden on purpose)</t>
  </si>
  <si>
    <t>chart: SSI Hero</t>
  </si>
  <si>
    <t>chart: MAI Hero</t>
  </si>
  <si>
    <t>chart: SSI Prob. Hero</t>
  </si>
  <si>
    <t>chart: MAI Prob. Hero</t>
  </si>
  <si>
    <t>chart: SSI Non-Hero</t>
  </si>
  <si>
    <t>chart: MAI Non-Hero</t>
  </si>
  <si>
    <t>Office Supplies &gt; Calendars &amp; Planners</t>
  </si>
  <si>
    <t>Yes</t>
  </si>
  <si>
    <t>Staples: Sincerely Jules for Blue Sky exclusive (Jun-2026), Vera Bradley; deepest dated-goods shelf. Market: planning / journaling habit.</t>
  </si>
  <si>
    <t>Office Supplies &gt; Desk Organizers &amp; Accessories</t>
  </si>
  <si>
    <t>Staples: header-nav Office Supplies staple with Staples-brand ranges. Market: 'desk setup' trend, Target Brightroom.</t>
  </si>
  <si>
    <t>Coffee, Water &amp; Snacks &gt; Water &amp; Beverages</t>
  </si>
  <si>
    <t>Staples: carries Stanley / Hydro Flask but no exclusives; not a drinkware destination. Market: Owala / Stanley / HydroJug craze.</t>
  </si>
  <si>
    <t>Staples: 229 items of utilitarian guest chairs. Market: Wayfair's core design category.</t>
  </si>
  <si>
    <t>Staples: task-lamp led. Market: decor-led lighting is a Wayfair department.</t>
  </si>
  <si>
    <t>Office Supplies &gt; Writing Supplies &amp; Instruments</t>
  </si>
  <si>
    <t>Staples: Recess Club exclusive, but only 107 items. Market: the BTS aesthetic essential.</t>
  </si>
  <si>
    <t>Bags, Backpacks &amp; Luggage &gt; Backpacks &amp; Laptop Bags</t>
  </si>
  <si>
    <t>No</t>
  </si>
  <si>
    <t>Staples: BTS feature category. Market: 85% of parents buy one (Circana).</t>
  </si>
  <si>
    <t>Bags, Backpacks &amp; Luggage &gt; Totes &amp; Handbags</t>
  </si>
  <si>
    <t>Staples: 404 items, basic insulated bags. Market: bento / leak-proof BTS and work-lunch trend.</t>
  </si>
  <si>
    <t>School Supplies &gt; Teacher Supplies</t>
  </si>
  <si>
    <t>Staples: teacher programme (teacher coupon, teacher lists), 607 items. Market: teachers self-fund about $895 a year.</t>
  </si>
  <si>
    <t>Office Supplies &gt; Storage &amp; Organization</t>
  </si>
  <si>
    <t>Staples: 95 items. Market: Wayfair runs Woven, Decorative and Fabric basket nodes.</t>
  </si>
  <si>
    <t>Bags, Backpacks &amp; Luggage &gt; Briefcases &amp; Padfolios</t>
  </si>
  <si>
    <t>Staples' core furniture (incl. Union &amp; Scale own brand).</t>
  </si>
  <si>
    <t>Office Supplies &gt; Notebooks &amp; Notepads</t>
  </si>
  <si>
    <t>Furniture &gt; Decor</t>
  </si>
  <si>
    <t>Office Supplies &gt; Tape, Fasteners &amp; Adhesives</t>
  </si>
  <si>
    <t>Arts &amp; Crafts &gt; Scrapbooking</t>
  </si>
  <si>
    <t>Computers &amp; Accessories &gt; Computer Accessories &amp; Peripherals</t>
  </si>
  <si>
    <t>Furniture &gt; Boards &amp; Easels</t>
  </si>
  <si>
    <t>Neither a Staples strength nor a market favourite (wall clocks are a flat category).</t>
  </si>
  <si>
    <t>Retail Store Supplies &gt; Retail Packaging</t>
  </si>
  <si>
    <t>Small, flat category at Staples (82 items); premium desk pads (Grovemade, Orbitkey) are a niche design object.</t>
  </si>
  <si>
    <t>Office Supplies &gt; Label Makers &amp; Tapes</t>
  </si>
  <si>
    <t>Shipping, Packing &amp; Mailing Supplies &gt; Mailing Supplies</t>
  </si>
  <si>
    <t>Coffee, Water &amp; Snacks &gt; Coffee, Coffee Makers &amp; Supplies</t>
  </si>
  <si>
    <t>Staples: 50 items of K-cup carousels. Market: a small but styled 'coffee bar' niche.</t>
  </si>
  <si>
    <t>Furniture &gt; Cubicle &amp; Panel Systems</t>
  </si>
  <si>
    <t>Staples: 136 utility screens. Market: acoustic felt is a niche design trend (Felt Right).</t>
  </si>
  <si>
    <t>Staples' core writing instruments: protect.</t>
  </si>
  <si>
    <t>Audio &gt; Headphones</t>
  </si>
  <si>
    <t>Computers &amp; Accessories &gt; Computer Monitors &amp; Stands</t>
  </si>
  <si>
    <t>Staples: office partitions. Market: folding screens are back in decor but a modest category.</t>
  </si>
  <si>
    <t>Cleaning Supplies &gt; Waste &amp; Recycling</t>
  </si>
  <si>
    <t>Fitness &gt; Fitness Equipment</t>
  </si>
  <si>
    <t>Staples: 55 carafes &amp; kettles. Market: design kettles (Fellow Stagg) are a coffee-enthusiast niche.</t>
  </si>
  <si>
    <t>Staples: 46 items. Market: home-fragrance niche led by D2C brands (Vitruvi).</t>
  </si>
  <si>
    <t>Retail Store Supplies &gt; Spa &amp; Salon</t>
  </si>
  <si>
    <t>Staples: PE-style games. Market: yard games are seasonal and infrequent, but Scheels treats them as a destination.</t>
  </si>
  <si>
    <t>Appliances &amp; Kitchenware &gt; Kitchenware</t>
  </si>
  <si>
    <t>Staples' core 1P furniture: protect, and use as the control shelf.</t>
  </si>
  <si>
    <t>Audio &gt; Portable Audio</t>
  </si>
  <si>
    <t>Furniture &gt; Home &amp; Office Tables</t>
  </si>
  <si>
    <t>Arts &amp; Crafts &gt; Crafting</t>
  </si>
  <si>
    <t>Furniture &gt; Storage Furniture</t>
  </si>
  <si>
    <t>Facilities &gt; Floor Mats &amp; Flooring</t>
  </si>
  <si>
    <t>Facilities &gt; Air Quality</t>
  </si>
  <si>
    <t>Avery / Staples-brand core, 11,493 items: protect.</t>
  </si>
  <si>
    <t>Party Supplies &gt; Wrapping Supplies</t>
  </si>
  <si>
    <t>The Party City partnership now supplies this on Staples.com.</t>
  </si>
  <si>
    <t>Gift Shop &gt; Professional Gifts</t>
  </si>
  <si>
    <t>Bags, Backpacks &amp; Luggage &gt; Luggage &amp; Travel Accessories</t>
  </si>
  <si>
    <t>L2 roll-up: how many scored L3/L4 paths of each segment sit under every Staples L2 (live)</t>
  </si>
  <si>
    <t>Parked (gate)</t>
  </si>
  <si>
    <t>Reading</t>
  </si>
  <si>
    <t>Primary Competitor Fit: every Top-20 and reserve shelf</t>
  </si>
  <si>
    <t>Blue = shelf-specific inputs; black = competitor-level defaults (from 'Competitor Profiles'). Rank 1-2 in each shelf = the two picks.</t>
  </si>
  <si>
    <t>Competitor</t>
  </si>
  <si>
    <t>K1 Depth</t>
  </si>
  <si>
    <t>K2 Aesthetic range</t>
  </si>
  <si>
    <t>K3 Shopper overlap</t>
  </si>
  <si>
    <t>K4 Recruitable</t>
  </si>
  <si>
    <t>K5 Data access</t>
  </si>
  <si>
    <t>Fit score</t>
  </si>
  <si>
    <t>Rank in shelf</t>
  </si>
  <si>
    <t>Role</t>
  </si>
  <si>
    <t>Lookup key</t>
  </si>
  <si>
    <t>Target</t>
  </si>
  <si>
    <t>Walmart</t>
  </si>
  <si>
    <t>Dick's Sporting Goods</t>
  </si>
  <si>
    <t>Best Buy</t>
  </si>
  <si>
    <t>Uline</t>
  </si>
  <si>
    <t>Secondary Competitor Fit: every Top-20 and reserve shelf</t>
  </si>
  <si>
    <t>E1 Enthusiast depth</t>
  </si>
  <si>
    <t>E2 Aesthetic authority</t>
  </si>
  <si>
    <t>E3 Distance from Staples</t>
  </si>
  <si>
    <t>E4 Adjacency relevance</t>
  </si>
  <si>
    <t>E5 Transferability</t>
  </si>
  <si>
    <t>What the secondaries show</t>
  </si>
  <si>
    <t>Erin Condren</t>
  </si>
  <si>
    <t>JetPens</t>
  </si>
  <si>
    <t>Paper Source</t>
  </si>
  <si>
    <t>Grovemade</t>
  </si>
  <si>
    <t>The Container Store</t>
  </si>
  <si>
    <t>Pottery Barn Teen</t>
  </si>
  <si>
    <t>Etsy</t>
  </si>
  <si>
    <t>Oriental Trading</t>
  </si>
  <si>
    <t>Really Good Stuff</t>
  </si>
  <si>
    <t>Bellroy</t>
  </si>
  <si>
    <t>Urban Outfitters</t>
  </si>
  <si>
    <t>REI</t>
  </si>
  <si>
    <t>Design Within Reach</t>
  </si>
  <si>
    <t>West Elm</t>
  </si>
  <si>
    <t>Article</t>
  </si>
  <si>
    <t>CB2</t>
  </si>
  <si>
    <t>Keychron</t>
  </si>
  <si>
    <t>Drop</t>
  </si>
  <si>
    <t>Micro Center</t>
  </si>
  <si>
    <t>YETI</t>
  </si>
  <si>
    <t>Anthropologie</t>
  </si>
  <si>
    <t>Lamps Plus</t>
  </si>
  <si>
    <t>Schoolhouse</t>
  </si>
  <si>
    <t>Kinokuniya</t>
  </si>
  <si>
    <t>Bentgo</t>
  </si>
  <si>
    <t>Pottery Barn Kids</t>
  </si>
  <si>
    <t>Williams Sonoma</t>
  </si>
  <si>
    <t>Pottery Barn</t>
  </si>
  <si>
    <t>Nordstrom</t>
  </si>
  <si>
    <t>Orbitkey</t>
  </si>
  <si>
    <t>Crate &amp; Barrel</t>
  </si>
  <si>
    <t>Felt Right</t>
  </si>
  <si>
    <t>Fellow</t>
  </si>
  <si>
    <t>noissue</t>
  </si>
  <si>
    <t>Packhelp</t>
  </si>
  <si>
    <t>Vitruvi</t>
  </si>
  <si>
    <t>Competitor profiles: primary pool and secondary (enthusiast / design) pool</t>
  </si>
  <si>
    <t>Competitor-level scores feed the fit sheets (primary: K4 recruitable, K5 data access; secondary: E3 distance from Staples, E5 transferability). 'Used as' = default picks.</t>
  </si>
  <si>
    <t>Type</t>
  </si>
  <si>
    <t>Scale / depth evidence</t>
  </si>
  <si>
    <t>Aesthetic lens</t>
  </si>
  <si>
    <t>Recruitability (K4 or E5)</t>
  </si>
  <si>
    <t>Data access K5 / Distance E3</t>
  </si>
  <si>
    <t>Access test / note</t>
  </si>
  <si>
    <t>Used as (default picks: Top 20 + reserves)</t>
  </si>
  <si>
    <t>Cautions</t>
  </si>
  <si>
    <t>Verified in this study's searches?</t>
  </si>
  <si>
    <t>Everything marketplace; the B2B rival Staples meets daily</t>
  </si>
  <si>
    <t>3P sellers = ~60-61% of paid units (Q1-Q2 2026). Amazon Business: $60B+ annualised gross sales, 11M+ organisations.</t>
  </si>
  <si>
    <t>Huge variety, noisy quality.</t>
  </si>
  <si>
    <t>Bot-protected; mature paid APIs exist (e.g. Rainforest).</t>
  </si>
  <si>
    <t>P1 Planners; P2 Desk organizers; P1 Classroom decor; P1 Backpacks; P2 Office desks; P1 Bulletin boards; P1 Keyboards; P2 Accent chairs; P2 Desk lamps; P1 Pencil cases; P1 Lunch; P1 Laptop sleeves; P2 Clocks; P1 Desk pads; P1 Coffee organizers; P1 Privacy panels; P2 Partitions; P1 Kettles; P1 Calendars; P1 Label makers; P1 Mailers; P1 Work totes; P1 Journals; P2 Faux plants; P2 Diffusers; P1 Outdoor games; P2 Accent tables</t>
  </si>
  <si>
    <t>De-duplicate near-identical 3P listings; sample by facet.</t>
  </si>
  <si>
    <t>Consumer electronics specialist</t>
  </si>
  <si>
    <t>Examples doc: keyboards, audio, gaming at enthusiast depth; Mirakl marketplace.</t>
  </si>
  <si>
    <t>Colour and style options within known tech brands.</t>
  </si>
  <si>
    <t>Official developer Products API (key required).</t>
  </si>
  <si>
    <t>P2 Keyboards</t>
  </si>
  <si>
    <t>Higher cannibalisation risk against Staples' tech range.</t>
  </si>
  <si>
    <t>National mass sporting goods</t>
  </si>
  <si>
    <t>Stocks YETI, HydroJug, Owala, Stanley and CamelBak with a BTS hydration page.</t>
  </si>
  <si>
    <t>Full colourways of trending bottle brands.</t>
  </si>
  <si>
    <t>HTTP 403.</t>
  </si>
  <si>
    <t>P1 Water bottles; P2 Outdoor games</t>
  </si>
  <si>
    <t>Primary pool because it is national mass; Scheels / REI are the enthusiast secondaries.</t>
  </si>
  <si>
    <t>Mass lifestyle retailer; invite-only curated marketplace (Target Plus)</t>
  </si>
  <si>
    <t>Target Plus: invite-only, 'curation at scale', dozens of hand-picked brands added summer 2026; JanSport named.</t>
  </si>
  <si>
    <t>Design-led owned brands (Brightroom, Threshold, Studio McGee) + exclusive colourways.</t>
  </si>
  <si>
    <t>JavaScript-rendered; JSON endpoints behind the site.</t>
  </si>
  <si>
    <t>P2 Planners; P1 Desk organizers; P2 Backpacks; P2 Water bottles; P2 Pencil cases; P2 Lunch; P2 Storage baskets; P2 Laptop sleeves; P2 Kettles; P2 Calendars; P2 Work totes; P2 Journals; P1 Diffusers</t>
  </si>
  <si>
    <t>Owned brands are not recruitable; Target Plus brands are. Closest peer to Pat's curated model.</t>
  </si>
  <si>
    <t>B2B packaging &amp; facilities catalogue</t>
  </si>
  <si>
    <t>45,000+ products in stock.</t>
  </si>
  <si>
    <t>Utility-first, many colours / sizes.</t>
  </si>
  <si>
    <t>HTTP 200: server-rendered HTML.</t>
  </si>
  <si>
    <t>P2 Mailers</t>
  </si>
  <si>
    <t>Mostly Uline-branded: weak seller pool.</t>
  </si>
  <si>
    <t>Mass retailer with an open marketplace</t>
  </si>
  <si>
    <t>Very large third-party marketplace (general knowledge; not sized in this study).</t>
  </si>
  <si>
    <t>Value-led, limited design range.</t>
  </si>
  <si>
    <t>HTTP 200 but 'Robot or human?' bot check.</t>
  </si>
  <si>
    <t>P2 Classroom decor; P2 Label makers</t>
  </si>
  <si>
    <t>Value tier benchmark; weak on aesthetics.</t>
  </si>
  <si>
    <t>Home &amp; commercial furniture / decor pure-play</t>
  </si>
  <si>
    <t>Drop-ship model with 11,000+ suppliers and a 14M+ product catalogue (secondary sources); 21.4M active customers in Q1-2026.</t>
  </si>
  <si>
    <t>Very wide style range at every price tier.</t>
  </si>
  <si>
    <t>Already scraped for the pilot. Today: HTTP 429 (rate-limited).</t>
  </si>
  <si>
    <t>P1 Office desks; P2 Bulletin boards; P1 Accent chairs; P1 Desk lamps; P1 Storage baskets; P1 Clocks; P2 Desk pads; P2 Coffee organizers; P2 Privacy panels; P1 Partitions; P1 Faux plants; P1 Accent tables</t>
  </si>
  <si>
    <t>House brands hide the supplier; recruit the drop-ship suppliers behind them.</t>
  </si>
  <si>
    <t>Lifestyle retailer (URBN)</t>
  </si>
  <si>
    <t>Woven decorative baskets; carries third-party brands such as Vitruvi.</t>
  </si>
  <si>
    <t>Bohemian / artisanal decor.</t>
  </si>
  <si>
    <t>Not tested.</t>
  </si>
  <si>
    <t>S2 Clocks; S2 Partitions; S2 Faux plants; S2 Diffusers</t>
  </si>
  <si>
    <t>Mix of own and third-party brands.</t>
  </si>
  <si>
    <t>D2C modern furniture</t>
  </si>
  <si>
    <t>Mid-century accent chairs comparable to West Elm at $300-500.</t>
  </si>
  <si>
    <t>Mid-century modern.</t>
  </si>
  <si>
    <t>S1 Accent chairs; S1 Accent tables</t>
  </si>
  <si>
    <t>Sells own designs only.</t>
  </si>
  <si>
    <t>D2C carry brand (B Corp, Australia)</t>
  </si>
  <si>
    <t>Laptop sleeves with magnetic closure; work bags; also on Amazon.</t>
  </si>
  <si>
    <t>Premium minimal carry.</t>
  </si>
  <si>
    <t>S1 Backpacks; S1 Laptop sleeves; S1 Work totes</t>
  </si>
  <si>
    <t>D2C = recruitment target.</t>
  </si>
  <si>
    <t>D2C bento lunch-box brand</t>
  </si>
  <si>
    <t>Bento boxes for kids and adults; BTS range.</t>
  </si>
  <si>
    <t>Bento system.</t>
  </si>
  <si>
    <t>S1 Lunch</t>
  </si>
  <si>
    <t>D2C = recruitment target (also at Target / Amazon).</t>
  </si>
  <si>
    <t>Crate &amp; Barrel's modern line</t>
  </si>
  <si>
    <t>Modern furniture and decor (general knowledge).</t>
  </si>
  <si>
    <t>Modern, sculptural.</t>
  </si>
  <si>
    <t>Alternate only</t>
  </si>
  <si>
    <t>Own brand only.</t>
  </si>
  <si>
    <t>Home retailer</t>
  </si>
  <si>
    <t>Coffee storage and kitchen organisation (general knowledge).</t>
  </si>
  <si>
    <t>Modern home.</t>
  </si>
  <si>
    <t>S2 Coffee organizers</t>
  </si>
  <si>
    <t>Own brand mostly.</t>
  </si>
  <si>
    <t>Design retailer (MillerKnoll subsidiary)</t>
  </si>
  <si>
    <t>Herman Miller desks (Renew, Mode), Eames and Nelson designs.</t>
  </si>
  <si>
    <t>Iconic modern design.</t>
  </si>
  <si>
    <t>S1 Office desks</t>
  </si>
  <si>
    <t>Group brands: benchmark, unlikely sellers.</t>
  </si>
  <si>
    <t>Enthusiast keyboard community &amp; store</t>
  </si>
  <si>
    <t>Custom keyboards incl. licensed collabs; also sold at Micro Center.</t>
  </si>
  <si>
    <t>Custom / collectible keyboards.</t>
  </si>
  <si>
    <t>S2 Keyboards</t>
  </si>
  <si>
    <t>Enthusiast pricing.</t>
  </si>
  <si>
    <t>D2C planner brand (also at Target, Barnes &amp; Noble)</t>
  </si>
  <si>
    <t>LifePlanner collection; personalisation; own stores in Austin and Irvine.</t>
  </si>
  <si>
    <t>Aesthetic, customisable planners.</t>
  </si>
  <si>
    <t>S1 Planners; S1 Calendars</t>
  </si>
  <si>
    <t>D2C brand = direct recruitment target.</t>
  </si>
  <si>
    <t>Handmade / independent marketplace</t>
  </si>
  <si>
    <t>Letter boards, felt panels, custom cornhole, classroom theme sets (general knowledge).</t>
  </si>
  <si>
    <t>Handmade, personalised.</t>
  </si>
  <si>
    <t>S1 Classroom decor; S1 Bulletin boards; S2 Privacy panels; S2 Calendars; S2 Outdoor games</t>
  </si>
  <si>
    <t>Small makers may not scale: curate carefully.</t>
  </si>
  <si>
    <t>D2C coffee-gear brand</t>
  </si>
  <si>
    <t>Stagg EKG gooseneck kettle: a design benchmark; also sold at Costco and Amazon.</t>
  </si>
  <si>
    <t>Coffee-enthusiast design.</t>
  </si>
  <si>
    <t>S1 Kettles</t>
  </si>
  <si>
    <t>D2C acoustic felt brand</t>
  </si>
  <si>
    <t>PET-felt desk dividers (NRC .35, ~50% recycled), room dividers and tiles.</t>
  </si>
  <si>
    <t>Acoustics as a design object.</t>
  </si>
  <si>
    <t>S1 Privacy panels; S1 Partitions</t>
  </si>
  <si>
    <t>D2C premium desk-accessory maker (USA)</t>
  </si>
  <si>
    <t>Walnut / cork desk shelves, organizers, vegetable-tanned leather desk pads (10 colours, 6 sizes).</t>
  </si>
  <si>
    <t>Premium natural-material desk systems.</t>
  </si>
  <si>
    <t>S1 Desk organizers; S1 Desk pads</t>
  </si>
  <si>
    <t>Premium price; D2C = recruitment target.</t>
  </si>
  <si>
    <t>Online Japanese / European stationery specialist</t>
  </si>
  <si>
    <t>10,000+ products.</t>
  </si>
  <si>
    <t>Design-led stationery benchmark.</t>
  </si>
  <si>
    <t>HTTP 403 (Cloudflare).</t>
  </si>
  <si>
    <t>S1 Pencil cases; S1 Journals</t>
  </si>
  <si>
    <t>Enthusiast skew; sample manually.</t>
  </si>
  <si>
    <t>D2C mechanical-keyboard brand</t>
  </si>
  <si>
    <t>40+ keyboard models incl. retro designs; widely reviewed as a top enthusiast brand.</t>
  </si>
  <si>
    <t>Retro, customisable keyboards.</t>
  </si>
  <si>
    <t>S1 Keyboards</t>
  </si>
  <si>
    <t>Japanese bookstore &amp; stationery (US stores + web)</t>
  </si>
  <si>
    <t>102 results in Pen Cases; PuniLabo, Lihit Lab, character collabs.</t>
  </si>
  <si>
    <t>Japanese stationery culture.</t>
  </si>
  <si>
    <t>S2 Pencil cases; S2 Journals</t>
  </si>
  <si>
    <t>Imported brands via distributors.</t>
  </si>
  <si>
    <t>Largest US specialty lighting retailer</t>
  </si>
  <si>
    <t>90,000+ lighting designs; family-owned for 40+ years.</t>
  </si>
  <si>
    <t>Specialist lighting depth.</t>
  </si>
  <si>
    <t>S1 Desk lamps</t>
  </si>
  <si>
    <t>Carries many lighting brands (transferable).</t>
  </si>
  <si>
    <t>Arts, crafts, planning &amp; framing specialist</t>
  </si>
  <si>
    <t>~200k online SKUs + ~1.3M via its Mirakl marketplace; Happy Planner stickers &amp; companion accessories.</t>
  </si>
  <si>
    <t>Enthusiast planning / craft depth.</t>
  </si>
  <si>
    <t>HTML 200; grids JavaScript-rendered.</t>
  </si>
  <si>
    <t>S2 Planners; S1 Label makers; S1 Faux plants</t>
  </si>
  <si>
    <t>Hobby-pro items can pull off-mission: keep to planning &amp; display.</t>
  </si>
  <si>
    <t>Enthusiast computer retailer</t>
  </si>
  <si>
    <t>Carries Drop and other enthusiast keyboards.</t>
  </si>
  <si>
    <t>PC-builder culture.</t>
  </si>
  <si>
    <t>Alternate only.</t>
  </si>
  <si>
    <t>Premium department store</t>
  </si>
  <si>
    <t>Carries Vitruvi and premium work bags.</t>
  </si>
  <si>
    <t>Premium fashion / lifestyle.</t>
  </si>
  <si>
    <t>S2 Work totes</t>
  </si>
  <si>
    <t>Multi-brand.</t>
  </si>
  <si>
    <t>D2C accessories brand</t>
  </si>
  <si>
    <t>Desk mat in vegan leather / recycled PET felt with magnetic cable holder and hidden compartment.</t>
  </si>
  <si>
    <t>Functional premium desk mats.</t>
  </si>
  <si>
    <t>S2 Desk pads</t>
  </si>
  <si>
    <t>Party, craft &amp; classroom catalogue</t>
  </si>
  <si>
    <t>A major classroom-decor and teacher catalogue with full themed kits.</t>
  </si>
  <si>
    <t>Themed classroom sets.</t>
  </si>
  <si>
    <t>S2 Classroom decor</t>
  </si>
  <si>
    <t>Mostly own-sourced.</t>
  </si>
  <si>
    <t>Custom packaging platform</t>
  </si>
  <si>
    <t>Custom mailer boxes from 30 pieces; 3D designer; free US delivery.</t>
  </si>
  <si>
    <t>Branded packaging.</t>
  </si>
  <si>
    <t>S2 Mailers</t>
  </si>
  <si>
    <t>Platform = recruitment target.</t>
  </si>
  <si>
    <t>Stationery &amp; gift retailer (Barnes &amp; Noble)</t>
  </si>
  <si>
    <t>Planners, cards, gift wrap (general knowledge).</t>
  </si>
  <si>
    <t>Design stationery.</t>
  </si>
  <si>
    <t>Plain request failed (000).</t>
  </si>
  <si>
    <t>Alternate.</t>
  </si>
  <si>
    <t>Williams-Sonoma Inc. home</t>
  </si>
  <si>
    <t>Woven baskets in rattan, seagrass and natural fibres; basket collections.</t>
  </si>
  <si>
    <t>Premium natural storage.</t>
  </si>
  <si>
    <t>S2 Storage baskets</t>
  </si>
  <si>
    <t>Williams-Sonoma Inc. kids</t>
  </si>
  <si>
    <t>Mackenzie lunch boxes, bento bundles, personalisation.</t>
  </si>
  <si>
    <t>Personalised, coordinated kids' gear.</t>
  </si>
  <si>
    <t>S2 Lunch</t>
  </si>
  <si>
    <t>Williams-Sonoma Inc. teen furniture &amp; decor</t>
  </si>
  <si>
    <t>Pinboards (scalloped, fabric, statement), calendars, desk accessories.</t>
  </si>
  <si>
    <t>Teen / dorm aesthetic.</t>
  </si>
  <si>
    <t>S2 Bulletin boards</t>
  </si>
  <si>
    <t>Own brand only: style lens, not sellers.</t>
  </si>
  <si>
    <t>Outdoor co-op specialist</t>
  </si>
  <si>
    <t>Water bottles from YETI, Nalgene, Hydro Flask, Klean Kanteen, BruMate, HydraPak.</t>
  </si>
  <si>
    <t>Technical outdoor.</t>
  </si>
  <si>
    <t>Outdoor skew.</t>
  </si>
  <si>
    <t>Teacher-designed classroom supplies</t>
  </si>
  <si>
    <t>More than a dozen classroom themes (Boho, Calm, Modern Farmhouse).</t>
  </si>
  <si>
    <t>Teacher-first themes.</t>
  </si>
  <si>
    <t>Enthusiast sporting destination (regional)</t>
  </si>
  <si>
    <t>Wall-to-wall hydration (Examples doc); Osprey &amp; Mystery Ranch packs; premium cornhole &amp; yard games.</t>
  </si>
  <si>
    <t>Technical and colourway depth.</t>
  </si>
  <si>
    <t>S1 Water bottles; S1 Outdoor games</t>
  </si>
  <si>
    <t>Technical skew: strongest for hydration and yard games.</t>
  </si>
  <si>
    <t>D2C heirloom home brand</t>
  </si>
  <si>
    <t>Wall and table clocks collection.</t>
  </si>
  <si>
    <t>Heirloom, craft design.</t>
  </si>
  <si>
    <t>S1 Clocks</t>
  </si>
  <si>
    <t>Own brand; premium.</t>
  </si>
  <si>
    <t>Organization specialist</t>
  </si>
  <si>
    <t>Coordinated acrylic / marble desktop collections; 2026 reset liquidating ~30% of select SKUs.</t>
  </si>
  <si>
    <t>Organization style benchmark.</t>
  </si>
  <si>
    <t>HTTP 307 to a bot check.</t>
  </si>
  <si>
    <t>S2 Desk organizers; S1 Storage baskets; S2 Label makers</t>
  </si>
  <si>
    <t>Shrinking range in 2026; much own brand (Elfa).</t>
  </si>
  <si>
    <t>Youth lifestyle retailer (URBN)</t>
  </si>
  <si>
    <t>Fashion backpacks, lamps, tech accessories (general knowledge).</t>
  </si>
  <si>
    <t>Trend-led, Gen-Z.</t>
  </si>
  <si>
    <t>S2 Backpacks; S2 Desk lamps; S2 Laptop sleeves</t>
  </si>
  <si>
    <t>D2C aromatherapy brand</t>
  </si>
  <si>
    <t>Stone diffusers; stocked at Nordstrom, Anthropologie, Madewell (300+ stores).</t>
  </si>
  <si>
    <t>Diffusers as decor.</t>
  </si>
  <si>
    <t>S1 Diffusers</t>
  </si>
  <si>
    <t>Williams-Sonoma Inc. modern home</t>
  </si>
  <si>
    <t>Mid-century accent chairs ($300-500 band), wall clocks, home-office desks.</t>
  </si>
  <si>
    <t>Mid-century / contemporary design.</t>
  </si>
  <si>
    <t>S2 Office desks; S2 Accent chairs; S2 Accent tables</t>
  </si>
  <si>
    <t>Premium kitchen retailer</t>
  </si>
  <si>
    <t>Coffee-bar accessories, Hold Everything pod drawers and canisters.</t>
  </si>
  <si>
    <t>Premium kitchen / coffee culture.</t>
  </si>
  <si>
    <t>S1 Coffee organizers; S2 Kettles</t>
  </si>
  <si>
    <t>Mostly own / exclusive brands.</t>
  </si>
  <si>
    <t>Premium drinkware / outdoor brand</t>
  </si>
  <si>
    <t>Rambler bottles at REI; D2C customisation and colour drops.</t>
  </si>
  <si>
    <t>Premium colour drops.</t>
  </si>
  <si>
    <t>S2 Water bottles</t>
  </si>
  <si>
    <t>Brand = recruitment target.</t>
  </si>
  <si>
    <t>Custom sustainable packaging platform</t>
  </si>
  <si>
    <t>Custom mailers, boxes, tissue; low minimums; compostable / recycled.</t>
  </si>
  <si>
    <t>Branded, eco unboxing.</t>
  </si>
  <si>
    <t>S1 Mailers</t>
  </si>
  <si>
    <t>Office Depot / ODP</t>
  </si>
  <si>
    <t>Excluded</t>
  </si>
  <si>
    <t>Direct like-for-like competitor</t>
  </si>
  <si>
    <t>Assortment mirrors Staples' utility range.</t>
  </si>
  <si>
    <t>Utility-first</t>
  </si>
  <si>
    <t>Not used</t>
  </si>
  <si>
    <t>Little gap signal: like-for-like comparison finds few design-led archetypes.</t>
  </si>
  <si>
    <t>Paths considered and not in the Top 20 or reserves (with the reason)</t>
  </si>
  <si>
    <t>Parked = failed a gate. Protect = Hero control shelves (marketplace kept out). Backlog = scored, but below the segment quota + reserves.</t>
  </si>
  <si>
    <t>Reason</t>
  </si>
  <si>
    <t>Revisit when</t>
  </si>
  <si>
    <t>A pseudo-L3 split by rug type is accepted as an exception</t>
  </si>
  <si>
    <t>Same: only with a pseudo-L3 split</t>
  </si>
  <si>
    <t>Never as a design play; commodity</t>
  </si>
  <si>
    <t>The Party City partnership scope changes</t>
  </si>
  <si>
    <t>Staples adds a baseline (mugs)</t>
  </si>
  <si>
    <t>Pseudo-L3 split</t>
  </si>
  <si>
    <t>Never; mis-shelved node</t>
  </si>
  <si>
    <t>Travel becomes a marketplace theme</t>
  </si>
  <si>
    <t>Only for a separate premium-pen (JetPens) study</t>
  </si>
  <si>
    <t>Paired with walking pads as a 'wellness desk' story</t>
  </si>
  <si>
    <t>Keep as the control shelf in the PoC</t>
  </si>
  <si>
    <t>Glass boards only, if 1P risk is managed</t>
  </si>
  <si>
    <t>A Top-20 shelf is dropped, or weights / quotas change</t>
  </si>
  <si>
    <t>BTS tech attach is prioritised</t>
  </si>
  <si>
    <t>Paired with Sit &amp; Stand Desks</t>
  </si>
  <si>
    <t>A wellness-at-work theme is added</t>
  </si>
  <si>
    <t>Food compliance for 3P sellers is solved</t>
  </si>
  <si>
    <t>Furniture &gt; Decor &gt; Wall Art &gt; Wall Art/Decor (and sister Wall Art leaves)</t>
  </si>
  <si>
    <t>CL140795</t>
  </si>
  <si>
    <t>Not scored</t>
  </si>
  <si>
    <t>Staples already lists 10,000+ wall-art items (drop-ship catalogue): the gap is already closed.</t>
  </si>
  <si>
    <t>Never</t>
  </si>
  <si>
    <t>Evidence behind the scores</t>
  </si>
  <si>
    <t>Reliability: High = company / official release; Medium = trade press or analyst; Low = vendor blog or market-research PR. 'Opened' = page read directly, not only the search summary.</t>
  </si>
  <si>
    <t>Claim / figure</t>
  </si>
  <si>
    <t>Source</t>
  </si>
  <si>
    <t>URL / location</t>
  </si>
  <si>
    <t>Date</t>
  </si>
  <si>
    <t>Reliability</t>
  </si>
  <si>
    <t>Opened?</t>
  </si>
  <si>
    <t>Used for</t>
  </si>
  <si>
    <t>Staples BTS 2026: Recess Club &amp; Jellygram exclusive pouches / notebooks; Sincerely Jules planners; Vera Bradley; 750+ items under $10; Party City in-store</t>
  </si>
  <si>
    <t>Staples press release</t>
  </si>
  <si>
    <t>https://www.businesswire.com/news/home/20260706408220/en/Staples-Holds-Last-Years-Prices-on-Back-to-School-Essentials-as-The-Most-Wonderful-Time-of-the-Year-Returns</t>
  </si>
  <si>
    <t>2026-07-06</t>
  </si>
  <si>
    <t>High</t>
  </si>
  <si>
    <t>No (403); search summary</t>
  </si>
  <si>
    <t>Pencil cases, planners, familiarity</t>
  </si>
  <si>
    <t>Blue Sky x Sincerely Jules: 27-piece academic collection sold at Staples</t>
  </si>
  <si>
    <t>GlobeNewswire</t>
  </si>
  <si>
    <t>https://www.globenewswire.com/news-release/2026/06/01/3304284/0/en/Blue-Sky-and-Sincerely-Jules-Bring-Vintage-Style-to-Academic-Planners-at-Staples.html</t>
  </si>
  <si>
    <t>2026-06-01</t>
  </si>
  <si>
    <t>No; search summary</t>
  </si>
  <si>
    <t>Planners</t>
  </si>
  <si>
    <t>Staples x Party City: shop-in-shops in 700+ stores and on Staples.com (décor, tableware, gift bags, favors)</t>
  </si>
  <si>
    <t>Business Wire</t>
  </si>
  <si>
    <t>https://www.businesswire.com/news/home/20260421927178/en/Staples-and-Party-City-Announce-Strategic-Partnership-to-Make-Celebrations-Easy</t>
  </si>
  <si>
    <t>2026-04-21</t>
  </si>
  <si>
    <t>Gate G4 (gift wrap / gift bags)</t>
  </si>
  <si>
    <t>85% of parents bought a backpack; lifestyle backpacks +3% $ (2025); stereo headphones +6% $; writing instruments &amp; art paper +2% $</t>
  </si>
  <si>
    <t>Circana</t>
  </si>
  <si>
    <t>https://www.circana.com/post/best-in-class-what-circana-s-insights-reveal-about-2026-back-to-school-trends</t>
  </si>
  <si>
    <t>2026</t>
  </si>
  <si>
    <t>Medium-High</t>
  </si>
  <si>
    <t>Backpacks, headphones</t>
  </si>
  <si>
    <t>Teachers spent $895 out of pocket on average (2024-25); median school supply budget $200</t>
  </si>
  <si>
    <t>AdoptAClassroom.org</t>
  </si>
  <si>
    <t>https://www.adoptaclassroom.org/2025/06/09/2025-teacher-survey-spending-stats-classroom-needs/</t>
  </si>
  <si>
    <t>2025-06-09</t>
  </si>
  <si>
    <t>Medium</t>
  </si>
  <si>
    <t>Classroom decor</t>
  </si>
  <si>
    <t>Target Plus: invite-only, 'curation at scale', dozens of new hand-picked brands; JanSport named</t>
  </si>
  <si>
    <t>Target corporate</t>
  </si>
  <si>
    <t>https://corporate.target.com/news-features/article/2026/07/target-plus-growth</t>
  </si>
  <si>
    <t>2026-07-01</t>
  </si>
  <si>
    <t>Competitor choice; curated-marketplace peer</t>
  </si>
  <si>
    <t>3P sellers = 60-61% of Amazon paid units (Q1-Q2 2026)</t>
  </si>
  <si>
    <t>Marketplace Pulse</t>
  </si>
  <si>
    <t>https://www.marketplacepulse.com/stats/amazon-percent-of-units-by-third-party-sellers</t>
  </si>
  <si>
    <t>Amazon K4</t>
  </si>
  <si>
    <t>Amazon Business: $60B+ annualised gross sales; 11M+ organisations</t>
  </si>
  <si>
    <t>https://www.aboutamazon.com/news/company-news/what-is-amazon-business</t>
  </si>
  <si>
    <t>Amazon profile</t>
  </si>
  <si>
    <t>Wayfair: 11,000+ suppliers, 14M+ products, drop-ship model</t>
  </si>
  <si>
    <t>Secondary (dropship guides); sell.wayfair.com</t>
  </si>
  <si>
    <t>https://sell.wayfair.com/</t>
  </si>
  <si>
    <t>2025-26</t>
  </si>
  <si>
    <t>Wayfair K4</t>
  </si>
  <si>
    <t>Wayfair Q1-2026: 21.4M active customers, return to customer growth</t>
  </si>
  <si>
    <t>Wayfair IR</t>
  </si>
  <si>
    <t>https://investor.wayfair.com/news/news-details/2026/Wayfair-Announces-First-Quarter-2026-Results-Reports-Strong-Share-Capture-and-a-Return-to-Active-Customer-Growth/default.aspx</t>
  </si>
  <si>
    <t>Wayfair profile</t>
  </si>
  <si>
    <t>Michaels: ~200k online SKUs, +1.3M via marketplace</t>
  </si>
  <si>
    <t>eMarketer</t>
  </si>
  <si>
    <t>https://www.emarketer.com/content/lessons-macy-s-michaels-h-m-launching-third-party-marketplace</t>
  </si>
  <si>
    <t>2023-24</t>
  </si>
  <si>
    <t>Michaels K1</t>
  </si>
  <si>
    <t>Container Store 2026 reset: liquidating ~30% of select categories / SKUs; BB&amp;B co-branded stores</t>
  </si>
  <si>
    <t>Beyond / Business Wire; Chain Store Age</t>
  </si>
  <si>
    <t>https://www.businesswire.com/news/home/20260423281194/en/The-Container-Store-Launches-Nationwide-Overhaul-Across-98-Stores</t>
  </si>
  <si>
    <t>2026-04-23</t>
  </si>
  <si>
    <t>Container Store caution</t>
  </si>
  <si>
    <t>Uline stocks 45,000+ products</t>
  </si>
  <si>
    <t>uline.com</t>
  </si>
  <si>
    <t>https://www.uline.com/</t>
  </si>
  <si>
    <t>Uline K1</t>
  </si>
  <si>
    <t>JetPens carries 10,000+ products</t>
  </si>
  <si>
    <t>jetpens.com</t>
  </si>
  <si>
    <t>https://www.jetpens.com/AboutUs</t>
  </si>
  <si>
    <t>JetPens profile</t>
  </si>
  <si>
    <t>Dick's hydration brands: YETI, HydroJug, Owala, Stanley, CamelBak; dedicated BTS hydration page</t>
  </si>
  <si>
    <t>dickssportinggoods.com</t>
  </si>
  <si>
    <t>https://www.dickssportinggoods.com/f/drinkware</t>
  </si>
  <si>
    <t>Water bottles</t>
  </si>
  <si>
    <t>Owala FreeSip is the top design in 2026; HydroJug Traveler reached #1 in Amazon Tumblers early 2026</t>
  </si>
  <si>
    <t>The Kitchn / Ad Age (search summary)</t>
  </si>
  <si>
    <t>https://adage.com/article/marketing-news-strategy/how-stanley-owala-and-rivals-are-battling-water-bottle-sales/2542271/</t>
  </si>
  <si>
    <t>'Resimercial' is the default office design expectation in 2026 (soft seating, warm wood, rugs)</t>
  </si>
  <si>
    <t>AFR Furniture Rental blog; Conklin</t>
  </si>
  <si>
    <t>https://www.rentfurniture.com/blog/2026/03/12/why-resimercial-office-design-still-wins-the-modern-workplace/</t>
  </si>
  <si>
    <t>2026-03-12</t>
  </si>
  <si>
    <t>Low-Medium</t>
  </si>
  <si>
    <t>Accent chairs, desks, plants</t>
  </si>
  <si>
    <t>2026 home-office trends: warm wood, pastels / sage, better lighting; plants the most popular personalisation</t>
  </si>
  <si>
    <t>Decorilla / Homedit</t>
  </si>
  <si>
    <t>https://www.decorilla.com/online-decorating/home-office-trends-2026</t>
  </si>
  <si>
    <t>Low</t>
  </si>
  <si>
    <t>Desk lamps, faux plants, desk organizers</t>
  </si>
  <si>
    <t>Retro / typewriter and pastel keyboards mainstream; Logitech POP ICON combo sold out at $40 (Feb-2026)</t>
  </si>
  <si>
    <t>9to5Toys and review sites</t>
  </si>
  <si>
    <t>https://9to5toys.com/2026/02/04/logitech-pop-icon-keyboard-mouse-combo-down-to-40/</t>
  </si>
  <si>
    <t>2026-02-04</t>
  </si>
  <si>
    <t>Keyboards</t>
  </si>
  <si>
    <t>2026 classroom decor: boho, pastel, calm / SEL themes</t>
  </si>
  <si>
    <t>Teacher blogs (Differentiation Corner)</t>
  </si>
  <si>
    <t>https://www.differentiationcorner.com/2026/03/13/10-calming-classroom-themes-decor-teachers-are-loving-right-now/</t>
  </si>
  <si>
    <t>2026-03-13</t>
  </si>
  <si>
    <t>Bento-style lunch boxes: search interest peaks Jul-Aug; adult work lunches a major use</t>
  </si>
  <si>
    <t>Blog + market sizing</t>
  </si>
  <si>
    <t>https://www.mombloglife.com/bento-style-lunchboxes-back-to-school-2026/</t>
  </si>
  <si>
    <t>Lunch</t>
  </si>
  <si>
    <t>Mini Bluetooth thermal label printers viral for pantry, classroom and TikTok-Shop sellers</t>
  </si>
  <si>
    <t>Label vendor blog / TikTok</t>
  </si>
  <si>
    <t>https://mcauleylabels.com/blogs/articles/label-printer-for-tiktok-shop-sellers</t>
  </si>
  <si>
    <t>Label makers</t>
  </si>
  <si>
    <t>Custom / recycled poly mailers and 'unboxing' packaging trend for small sellers</t>
  </si>
  <si>
    <t>Packaging vendor blogs</t>
  </si>
  <si>
    <t>https://theboxology.us/blog/top-mailer-box-packaging-trends-2026/</t>
  </si>
  <si>
    <t>Retail boxes, mailers</t>
  </si>
  <si>
    <t>Walking-pad market: North America ~56% share (2025); hybrid work and corporate wellness drivers</t>
  </si>
  <si>
    <t>Straits Research</t>
  </si>
  <si>
    <t>https://straitsresearch.com/report/walking-pad-market</t>
  </si>
  <si>
    <t>2025</t>
  </si>
  <si>
    <t>Fitness machines</t>
  </si>
  <si>
    <t>Acoustic felt panels used as a design element in 2026 offices</t>
  </si>
  <si>
    <t>Acoustics vendor blog</t>
  </si>
  <si>
    <t>https://www.easyfelt.co.uk/blogs/interior-trends-2026-acoustics-as-a-design-feature</t>
  </si>
  <si>
    <t>Partitions, privacy panels</t>
  </si>
  <si>
    <t>Oversized, minimalist and sculptural wall clocks trend in 2026 home-office decor</t>
  </si>
  <si>
    <t>Clock vendor blogs</t>
  </si>
  <si>
    <t>https://www.sangnihome.com/2026/06/05/unique-wall-clocks-for-modern-homes-2026-design-trends/</t>
  </si>
  <si>
    <t>Clocks (Non-Hero)</t>
  </si>
  <si>
    <t>Room dividers: 'adjustable room divider' and 'folding screen' searches peaked Feb-2026; folding screens back on trend</t>
  </si>
  <si>
    <t>Homes &amp; Gardens; market blogs</t>
  </si>
  <si>
    <t>https://www.homesandgardens.com/news/folding-screen-room-divider-trend</t>
  </si>
  <si>
    <t>Partitions (Non-Hero)</t>
  </si>
  <si>
    <t>Coffee-station organisation: carousels, drawer organisers and styled coffee-bar stations</t>
  </si>
  <si>
    <t>Review blog; Staples node</t>
  </si>
  <si>
    <t>https://clutterscience.com/blog/best-coffee-station-organizers/</t>
  </si>
  <si>
    <t>Coffee organizers (Non-Hero)</t>
  </si>
  <si>
    <t>Grovemade leather desk pads: vegetable-tanned US leather on cork; 10 colours, 6 sizes; walnut desk shelf systems</t>
  </si>
  <si>
    <t>grovemade.com; Gear Patrol</t>
  </si>
  <si>
    <t>https://grovemade.com/organizers/</t>
  </si>
  <si>
    <t>High (product facts)</t>
  </si>
  <si>
    <t>Desk pads, desk organizers (secondary)</t>
  </si>
  <si>
    <t>Orbitkey desk mat: vegan leather + recycled PET felt, magnetic cable holder, hidden compartment</t>
  </si>
  <si>
    <t>orbitkey.com</t>
  </si>
  <si>
    <t>https://www.orbitkey.com/products/desk-mat</t>
  </si>
  <si>
    <t>Desk pads (secondary)</t>
  </si>
  <si>
    <t>Erin Condren planners sold at most Target stores and Barnes &amp; Noble; own stores in Austin and Irvine</t>
  </si>
  <si>
    <t>erincondren.com / target.com</t>
  </si>
  <si>
    <t>https://www.erincondren.com/planners</t>
  </si>
  <si>
    <t>Planners, calendars (secondary)</t>
  </si>
  <si>
    <t>Kinokuniya US webstore: 102 results in Pen Cases (PuniLabo, Lihit Lab, character collabs)</t>
  </si>
  <si>
    <t>kinokuniya.com</t>
  </si>
  <si>
    <t>https://united-states.kinokuniya.com/t/hobby-and-goods/stationery/pencil-cases</t>
  </si>
  <si>
    <t>Pencil cases, journals (secondary)</t>
  </si>
  <si>
    <t>Pottery Barn Teen pinboards: scalloped, fabric, oversized, no-nail; study-wall boards</t>
  </si>
  <si>
    <t>pbteen.com</t>
  </si>
  <si>
    <t>https://www.pbteen.com/shop/accessories/calendars-pinboards/</t>
  </si>
  <si>
    <t>Bulletin boards (secondary)</t>
  </si>
  <si>
    <t>Keychron: 40+ keyboard models, retro designs; widely rated a top enthusiast brand</t>
  </si>
  <si>
    <t>keychron.com</t>
  </si>
  <si>
    <t>https://www.keychron.com/pages/about-us</t>
  </si>
  <si>
    <t>Keyboards (secondary)</t>
  </si>
  <si>
    <t>Drop enthusiast keyboards, also sold at Micro Center</t>
  </si>
  <si>
    <t>microcenter.com / drop.com</t>
  </si>
  <si>
    <t>https://drop.com/mechanical-keyboards/s</t>
  </si>
  <si>
    <t>REI water bottles: YETI, Nalgene, Hydro Flask, Klean Kanteen, BruMate, HydraPak</t>
  </si>
  <si>
    <t>rei.com</t>
  </si>
  <si>
    <t>https://www.rei.com/c/water-bottles</t>
  </si>
  <si>
    <t>Water bottles (alternate)</t>
  </si>
  <si>
    <t>Scheels backpacks (Osprey, Mystery Ranch, The North Face) and yard games (premium cornhole, Spikeball, giant games)</t>
  </si>
  <si>
    <t>scheels.com</t>
  </si>
  <si>
    <t>https://www.scheels.com/c/yard-games</t>
  </si>
  <si>
    <t>Backpacks, outdoor games, water bottles (secondary)</t>
  </si>
  <si>
    <t>Really Good Stuff: a dozen-plus classroom themes incl. Boho and Cool &amp; Calm</t>
  </si>
  <si>
    <t>reallygoodstuff.com</t>
  </si>
  <si>
    <t>https://www.reallygoodstuff.com/classroom-themes</t>
  </si>
  <si>
    <t>Classroom decor (alternate)</t>
  </si>
  <si>
    <t>Lamps Plus: nation's largest specialty lighting retailer; 90,000+ lighting designs</t>
  </si>
  <si>
    <t>lampsplus.com (search summary)</t>
  </si>
  <si>
    <t>https://www.lampsplus.com/lamps/</t>
  </si>
  <si>
    <t>Desk lamps (secondary)</t>
  </si>
  <si>
    <t>Schoolhouse and West Elm run dedicated wall-clock collections</t>
  </si>
  <si>
    <t>schoolhouse.com; westelm.com</t>
  </si>
  <si>
    <t>https://schoolhouse.com/collections/clocks</t>
  </si>
  <si>
    <t>Clocks (secondary)</t>
  </si>
  <si>
    <t>Felt Right acoustic desk dividers: PET felt, NRC .35, ~50% recycled content, pinnable</t>
  </si>
  <si>
    <t>feltright.com</t>
  </si>
  <si>
    <t>https://feltright.com/collections/dividers</t>
  </si>
  <si>
    <t>Privacy panels, partitions (secondary)</t>
  </si>
  <si>
    <t>Pottery Barn Kids Mackenzie lunch boxes with bento bundles and personalisation</t>
  </si>
  <si>
    <t>potterybarnkids.com</t>
  </si>
  <si>
    <t>https://www.potterybarnkids.com/shopping/kids-bento-lunch-box/</t>
  </si>
  <si>
    <t>Lunch (secondary)</t>
  </si>
  <si>
    <t>Bellroy: B Corp carry brand; magnetic-closure laptop sleeve; sold D2C and on Amazon</t>
  </si>
  <si>
    <t>bellroy.com</t>
  </si>
  <si>
    <t>https://bellroy.com/products/laptop-sleeve</t>
  </si>
  <si>
    <t>Laptop sleeves, backpacks, work totes (secondary)</t>
  </si>
  <si>
    <t>Pottery Barn and Anthropologie woven basket collections (rattan, seagrass, banana bark)</t>
  </si>
  <si>
    <t>potterybarn.com; anthropologie.com</t>
  </si>
  <si>
    <t>https://www.potterybarn.com/shop/organization/baskets-organization/</t>
  </si>
  <si>
    <t>Storage baskets (secondary)</t>
  </si>
  <si>
    <t>Williams Sonoma coffee-bar accessories: ash-wood coffee station with pod drawer, Hold Everything canisters</t>
  </si>
  <si>
    <t>williams-sonoma.com</t>
  </si>
  <si>
    <t>https://www.williams-sonoma.com/shopping/coffee-bar-accessories/</t>
  </si>
  <si>
    <t>Coffee organizers, kettles (secondary)</t>
  </si>
  <si>
    <t>Fellow Stagg EKG: design-benchmark gooseneck kettle (also at Costco / Amazon)</t>
  </si>
  <si>
    <t>fellowproducts.com; reviews</t>
  </si>
  <si>
    <t>https://fellowproducts.com/collections/electric-kettles</t>
  </si>
  <si>
    <t>Kettles (secondary)</t>
  </si>
  <si>
    <t>Vitruvi diffusers stocked at Nordstrom, Anthropologie, Madewell (300+ stores)</t>
  </si>
  <si>
    <t>Forbes; anthropologie.com</t>
  </si>
  <si>
    <t>https://www.anthropologie.com/brands/vitruvi</t>
  </si>
  <si>
    <t>2018-2026</t>
  </si>
  <si>
    <t>Diffusers (secondary)</t>
  </si>
  <si>
    <t>noissue and Packhelp: custom branded, sustainable mailers with low minimums (Packhelp from 30 pieces)</t>
  </si>
  <si>
    <t>noissue.co; packhelp.com</t>
  </si>
  <si>
    <t>https://packhelp.com/p/custom-mailer-box/custom/</t>
  </si>
  <si>
    <t>Mailers (secondary)</t>
  </si>
  <si>
    <t>Design Within Reach (MillerKnoll subsidiary) sells Herman Miller home-office desks (Renew, Mode)</t>
  </si>
  <si>
    <t>dwr.com</t>
  </si>
  <si>
    <t>https://www.dwr.com/furniture-office?lang=en_US</t>
  </si>
  <si>
    <t>Office desks (secondary)</t>
  </si>
  <si>
    <t>Mid-century accent chairs cluster at $300-500 at West Elm and Article</t>
  </si>
  <si>
    <t>Mid-century blog comparison</t>
  </si>
  <si>
    <t>https://midinmod.com/blogs/mid-century-modern-design-blog/best-online-furniture-stores-in-2026-honest-brand-comparison</t>
  </si>
  <si>
    <t>Accent chairs (secondary)</t>
  </si>
  <si>
    <t>Staples navigation tree: 1,877 nodes, 1,240 terminal, item counts per leaf (21-Sep-2026 snapshot)</t>
  </si>
  <si>
    <t>Internal</t>
  </si>
  <si>
    <t>Excels/1. Staples_Navigation_Tree_repaired.xlsx</t>
  </si>
  <si>
    <t>2026-09-21</t>
  </si>
  <si>
    <t>Every path, G1, G3</t>
  </si>
  <si>
    <t>Staples product sample: 26,861 SKUs (leaf coverage = 'SKUs in hand')</t>
  </si>
  <si>
    <t>data/interim/sku_staples.parquet</t>
  </si>
  <si>
    <t>2026-09-27</t>
  </si>
  <si>
    <t>C8 data readiness</t>
  </si>
  <si>
    <t>Pilot results per shelf (recommendations, Strong tier, mapping confidence, Spearman)</t>
  </si>
  <si>
    <t>Internal PoC run</t>
  </si>
  <si>
    <t>outputs/tables/shelf_selection.csv</t>
  </si>
  <si>
    <t>2026-09-28</t>
  </si>
  <si>
    <t>Chairs &amp; desks scores</t>
  </si>
  <si>
    <t>Plain-HTTP access test of 15 competitor sites (status codes in 'Competitor Profiles')</t>
  </si>
  <si>
    <t>Own test</t>
  </si>
  <si>
    <t>curl, 29-Sep-2026</t>
  </si>
  <si>
    <t>2026-09-29</t>
  </si>
  <si>
    <t>K5 data access</t>
  </si>
  <si>
    <t>Staples navigation tree: all terminal nodes (reference)</t>
  </si>
  <si>
    <t>Copied from Excels/1. Staples_Navigation_Tree_repaired.xlsx (snapshot 21-Sep-2026). Filter L1/L2 to verify any path.</t>
  </si>
  <si>
    <t>Items</t>
  </si>
  <si>
    <t>Path ID (this study)</t>
  </si>
  <si>
    <t>Full path</t>
  </si>
  <si>
    <t>URL</t>
  </si>
  <si>
    <t>Carafes, Pitchers &amp; Tumblers</t>
  </si>
  <si>
    <t>CL168371</t>
  </si>
  <si>
    <t>Appliances &amp; Kitchenware &gt; Kitchenware &gt; Dining &amp; Tableware &gt; Carafes, Pitchers &amp; Tumblers</t>
  </si>
  <si>
    <t>https://www.staples.com/Carafes-Pitchers-Tumblers/cat_CL168371</t>
  </si>
  <si>
    <t>https://www.staples.com/Drinkware-Glassware/cat_CL212425</t>
  </si>
  <si>
    <t>Flatware &amp; Cutlery</t>
  </si>
  <si>
    <t>CL212442</t>
  </si>
  <si>
    <t>Appliances &amp; Kitchenware &gt; Kitchenware &gt; Dining &amp; Tableware &gt; Flatware &amp; Cutlery</t>
  </si>
  <si>
    <t>https://www.staples.com/Household-Flatware-Cutlery/cat_CL212442</t>
  </si>
  <si>
    <t>Salt and Pepper Shakers &amp; Mills</t>
  </si>
  <si>
    <t>CL211915</t>
  </si>
  <si>
    <t>Appliances &amp; Kitchenware &gt; Kitchenware &gt; Dining &amp; Tableware &gt; Salt and Pepper Shakers &amp; Mills</t>
  </si>
  <si>
    <t>https://www.staples.com/Salt-and-Pepper-Shakers-Mills/cat_CL211915</t>
  </si>
  <si>
    <t>Tableware</t>
  </si>
  <si>
    <t>CL212612</t>
  </si>
  <si>
    <t>Appliances &amp; Kitchenware &gt; Kitchenware &gt; Dining &amp; Tableware &gt; Tableware</t>
  </si>
  <si>
    <t>https://www.staples.com/Tableware/cat_CL212612</t>
  </si>
  <si>
    <t>Aprons</t>
  </si>
  <si>
    <t>CL214790</t>
  </si>
  <si>
    <t>Appliances &amp; Kitchenware &gt; Kitchenware &gt; Kitchen Accessories &gt; Aprons</t>
  </si>
  <si>
    <t>https://www.staples.com/Aprons/cat_CL214790</t>
  </si>
  <si>
    <t>https://www.staples.com/Kitchen-Storage-Organization/cat_CL142181</t>
  </si>
  <si>
    <t>Oven Mitts &amp; Potholders</t>
  </si>
  <si>
    <t>CL212018</t>
  </si>
  <si>
    <t>Appliances &amp; Kitchenware &gt; Kitchenware &gt; Kitchen Accessories &gt; Oven Mitts &amp; Potholders</t>
  </si>
  <si>
    <t>https://www.staples.com/Oven-Mitts-Potholders/cat_CL212018</t>
  </si>
  <si>
    <t>Kitchen Tools</t>
  </si>
  <si>
    <t>Bakeware</t>
  </si>
  <si>
    <t>CL212010</t>
  </si>
  <si>
    <t>Appliances &amp; Kitchenware &gt; Kitchenware &gt; Kitchen Tools &gt; Bakeware</t>
  </si>
  <si>
    <t>https://www.staples.com/Bakeware/cat_CL212010</t>
  </si>
  <si>
    <t>Cake, Cookie &amp; Pastry Decorations</t>
  </si>
  <si>
    <t>CL212026</t>
  </si>
  <si>
    <t>Appliances &amp; Kitchenware &gt; Kitchenware &gt; Kitchen Tools &gt; Cake, Cookie &amp; Pastry Decorations</t>
  </si>
  <si>
    <t>https://www.staples.com/Cake-Cookie-Pastry-Decorations/cat_CL212026</t>
  </si>
  <si>
    <t>Cooking Utensils</t>
  </si>
  <si>
    <t>CL211913</t>
  </si>
  <si>
    <t>Appliances &amp; Kitchenware &gt; Kitchenware &gt; Kitchen Tools &gt; Cooking Utensils</t>
  </si>
  <si>
    <t>https://www.staples.com/Cooking-Utensils/cat_CL211913</t>
  </si>
  <si>
    <t>Cutting Boards</t>
  </si>
  <si>
    <t>CL211908</t>
  </si>
  <si>
    <t>Appliances &amp; Kitchenware &gt; Kitchenware &gt; Kitchen Tools &gt; Cutting Boards</t>
  </si>
  <si>
    <t>https://www.staples.com/Cutting-Boards/cat_CL211908</t>
  </si>
  <si>
    <t>Food Mills, Shavers &amp; Spice Grinders</t>
  </si>
  <si>
    <t>CL212012</t>
  </si>
  <si>
    <t>Appliances &amp; Kitchenware &gt; Kitchenware &gt; Kitchen Tools &gt; Food Mills, Shavers &amp; Spice Grinders</t>
  </si>
  <si>
    <t>https://www.staples.com/Food-Mills-Shavers-Spice-Grinders/cat_CL212012</t>
  </si>
  <si>
    <t>Grilling Products</t>
  </si>
  <si>
    <t>CL204423</t>
  </si>
  <si>
    <t>Appliances &amp; Kitchenware &gt; Kitchenware &gt; Kitchen Tools &gt; Grilling Products</t>
  </si>
  <si>
    <t>https://www.staples.com/Grilling-Products/cat_CL204423</t>
  </si>
  <si>
    <t>Kitchen Pizza Tools</t>
  </si>
  <si>
    <t>CL212016</t>
  </si>
  <si>
    <t>Appliances &amp; Kitchenware &gt; Kitchenware &gt; Kitchen Tools &gt; Kitchen Pizza Tools</t>
  </si>
  <si>
    <t>https://www.staples.com/Kitchen-Pizza-Tools/cat_CL212016</t>
  </si>
  <si>
    <t>Kitchen Tools &amp; Gadgets</t>
  </si>
  <si>
    <t>CL166366</t>
  </si>
  <si>
    <t>Appliances &amp; Kitchenware &gt; Kitchenware &gt; Kitchen Tools &gt; Kitchen Tools &amp; Gadgets</t>
  </si>
  <si>
    <t>https://www.staples.com/Kitchen-Tools-Gadgets/cat_CL166366</t>
  </si>
  <si>
    <t>Meat Preparation Equipment</t>
  </si>
  <si>
    <t>CL211912</t>
  </si>
  <si>
    <t>Appliances &amp; Kitchenware &gt; Kitchenware &gt; Kitchen Tools &gt; Meat Preparation Equipment</t>
  </si>
  <si>
    <t>https://www.staples.com/Meat-Preparation-Equipment/cat_CL211912</t>
  </si>
  <si>
    <t>Mixing Bowls</t>
  </si>
  <si>
    <t>CL212022</t>
  </si>
  <si>
    <t>Appliances &amp; Kitchenware &gt; Kitchenware &gt; Kitchen Tools &gt; Mixing Bowls</t>
  </si>
  <si>
    <t>https://www.staples.com/Mixing-Bowls/cat_CL212022</t>
  </si>
  <si>
    <t>Pots &amp; Pans</t>
  </si>
  <si>
    <t>CL166364</t>
  </si>
  <si>
    <t>Appliances &amp; Kitchenware &gt; Kitchenware &gt; Kitchen Tools &gt; Pots &amp; Pans</t>
  </si>
  <si>
    <t>https://www.staples.com/Pots-Pans/cat_CL166364</t>
  </si>
  <si>
    <t>Salad Spinners</t>
  </si>
  <si>
    <t>CL212034</t>
  </si>
  <si>
    <t>Appliances &amp; Kitchenware &gt; Kitchenware &gt; Kitchen Tools &gt; Salad Spinners</t>
  </si>
  <si>
    <t>https://www.staples.com/Salad-Spinners/cat_CL212034</t>
  </si>
  <si>
    <t>Sifters, Strainers &amp; Colanders</t>
  </si>
  <si>
    <t>CL212015</t>
  </si>
  <si>
    <t>Appliances &amp; Kitchenware &gt; Kitchenware &gt; Kitchen Tools &gt; Sifters, Strainers &amp; Colanders</t>
  </si>
  <si>
    <t>https://www.staples.com/Sifters-Strainers-Colanders/cat_CL212015</t>
  </si>
  <si>
    <t>Skillets &amp; Braising Pans</t>
  </si>
  <si>
    <t>CL214710</t>
  </si>
  <si>
    <t>Appliances &amp; Kitchenware &gt; Kitchenware &gt; Kitchen Tools &gt; Skillets &amp; Braising Pans</t>
  </si>
  <si>
    <t>https://www.staples.com/Skillets-Braising-Pans/cat_CL214710</t>
  </si>
  <si>
    <t>Major Appliances</t>
  </si>
  <si>
    <t>Dishwashers</t>
  </si>
  <si>
    <t>CL165541</t>
  </si>
  <si>
    <t>Appliances &amp; Kitchenware &gt; Major Appliances &gt; Dishwashers</t>
  </si>
  <si>
    <t>https://www.staples.com/Dishwashers/cat_CL165541</t>
  </si>
  <si>
    <t>Food Warmers</t>
  </si>
  <si>
    <t>CL211845</t>
  </si>
  <si>
    <t>Appliances &amp; Kitchenware &gt; Major Appliances &gt; Food Warmers</t>
  </si>
  <si>
    <t>https://www.staples.com/Food-Warmers/cat_CL211845</t>
  </si>
  <si>
    <t>Freezers</t>
  </si>
  <si>
    <t>CL215705</t>
  </si>
  <si>
    <t>Appliances &amp; Kitchenware &gt; Major Appliances &gt; Freezers</t>
  </si>
  <si>
    <t>https://www.staples.com/Reach-in-Refrigerators-Freezers/cat_CL215705</t>
  </si>
  <si>
    <t>Range Hoods</t>
  </si>
  <si>
    <t>CL214789</t>
  </si>
  <si>
    <t>Appliances &amp; Kitchenware &gt; Major Appliances &gt; Range Hoods</t>
  </si>
  <si>
    <t>https://www.staples.com/Range-Hoods/cat_CL214789</t>
  </si>
  <si>
    <t>Refrigerators</t>
  </si>
  <si>
    <t>CL140861</t>
  </si>
  <si>
    <t>Appliances &amp; Kitchenware &gt; Major Appliances &gt; Refrigerators</t>
  </si>
  <si>
    <t>https://www.staples.com/Refrigerators/cat_CL140861</t>
  </si>
  <si>
    <t>Small Appliances</t>
  </si>
  <si>
    <t>Bread Machines</t>
  </si>
  <si>
    <t>CL212136</t>
  </si>
  <si>
    <t>Appliances &amp; Kitchenware &gt; Small Appliances &gt; Bread Machines</t>
  </si>
  <si>
    <t>https://www.staples.com/Bread-Machines/cat_CL212136</t>
  </si>
  <si>
    <t>Deep Fryers</t>
  </si>
  <si>
    <t>CL211551</t>
  </si>
  <si>
    <t>Appliances &amp; Kitchenware &gt; Small Appliances &gt; Deep Fryers</t>
  </si>
  <si>
    <t>https://www.staples.com/Deep-Fryers/cat_CL211551</t>
  </si>
  <si>
    <t>Egg Cookers &amp; Servers</t>
  </si>
  <si>
    <t>CL212017</t>
  </si>
  <si>
    <t>Appliances &amp; Kitchenware &gt; Small Appliances &gt; Egg Cookers &amp; Servers</t>
  </si>
  <si>
    <t>https://www.staples.com/Egg-Cookers-Servers/cat_CL212017</t>
  </si>
  <si>
    <t>Fondue Sets</t>
  </si>
  <si>
    <t>CL212884</t>
  </si>
  <si>
    <t>Appliances &amp; Kitchenware &gt; Small Appliances &gt; Fondue Sets</t>
  </si>
  <si>
    <t>https://www.staples.com/Fondue-Sets/cat_CL212884</t>
  </si>
  <si>
    <t>Food Dehydrators</t>
  </si>
  <si>
    <t>CL212882</t>
  </si>
  <si>
    <t>Appliances &amp; Kitchenware &gt; Small Appliances &gt; Food Dehydrators</t>
  </si>
  <si>
    <t>https://www.staples.com/Food-Dehydrators/cat_CL212882</t>
  </si>
  <si>
    <t>Griddles, Grills &amp; Waffle Makers</t>
  </si>
  <si>
    <t>CL166365</t>
  </si>
  <si>
    <t>Appliances &amp; Kitchenware &gt; Small Appliances &gt; Griddles, Grills &amp; Waffle Makers</t>
  </si>
  <si>
    <t>https://www.staples.com/Griddles-Grills-Waffle-Makers/cat_CL166365</t>
  </si>
  <si>
    <t>Ice Cream &amp; Yogurt Makers</t>
  </si>
  <si>
    <t>CL212943</t>
  </si>
  <si>
    <t>Appliances &amp; Kitchenware &gt; Small Appliances &gt; Ice Cream &amp; Yogurt Makers</t>
  </si>
  <si>
    <t>https://www.staples.com/Ice-Cream-Yogurt-Makers/cat_CL212943</t>
  </si>
  <si>
    <t>Ice Makers &amp; Snow Cone Machines</t>
  </si>
  <si>
    <t>CL212944</t>
  </si>
  <si>
    <t>Appliances &amp; Kitchenware &gt; Small Appliances &gt; Ice Makers &amp; Snow Cone Machines</t>
  </si>
  <si>
    <t>https://www.staples.com/Ice-Makers-Snow-Cone-Machines/cat_CL212944</t>
  </si>
  <si>
    <t>Microwaves</t>
  </si>
  <si>
    <t>CL141070</t>
  </si>
  <si>
    <t>Appliances &amp; Kitchenware &gt; Small Appliances &gt; Microwaves</t>
  </si>
  <si>
    <t>https://www.staples.com/Microwaves/cat_CL141070</t>
  </si>
  <si>
    <t>Pasta Makers</t>
  </si>
  <si>
    <t>CL212945</t>
  </si>
  <si>
    <t>Appliances &amp; Kitchenware &gt; Small Appliances &gt; Pasta Makers</t>
  </si>
  <si>
    <t>https://www.staples.com/Pasta-Makers/cat_CL212945</t>
  </si>
  <si>
    <t>Popcorn Machines</t>
  </si>
  <si>
    <t>CL212722</t>
  </si>
  <si>
    <t>Appliances &amp; Kitchenware &gt; Small Appliances &gt; Popcorn Machines</t>
  </si>
  <si>
    <t>https://www.staples.com/Popcorn-Machines/cat_CL212722</t>
  </si>
  <si>
    <t>Rice Cookers &amp; Steamers</t>
  </si>
  <si>
    <t>CL166368</t>
  </si>
  <si>
    <t>Appliances &amp; Kitchenware &gt; Small Appliances &gt; Rice Cookers &amp; Steamers</t>
  </si>
  <si>
    <t>https://www.staples.com/Rice-Cookers-Steamers/cat_CL166368</t>
  </si>
  <si>
    <t>Slow Cookers &amp; Roasters</t>
  </si>
  <si>
    <t>CL166369</t>
  </si>
  <si>
    <t>Appliances &amp; Kitchenware &gt; Small Appliances &gt; Slow Cookers &amp; Roasters</t>
  </si>
  <si>
    <t>https://www.staples.com/Slow-Cookers-Roasters/cat_CL166369</t>
  </si>
  <si>
    <t>Art &amp; Drawing Pens</t>
  </si>
  <si>
    <t>CL350820</t>
  </si>
  <si>
    <t>Arts &amp; Crafts &gt; Art &amp; Drawing Pens</t>
  </si>
  <si>
    <t>https://www.staples.com/Art-Drawing-Pens/cat_CL350820</t>
  </si>
  <si>
    <t>Art Brushes</t>
  </si>
  <si>
    <t>CL218950</t>
  </si>
  <si>
    <t>Arts &amp; Crafts &gt; Art Brushes</t>
  </si>
  <si>
    <t>https://www.staples.com/Art-Brushes/cat_CL218950</t>
  </si>
  <si>
    <t>Art Paper &amp; Rolls</t>
  </si>
  <si>
    <t>CL142773</t>
  </si>
  <si>
    <t>Arts &amp; Crafts &gt; Art Paper &amp; Rolls</t>
  </si>
  <si>
    <t>https://www.staples.com/Art-Paper-Rolls/cat_CL142773</t>
  </si>
  <si>
    <t>Canvas &amp; Art Boards</t>
  </si>
  <si>
    <t>CL219042</t>
  </si>
  <si>
    <t>Arts &amp; Crafts &gt; Canvas &amp; Art Boards</t>
  </si>
  <si>
    <t>https://www.staples.com/Canvas-Art-Boards/cat_CL219042</t>
  </si>
  <si>
    <t>Chalk</t>
  </si>
  <si>
    <t>CL110502</t>
  </si>
  <si>
    <t>Arts &amp; Crafts &gt; Chalk</t>
  </si>
  <si>
    <t>https://www.staples.com/Chalk/cat_CL110502</t>
  </si>
  <si>
    <t>Charcoal</t>
  </si>
  <si>
    <t>CL350822</t>
  </si>
  <si>
    <t>Arts &amp; Crafts &gt; Charcoal</t>
  </si>
  <si>
    <t>https://www.staples.com/Charcoal/cat_CL350822</t>
  </si>
  <si>
    <t>Coloring Books</t>
  </si>
  <si>
    <t>CL219108</t>
  </si>
  <si>
    <t>Arts &amp; Crafts &gt; Coloring Books</t>
  </si>
  <si>
    <t>https://www.staples.com/Coloring-Books/cat_CL219108</t>
  </si>
  <si>
    <t>https://www.staples.com/Art-Portfolios-Craft-Storage/cat_CL166121</t>
  </si>
  <si>
    <t>Craft Kits</t>
  </si>
  <si>
    <t>CL167623</t>
  </si>
  <si>
    <t>Arts &amp; Crafts &gt; Crafting &gt; Craft Kits</t>
  </si>
  <si>
    <t>https://www.staples.com/Craft-Kits/cat_CL167623</t>
  </si>
  <si>
    <t>Craft Supplies</t>
  </si>
  <si>
    <t>CL142735</t>
  </si>
  <si>
    <t>Arts &amp; Crafts &gt; Crafting &gt; Craft Supplies</t>
  </si>
  <si>
    <t>https://www.staples.com/Craft-Supplies/cat_CL142735</t>
  </si>
  <si>
    <t>Crayons</t>
  </si>
  <si>
    <t>CL221590</t>
  </si>
  <si>
    <t>Arts &amp; Crafts &gt; Crayons</t>
  </si>
  <si>
    <t>https://www.staples.com/Crayons/cat_CL221590</t>
  </si>
  <si>
    <t>Drafting Supplies</t>
  </si>
  <si>
    <t>CL100100</t>
  </si>
  <si>
    <t>Arts &amp; Crafts &gt; Drafting Supplies</t>
  </si>
  <si>
    <t>https://www.staples.com/Drafting-Supplies/cat_CL100100</t>
  </si>
  <si>
    <t>Drawing &amp; Colored Pencils</t>
  </si>
  <si>
    <t>CL221589</t>
  </si>
  <si>
    <t>Arts &amp; Crafts &gt; Drawing &amp; Colored Pencils</t>
  </si>
  <si>
    <t>https://www.staples.com/Drawing-Colored-Pencils/cat_CL221589</t>
  </si>
  <si>
    <t>Drawing Tools &amp; Supplies</t>
  </si>
  <si>
    <t>CL110202</t>
  </si>
  <si>
    <t>Arts &amp; Crafts &gt; Drawing Tools &amp; Supplies</t>
  </si>
  <si>
    <t>https://www.staples.com/Drawing-Tools-Supplies/cat_CL110202</t>
  </si>
  <si>
    <t>Paint</t>
  </si>
  <si>
    <t>CL140420</t>
  </si>
  <si>
    <t>Arts &amp; Crafts &gt; Paint</t>
  </si>
  <si>
    <t>https://www.staples.com/Paint/cat_CL140420</t>
  </si>
  <si>
    <t>Painting Accessories</t>
  </si>
  <si>
    <t>CL350823</t>
  </si>
  <si>
    <t>Arts &amp; Crafts &gt; Painting Accessories</t>
  </si>
  <si>
    <t>https://www.staples.com/Painting-Accessories/cat_CL350823</t>
  </si>
  <si>
    <t>Pastels</t>
  </si>
  <si>
    <t>CL350821</t>
  </si>
  <si>
    <t>Arts &amp; Crafts &gt; Pastels</t>
  </si>
  <si>
    <t>https://www.staples.com/Pastels/cat_CL350821</t>
  </si>
  <si>
    <t>Die Cutting</t>
  </si>
  <si>
    <t>CL211144</t>
  </si>
  <si>
    <t>Arts &amp; Crafts &gt; Scrapbooking &gt; Die Cutting</t>
  </si>
  <si>
    <t>https://www.staples.com/Die-Cutting/cat_CL211144</t>
  </si>
  <si>
    <t>Scrapbooking Albums &amp; Kits</t>
  </si>
  <si>
    <t>CL167620</t>
  </si>
  <si>
    <t>Arts &amp; Crafts &gt; Scrapbooking &gt; Scrapbooking Albums &amp; Kits</t>
  </si>
  <si>
    <t>https://www.staples.com/Scrapbooking-Albums-Kits/cat_CL167620</t>
  </si>
  <si>
    <t>Stamps &amp; Stencils</t>
  </si>
  <si>
    <t>CL166122</t>
  </si>
  <si>
    <t>Arts &amp; Crafts &gt; Scrapbooking &gt; Stamps &amp; Stencils</t>
  </si>
  <si>
    <t>https://www.staples.com/Stamps-Stencils/cat_CL166122</t>
  </si>
  <si>
    <t>https://www.staples.com/Stickers-Embellishments/cat_CL167442</t>
  </si>
  <si>
    <t>Sketch Pads &amp; Books</t>
  </si>
  <si>
    <t>CL167639</t>
  </si>
  <si>
    <t>Arts &amp; Crafts &gt; Sketch Pads &amp; Books</t>
  </si>
  <si>
    <t>https://www.staples.com/Sketch-Pads-Books/cat_CL167639</t>
  </si>
  <si>
    <t>https://www.staples.com/Headphones/cat_CL210844</t>
  </si>
  <si>
    <t>Headsets &amp; Microphones</t>
  </si>
  <si>
    <t>Headsets</t>
  </si>
  <si>
    <t>CL140478</t>
  </si>
  <si>
    <t>Audio &gt; Headsets &amp; Microphones &gt; Headsets</t>
  </si>
  <si>
    <t>https://www.staples.com/Headsets/cat_CL140478</t>
  </si>
  <si>
    <t>Home Theater Audio</t>
  </si>
  <si>
    <t>Home Theater Speaker Systems</t>
  </si>
  <si>
    <t>CL167255</t>
  </si>
  <si>
    <t>Audio &gt; Portable Audio &gt; Home Theater Audio &gt; Home Theater Speaker Systems</t>
  </si>
  <si>
    <t>https://www.staples.com/Home-Theater-Speaker-Systems/cat_CL167255</t>
  </si>
  <si>
    <t>Home Theater Speakers</t>
  </si>
  <si>
    <t>CL167929</t>
  </si>
  <si>
    <t>Audio &gt; Portable Audio &gt; Home Theater Audio &gt; Home Theater Speakers</t>
  </si>
  <si>
    <t>https://www.staples.com/Home-Theater-Speakers/cat_CL167929</t>
  </si>
  <si>
    <t>Receivers &amp; Amplifiers</t>
  </si>
  <si>
    <t>CL167927</t>
  </si>
  <si>
    <t>Audio &gt; Portable Audio &gt; Home Theater Audio &gt; Receivers &amp; Amplifiers</t>
  </si>
  <si>
    <t>https://www.staples.com/Receivers-Amplifiers/cat_CL167927</t>
  </si>
  <si>
    <t>Speaker Stands</t>
  </si>
  <si>
    <t>CL211566</t>
  </si>
  <si>
    <t>Audio &gt; Portable Audio &gt; Home Theater Audio &gt; Speaker Stands</t>
  </si>
  <si>
    <t>https://www.staples.com/Speaker-Stands/cat_CL211566</t>
  </si>
  <si>
    <t>https://www.staples.com/Portable-Speakers-Radios/cat_CL167926</t>
  </si>
  <si>
    <t>Two Way Radios</t>
  </si>
  <si>
    <t>CL215743</t>
  </si>
  <si>
    <t>Audio &gt; Portable Audio &gt; Two Way Radios</t>
  </si>
  <si>
    <t>https://www.staples.com/Two-Way-Radios/cat_CL215743</t>
  </si>
  <si>
    <t>Voice Recorders</t>
  </si>
  <si>
    <t>CL140515</t>
  </si>
  <si>
    <t>Audio &gt; Portable Audio &gt; Voice Recorders</t>
  </si>
  <si>
    <t>https://www.staples.com/Voice-Recorders/cat_CL140515</t>
  </si>
  <si>
    <t>Laptop Bags</t>
  </si>
  <si>
    <t>CL140978</t>
  </si>
  <si>
    <t>Bags, Backpacks &amp; Luggage &gt; Backpacks &amp; Laptop Bags &gt; Laptop Bags</t>
  </si>
  <si>
    <t>https://www.staples.com/Laptop-Bags/cat_CL140978</t>
  </si>
  <si>
    <t>Messenger Bags</t>
  </si>
  <si>
    <t>CL142738</t>
  </si>
  <si>
    <t>Bags, Backpacks &amp; Luggage &gt; Backpacks &amp; Laptop Bags &gt; Messenger Bags</t>
  </si>
  <si>
    <t>https://www.staples.com/Messenger-Bags/cat_CL142738</t>
  </si>
  <si>
    <t>Briefcases</t>
  </si>
  <si>
    <t>CL216485</t>
  </si>
  <si>
    <t>Bags, Backpacks &amp; Luggage &gt; Briefcases &amp; Padfolios &gt; Briefcases</t>
  </si>
  <si>
    <t>https://www.staples.com/Briefcases/cat_CL216485</t>
  </si>
  <si>
    <t>Padfolios</t>
  </si>
  <si>
    <t>CL140837</t>
  </si>
  <si>
    <t>Bags, Backpacks &amp; Luggage &gt; Briefcases &amp; Padfolios &gt; Padfolios</t>
  </si>
  <si>
    <t>https://www.staples.com/Padfolios/cat_CL140837</t>
  </si>
  <si>
    <t>Sport &amp; Duffel Bags</t>
  </si>
  <si>
    <t>CL167328</t>
  </si>
  <si>
    <t>Bags, Backpacks &amp; Luggage &gt; Luggage &amp; Travel Accessories &gt; Luggage &amp; Duffel Bags &gt; Sport &amp; Duffel Bags</t>
  </si>
  <si>
    <t>https://www.staples.com/Sport-Duffel-Bags/cat_CL167328</t>
  </si>
  <si>
    <t>https://www.staples.com/Suitcases-Luggage-Sets/cat_CL140613</t>
  </si>
  <si>
    <t>Travel Accessories</t>
  </si>
  <si>
    <t>Luggage Tags, Locks &amp; Covers</t>
  </si>
  <si>
    <t>CL354642</t>
  </si>
  <si>
    <t>Bags, Backpacks &amp; Luggage &gt; Luggage &amp; Travel Accessories &gt; Travel Accessories &gt; Luggage Tags, Locks &amp; Covers</t>
  </si>
  <si>
    <t>https://www.staples.com/Luggage-Tags-Locks-Covers/cat_CL354642</t>
  </si>
  <si>
    <t>Personal Travel Accessories</t>
  </si>
  <si>
    <t>CL140835</t>
  </si>
  <si>
    <t>Bags, Backpacks &amp; Luggage &gt; Luggage &amp; Travel Accessories &gt; Travel Accessories &gt; Personal Travel Accessories</t>
  </si>
  <si>
    <t>https://www.staples.com/Personal-Travel-Accessories/cat_CL140835</t>
  </si>
  <si>
    <t>Toiletry Bags, Packing Cubes &amp; Travel Pouches</t>
  </si>
  <si>
    <t>CL354640</t>
  </si>
  <si>
    <t>Bags, Backpacks &amp; Luggage &gt; Luggage &amp; Travel Accessories &gt; Travel Accessories &gt; Toiletry Bags, Packing Cubes &amp; Travel Pouches</t>
  </si>
  <si>
    <t>https://www.staples.com/Toiletry-Bags-Packing-Cubes-Travel-Pouches/cat_CL354640</t>
  </si>
  <si>
    <t>Batteries &amp; Power</t>
  </si>
  <si>
    <t>Battery Shop</t>
  </si>
  <si>
    <t>Camera &amp; Camcorder Batteries &amp; Chargers</t>
  </si>
  <si>
    <t>CL142400</t>
  </si>
  <si>
    <t>Batteries &amp; Power &gt; Battery Shop &gt; Camera &amp; Camcorder Batteries &amp; Chargers</t>
  </si>
  <si>
    <t>https://www.staples.com/Camera-Camcorder-Batteries-Chargers/cat_CL142400</t>
  </si>
  <si>
    <t>Computer &amp; Laptop Batteries</t>
  </si>
  <si>
    <t>CL142585</t>
  </si>
  <si>
    <t>Batteries &amp; Power &gt; Battery Shop &gt; Computer &amp; Laptop Batteries</t>
  </si>
  <si>
    <t>https://www.staples.com/Computer-Laptop-Batteries/cat_CL142585</t>
  </si>
  <si>
    <t>Cordless Phone Batteries</t>
  </si>
  <si>
    <t>CL142797</t>
  </si>
  <si>
    <t>Batteries &amp; Power &gt; Battery Shop &gt; Cordless Phone Batteries</t>
  </si>
  <si>
    <t>https://www.staples.com/Cordless-Phone-Batteries/cat_CL142797</t>
  </si>
  <si>
    <t>General Purpose Batteries</t>
  </si>
  <si>
    <t>CL80302</t>
  </si>
  <si>
    <t>Batteries &amp; Power &gt; Battery Shop &gt; General Purpose Batteries</t>
  </si>
  <si>
    <t>https://www.staples.com/General-Purpose-Batteries/cat_CL80302</t>
  </si>
  <si>
    <t>Hearing Aid Batteries</t>
  </si>
  <si>
    <t>CL164717</t>
  </si>
  <si>
    <t>Batteries &amp; Power &gt; Battery Shop &gt; Hearing Aid Batteries</t>
  </si>
  <si>
    <t>https://www.staples.com/Hearing-Aid-Batteries/cat_CL164717</t>
  </si>
  <si>
    <t>Specialty Batteries</t>
  </si>
  <si>
    <t>CL167241</t>
  </si>
  <si>
    <t>Batteries &amp; Power &gt; Battery Shop &gt; Specialty Batteries</t>
  </si>
  <si>
    <t>https://www.staples.com/Specialty-Batteries/cat_CL167241</t>
  </si>
  <si>
    <t>Power Management</t>
  </si>
  <si>
    <t>Battery Backup &amp; UPS</t>
  </si>
  <si>
    <t>CL141931</t>
  </si>
  <si>
    <t>Batteries &amp; Power &gt; Power Management &gt; Battery Backup &amp; UPS</t>
  </si>
  <si>
    <t>https://www.staples.com/Battery-Backup-UPS/cat_CL141931</t>
  </si>
  <si>
    <t>Extension Cords</t>
  </si>
  <si>
    <t>CL167221</t>
  </si>
  <si>
    <t>Batteries &amp; Power &gt; Power Management &gt; Extension Cords</t>
  </si>
  <si>
    <t>https://www.staples.com/Extension-Cords/cat_CL167221</t>
  </si>
  <si>
    <t>Power Distribution Units</t>
  </si>
  <si>
    <t>CL167350</t>
  </si>
  <si>
    <t>Batteries &amp; Power &gt; Power Management &gt; Power Distribution Units</t>
  </si>
  <si>
    <t>https://www.staples.com/Power-Distribution-Units/cat_CL167350</t>
  </si>
  <si>
    <t>Power Inverters</t>
  </si>
  <si>
    <t>CL165020</t>
  </si>
  <si>
    <t>Batteries &amp; Power &gt; Power Management &gt; Power Inverters</t>
  </si>
  <si>
    <t>https://www.staples.com/Power-Inverters/cat_CL165020</t>
  </si>
  <si>
    <t>Surge Protectors &amp; Power Strips</t>
  </si>
  <si>
    <t>CL163615</t>
  </si>
  <si>
    <t>Batteries &amp; Power &gt; Power Management &gt; Surge Protectors &amp; Power Strips</t>
  </si>
  <si>
    <t>https://www.staples.com/Surge-Protectors-Power-Strips/cat_CL163615</t>
  </si>
  <si>
    <t>UPS Accessories</t>
  </si>
  <si>
    <t>CL350763</t>
  </si>
  <si>
    <t>Batteries &amp; Power &gt; Power Management &gt; UPS Accessories</t>
  </si>
  <si>
    <t>https://www.staples.com/UPS-Accessories/cat_CL350763</t>
  </si>
  <si>
    <t>Cleaning Chemicals &amp; Wipes</t>
  </si>
  <si>
    <t>Air Fresheners &amp; Deodorizers</t>
  </si>
  <si>
    <t>CL142818</t>
  </si>
  <si>
    <t>Cleaning Supplies &gt; Cleaning Chemicals &amp; Wipes &gt; Air Fresheners &amp; Deodorizers</t>
  </si>
  <si>
    <t>https://www.staples.com/Air-Fresheners-Deodorizers/cat_CL142818</t>
  </si>
  <si>
    <t>Carpet Care</t>
  </si>
  <si>
    <t>CL220880</t>
  </si>
  <si>
    <t>Cleaning Supplies &gt; Cleaning Chemicals &amp; Wipes &gt; Carpet Care</t>
  </si>
  <si>
    <t>https://www.staples.com/Carpet-Care/cat_CL220880</t>
  </si>
  <si>
    <t>Cleaning Chemicals</t>
  </si>
  <si>
    <t>CL142820</t>
  </si>
  <si>
    <t>Cleaning Supplies &gt; Cleaning Chemicals &amp; Wipes &gt; Cleaning Chemicals</t>
  </si>
  <si>
    <t>https://www.staples.com/Cleaning-Chemicals/cat_CL142820</t>
  </si>
  <si>
    <t>Dilution Control Systems &amp; Chemicals</t>
  </si>
  <si>
    <t>Dilution Control Chemicals</t>
  </si>
  <si>
    <t>CL350595</t>
  </si>
  <si>
    <t>Cleaning Supplies &gt; Cleaning Chemicals &amp; Wipes &gt; Dilution Control Systems &amp; Chemicals &gt; Dilution Control Chemicals</t>
  </si>
  <si>
    <t>https://www.staples.com/Dilution-Control-Chemicals/cat_CL350595</t>
  </si>
  <si>
    <t>Dilution Control System &amp; Accessories</t>
  </si>
  <si>
    <t>CL350596</t>
  </si>
  <si>
    <t>Cleaning Supplies &gt; Cleaning Chemicals &amp; Wipes &gt; Dilution Control Systems &amp; Chemicals &gt; Dilution Control System &amp; Accessories</t>
  </si>
  <si>
    <t>https://www.staples.com/Dilution-Control-System-Accessories/cat_CL350596</t>
  </si>
  <si>
    <t>Disinfectant Wipes</t>
  </si>
  <si>
    <t>CL220881</t>
  </si>
  <si>
    <t>Cleaning Supplies &gt; Cleaning Chemicals &amp; Wipes &gt; Disinfectant Wipes</t>
  </si>
  <si>
    <t>https://www.staples.com/Disinfectant-Wipes/cat_CL220881</t>
  </si>
  <si>
    <t>Hard Floor Care</t>
  </si>
  <si>
    <t>CL220977</t>
  </si>
  <si>
    <t>Cleaning Supplies &gt; Cleaning Chemicals &amp; Wipes &gt; Hard Floor Care</t>
  </si>
  <si>
    <t>https://www.staples.com/Hard-Floor-Care/cat_CL220977</t>
  </si>
  <si>
    <t>Urinal Screens</t>
  </si>
  <si>
    <t>CL354888</t>
  </si>
  <si>
    <t>Cleaning Supplies &gt; Cleaning Chemicals &amp; Wipes &gt; Urinal Screens</t>
  </si>
  <si>
    <t>https://www.staples.com/Urinal-Screens/cat_CL354888</t>
  </si>
  <si>
    <t>Cleaning Tools</t>
  </si>
  <si>
    <t>Cleaning Brushes &amp; Toilet Plungers</t>
  </si>
  <si>
    <t>CL220905</t>
  </si>
  <si>
    <t>Cleaning Supplies &gt; Cleaning Tools &gt; Cleaning Brushes &amp; Toilet Plungers</t>
  </si>
  <si>
    <t>https://www.staples.com/Cleaning-Brushes-Toilet-Plungers/cat_CL220905</t>
  </si>
  <si>
    <t>Cleaning Carts, Caddies &amp; Accessories</t>
  </si>
  <si>
    <t>Cleaning Caddies</t>
  </si>
  <si>
    <t>CL354616</t>
  </si>
  <si>
    <t>Cleaning Supplies &gt; Cleaning Tools &gt; Cleaning Carts, Caddies &amp; Accessories &gt; Cleaning Caddies</t>
  </si>
  <si>
    <t>https://www.staples.com/Cleaning-Caddies/cat_CL354616</t>
  </si>
  <si>
    <t>Cleaning Cart Accessories</t>
  </si>
  <si>
    <t>CL354617</t>
  </si>
  <si>
    <t>Cleaning Supplies &gt; Cleaning Tools &gt; Cleaning Carts, Caddies &amp; Accessories &gt; Cleaning Cart Accessories</t>
  </si>
  <si>
    <t>https://www.staples.com/Cleaning-Cart-Accessories/cat_CL354617</t>
  </si>
  <si>
    <t>Cleaning Carts</t>
  </si>
  <si>
    <t>CL220906</t>
  </si>
  <si>
    <t>Cleaning Supplies &gt; Cleaning Tools &gt; Cleaning Carts, Caddies &amp; Accessories &gt; Cleaning Carts</t>
  </si>
  <si>
    <t>https://www.staples.com/Cleaning-Carts/cat_CL220906</t>
  </si>
  <si>
    <t>Cleaning Cloths &amp; Rags</t>
  </si>
  <si>
    <t>CL220907</t>
  </si>
  <si>
    <t>Cleaning Supplies &gt; Cleaning Tools &gt; Cleaning Cloths &amp; Rags</t>
  </si>
  <si>
    <t>https://www.staples.com/Cleaning-Cloths-Rags/cat_CL220907</t>
  </si>
  <si>
    <t>Dusters</t>
  </si>
  <si>
    <t>CL165592</t>
  </si>
  <si>
    <t>Cleaning Supplies &gt; Cleaning Tools &gt; Dusters</t>
  </si>
  <si>
    <t>https://www.staples.com/Dusters/cat_CL165592</t>
  </si>
  <si>
    <t>Mops, Brooms &amp; Dustpans</t>
  </si>
  <si>
    <t>Mop Buckets &amp; Wringers</t>
  </si>
  <si>
    <t>CL220908</t>
  </si>
  <si>
    <t>Cleaning Supplies &gt; Cleaning Tools &gt; Mops, Brooms &amp; Dustpans &gt; Mop Buckets &amp; Wringers</t>
  </si>
  <si>
    <t>https://www.staples.com/Mop-Buckets-Wringers/cat_CL220908</t>
  </si>
  <si>
    <t>Mop Heads &amp; Refill Pads</t>
  </si>
  <si>
    <t>CL354620</t>
  </si>
  <si>
    <t>Cleaning Supplies &gt; Cleaning Tools &gt; Mops, Brooms &amp; Dustpans &gt; Mop Heads &amp; Refill Pads</t>
  </si>
  <si>
    <t>https://www.staples.com/Mop-Heads-Refill-Pads/cat_CL354620</t>
  </si>
  <si>
    <t>Mops</t>
  </si>
  <si>
    <t>CL220909</t>
  </si>
  <si>
    <t>Cleaning Supplies &gt; Cleaning Tools &gt; Mops, Brooms &amp; Dustpans &gt; Mops</t>
  </si>
  <si>
    <t>https://www.staples.com/Mops/cat_CL220909</t>
  </si>
  <si>
    <t>Sponges &amp; Scrubbers</t>
  </si>
  <si>
    <t>CL142819</t>
  </si>
  <si>
    <t>Cleaning Supplies &gt; Cleaning Tools &gt; Sponges &amp; Scrubbers</t>
  </si>
  <si>
    <t>https://www.staples.com/Sponges-Scrubbers/cat_CL142819</t>
  </si>
  <si>
    <t>Spray Bottles &amp; Sprayers</t>
  </si>
  <si>
    <t>CL216655</t>
  </si>
  <si>
    <t>Cleaning Supplies &gt; Cleaning Tools &gt; Spray Bottles &amp; Sprayers</t>
  </si>
  <si>
    <t>https://www.staples.com/Spray-Bottles-Sprayers/cat_CL216655</t>
  </si>
  <si>
    <t>Squeegees</t>
  </si>
  <si>
    <t>CL204491</t>
  </si>
  <si>
    <t>Cleaning Supplies &gt; Cleaning Tools &gt; Squeegees</t>
  </si>
  <si>
    <t>https://www.staples.com/Squeegees/cat_CL204491</t>
  </si>
  <si>
    <t>Dish Soap</t>
  </si>
  <si>
    <t>CL215693</t>
  </si>
  <si>
    <t>Cleaning Supplies &gt; Dish Soap</t>
  </si>
  <si>
    <t>https://www.staples.com/Dish-Soap/cat_CL215693</t>
  </si>
  <si>
    <t>Dishwasher Detergent</t>
  </si>
  <si>
    <t>CL354475</t>
  </si>
  <si>
    <t>Cleaning Supplies &gt; Dishwasher Detergent</t>
  </si>
  <si>
    <t>https://www.staples.com/Dishwasher-Detergent/cat_CL354475</t>
  </si>
  <si>
    <t>Floor &amp; Carpet Cleaning Equipment</t>
  </si>
  <si>
    <t>Auto Scrubbers</t>
  </si>
  <si>
    <t>CL220895</t>
  </si>
  <si>
    <t>Cleaning Supplies &gt; Floor &amp; Carpet Cleaning Equipment &gt; Auto Scrubbers</t>
  </si>
  <si>
    <t>https://www.staples.com/Auto-Scrubbers/cat_CL220895</t>
  </si>
  <si>
    <t>Carpet Extractors &amp; Cleaners</t>
  </si>
  <si>
    <t>CL220896</t>
  </si>
  <si>
    <t>Cleaning Supplies &gt; Floor &amp; Carpet Cleaning Equipment &gt; Carpet Extractors &amp; Cleaners</t>
  </si>
  <si>
    <t>https://www.staples.com/Carpet-Extractors-Cleaners/cat_CL220896</t>
  </si>
  <si>
    <t>Floor Finish Applicators</t>
  </si>
  <si>
    <t>CL220882</t>
  </si>
  <si>
    <t>Cleaning Supplies &gt; Floor &amp; Carpet Cleaning Equipment &gt; Floor Finish Applicators</t>
  </si>
  <si>
    <t>https://www.staples.com/Floor-Finishes-Seals-Applicators/cat_CL220882</t>
  </si>
  <si>
    <t>Floor Machines &amp; Burnishers</t>
  </si>
  <si>
    <t>CL220706</t>
  </si>
  <si>
    <t>Cleaning Supplies &gt; Floor &amp; Carpet Cleaning Equipment &gt; Floor Machines &amp; Burnishers</t>
  </si>
  <si>
    <t>https://www.staples.com/Floor-Machines-Burnishers/cat_CL220706</t>
  </si>
  <si>
    <t>Floor Pads</t>
  </si>
  <si>
    <t>CL220705</t>
  </si>
  <si>
    <t>Cleaning Supplies &gt; Floor &amp; Carpet Cleaning Equipment &gt; Floor Pads</t>
  </si>
  <si>
    <t>https://www.staples.com/Floor-Pads/cat_CL220705</t>
  </si>
  <si>
    <t>Vacuum Parts &amp; Accessories</t>
  </si>
  <si>
    <t>CL355155</t>
  </si>
  <si>
    <t>Cleaning Supplies &gt; Floor &amp; Carpet Cleaning Equipment &gt; Vacuum Parts &amp; Accessories</t>
  </si>
  <si>
    <t>https://www.staples.com/Vacuum-Parts-Accessories/cat_CL355155</t>
  </si>
  <si>
    <t>Vacuums</t>
  </si>
  <si>
    <t>CL140733</t>
  </si>
  <si>
    <t>Cleaning Supplies &gt; Floor &amp; Carpet Cleaning Equipment &gt; Vacuums</t>
  </si>
  <si>
    <t>https://www.staples.com/Vacuums/cat_CL140733</t>
  </si>
  <si>
    <t>Wet/Dry Vacuums</t>
  </si>
  <si>
    <t>CL220897</t>
  </si>
  <si>
    <t>Cleaning Supplies &gt; Floor &amp; Carpet Cleaning Equipment &gt; Wet/Dry Vacuums</t>
  </si>
  <si>
    <t>https://www.staples.com/Wet-Dry-Vacuums/cat_CL220897</t>
  </si>
  <si>
    <t>Hand Soaps &amp; Sanitizers</t>
  </si>
  <si>
    <t>Hand Sanitizer</t>
  </si>
  <si>
    <t>CL220928</t>
  </si>
  <si>
    <t>Cleaning Supplies &gt; Hand Soaps &amp; Sanitizers &gt; Hand Sanitizer</t>
  </si>
  <si>
    <t>https://www.staples.com/Hand-Sanitizer/cat_CL220928</t>
  </si>
  <si>
    <t>Hand Soap</t>
  </si>
  <si>
    <t>CL141836</t>
  </si>
  <si>
    <t>Cleaning Supplies &gt; Hand Soaps &amp; Sanitizers &gt; Hand Soap</t>
  </si>
  <si>
    <t>https://www.staples.com/Hand-Soap/cat_CL141836</t>
  </si>
  <si>
    <t>Hand Soap &amp; Sanitizer Dispensers</t>
  </si>
  <si>
    <t>CL350700</t>
  </si>
  <si>
    <t>Cleaning Supplies &gt; Hand Soaps &amp; Sanitizers &gt; Hand Soap &amp; Sanitizer Dispensers</t>
  </si>
  <si>
    <t>https://www.staples.com/Hand-Soap-Sanitizer-Dispensers/cat_CL350700</t>
  </si>
  <si>
    <t>Janitorial Paper &amp; Dispensers</t>
  </si>
  <si>
    <t>Dispensers &amp; Restroom Equipment</t>
  </si>
  <si>
    <t>Toilet Paper Dispensers</t>
  </si>
  <si>
    <t>CL350641</t>
  </si>
  <si>
    <t>Cleaning Supplies &gt; Janitorial Paper &amp; Dispensers &gt; Dispensers &amp; Restroom Equipment &gt; Toilet Paper Dispensers</t>
  </si>
  <si>
    <t>https://www.staples.com/Toilet-Paper-Dispensers/cat_CL350641</t>
  </si>
  <si>
    <t>Laundry Care</t>
  </si>
  <si>
    <t>Dryer Sheets</t>
  </si>
  <si>
    <t>CL354276</t>
  </si>
  <si>
    <t>Cleaning Supplies &gt; Laundry Care &gt; Dryer Sheets</t>
  </si>
  <si>
    <t>https://www.staples.com/Dryer-Sheets/cat_CL354276</t>
  </si>
  <si>
    <t>Fabric Softener</t>
  </si>
  <si>
    <t>CL354271</t>
  </si>
  <si>
    <t>Cleaning Supplies &gt; Laundry Care &gt; Fabric Softener</t>
  </si>
  <si>
    <t>https://www.staples.com/Fabric-Softener/cat_CL354271</t>
  </si>
  <si>
    <t>Laundry Detergent</t>
  </si>
  <si>
    <t>CL168322</t>
  </si>
  <si>
    <t>Cleaning Supplies &gt; Laundry Care &gt; Laundry Detergent</t>
  </si>
  <si>
    <t>https://www.staples.com/Laundry-Detergent/cat_CL168322</t>
  </si>
  <si>
    <t>Laundry Room Organization</t>
  </si>
  <si>
    <t>Clothes Drying</t>
  </si>
  <si>
    <t>CL354467</t>
  </si>
  <si>
    <t>Cleaning Supplies &gt; Laundry Care &gt; Laundry Room Organization &gt; Clothes Drying</t>
  </si>
  <si>
    <t>https://www.staples.com/Clothes-Drying/cat_CL354467</t>
  </si>
  <si>
    <t>Laundry Accessories</t>
  </si>
  <si>
    <t>CL354468</t>
  </si>
  <si>
    <t>Cleaning Supplies &gt; Laundry Care &gt; Laundry Room Organization &gt; Laundry Accessories</t>
  </si>
  <si>
    <t>https://www.staples.com/Laundry-Accessories/cat_CL354468</t>
  </si>
  <si>
    <t>Laundry Baskets, Hampers &amp; Sorters</t>
  </si>
  <si>
    <t>CL168188</t>
  </si>
  <si>
    <t>Cleaning Supplies &gt; Laundry Care &gt; Laundry Room Organization &gt; Laundry Baskets, Hampers &amp; Sorters</t>
  </si>
  <si>
    <t>https://www.staples.com/Laundry-Baskets-Hampers-Sorters/cat_CL168188</t>
  </si>
  <si>
    <t>Laundry Sanitizers &amp; Bleach</t>
  </si>
  <si>
    <t>CL354272</t>
  </si>
  <si>
    <t>Cleaning Supplies &gt; Laundry Care &gt; Laundry Sanitizers &amp; Bleach</t>
  </si>
  <si>
    <t>https://www.staples.com/Laundry-Sanitizers-Bleach/cat_CL354272</t>
  </si>
  <si>
    <t>Laundry Stain Removers</t>
  </si>
  <si>
    <t>CL354277</t>
  </si>
  <si>
    <t>Cleaning Supplies &gt; Laundry Care &gt; Laundry Stain Removers</t>
  </si>
  <si>
    <t>https://www.staples.com/Laundry-Stain-Removers/cat_CL354277</t>
  </si>
  <si>
    <t>Scent Boosters</t>
  </si>
  <si>
    <t>CL354273</t>
  </si>
  <si>
    <t>Cleaning Supplies &gt; Laundry Care &gt; Scent Boosters</t>
  </si>
  <si>
    <t>https://www.staples.com/Scent-Boosters/cat_CL354273</t>
  </si>
  <si>
    <t>Pest Control</t>
  </si>
  <si>
    <t>CL214284</t>
  </si>
  <si>
    <t>Cleaning Supplies &gt; Pest Control</t>
  </si>
  <si>
    <t>https://www.staples.com/Pest-Control/cat_CL214284</t>
  </si>
  <si>
    <t>Sink Strainers</t>
  </si>
  <si>
    <t>CL211858</t>
  </si>
  <si>
    <t>Cleaning Supplies &gt; Sink Strainers</t>
  </si>
  <si>
    <t>https://www.staples.com/Sink-Strainers/cat_CL211858</t>
  </si>
  <si>
    <t>Trash Bags</t>
  </si>
  <si>
    <t>CL141923</t>
  </si>
  <si>
    <t>Cleaning Supplies &gt; Waste &amp; Recycling &gt; Trash Bags</t>
  </si>
  <si>
    <t>https://www.staples.com/Trash-Bags/cat_CL141923</t>
  </si>
  <si>
    <t>https://www.staples.com/Trash-Cans-Recycling-Bins/cat_CL141928</t>
  </si>
  <si>
    <t>Waste Receptacle Lids &amp; Accessories</t>
  </si>
  <si>
    <t>CL350740</t>
  </si>
  <si>
    <t>Cleaning Supplies &gt; Waste &amp; Recycling &gt; Waste Receptacle Lids &amp; Accessories</t>
  </si>
  <si>
    <t>https://www.staples.com/Waste-Receptacle-Lids-Accessories/cat_CL350740</t>
  </si>
  <si>
    <t>Breakroom Appliances</t>
  </si>
  <si>
    <t>Blenders &amp; Food Processors</t>
  </si>
  <si>
    <t>CL166367</t>
  </si>
  <si>
    <t>Coffee, Water &amp; Snacks &gt; Breakroom Appliances &gt; Blenders &amp; Food Processors</t>
  </si>
  <si>
    <t>https://www.staples.com/Blenders-Food-Processors/cat_CL166367</t>
  </si>
  <si>
    <t>Drink Makers</t>
  </si>
  <si>
    <t>CL217406</t>
  </si>
  <si>
    <t>Coffee, Water &amp; Snacks &gt; Breakroom Appliances &gt; Drink Makers</t>
  </si>
  <si>
    <t>https://www.staples.com/Drink-Makers/cat_CL217406</t>
  </si>
  <si>
    <t>Juicers</t>
  </si>
  <si>
    <t>CL211562</t>
  </si>
  <si>
    <t>Coffee, Water &amp; Snacks &gt; Breakroom Appliances &gt; Juicers</t>
  </si>
  <si>
    <t>https://www.staples.com/Juicers/cat_CL211562</t>
  </si>
  <si>
    <t>Napkin Dispensers</t>
  </si>
  <si>
    <t>CL350646</t>
  </si>
  <si>
    <t>Coffee, Water &amp; Snacks &gt; Breakroom Appliances &gt; Napkin Dispensers</t>
  </si>
  <si>
    <t>https://www.staples.com/Napkin-Dispensers/cat_CL350646</t>
  </si>
  <si>
    <t>Paper Towel Dispensers</t>
  </si>
  <si>
    <t>CL350640</t>
  </si>
  <si>
    <t>Coffee, Water &amp; Snacks &gt; Breakroom Appliances &gt; Paper Towel Dispensers</t>
  </si>
  <si>
    <t>https://www.staples.com/Paper-Towel-Dispensers/cat_CL350640</t>
  </si>
  <si>
    <t>Toaster Ovens</t>
  </si>
  <si>
    <t>CL210338</t>
  </si>
  <si>
    <t>Coffee, Water &amp; Snacks &gt; Breakroom Appliances &gt; Toaster Ovens</t>
  </si>
  <si>
    <t>https://www.staples.com/Toaster-Ovens/cat_CL210338</t>
  </si>
  <si>
    <t>Water Filters &amp; Dispensers</t>
  </si>
  <si>
    <t>CL140865</t>
  </si>
  <si>
    <t>Coffee, Water &amp; Snacks &gt; Breakroom Appliances &gt; Water Filters &amp; Dispensers</t>
  </si>
  <si>
    <t>https://www.staples.com/Water-Filters-Dispensers/cat_CL140865</t>
  </si>
  <si>
    <t>Candy, Gum &amp; Mints</t>
  </si>
  <si>
    <t>Chocolate</t>
  </si>
  <si>
    <t>CL165436</t>
  </si>
  <si>
    <t>Coffee, Water &amp; Snacks &gt; Candy, Gum &amp; Mints &gt; Chocolate</t>
  </si>
  <si>
    <t>https://www.staples.com/Chocolate/cat_CL165436</t>
  </si>
  <si>
    <t>Gum &amp; Mints</t>
  </si>
  <si>
    <t>CL215536</t>
  </si>
  <si>
    <t>Coffee, Water &amp; Snacks &gt; Candy, Gum &amp; Mints &gt; Gum &amp; Mints</t>
  </si>
  <si>
    <t>https://www.staples.com/Gum-Mints/cat_CL215536</t>
  </si>
  <si>
    <t>Gummy &amp; Chewy Candy</t>
  </si>
  <si>
    <t>CL354485</t>
  </si>
  <si>
    <t>Coffee, Water &amp; Snacks &gt; Candy, Gum &amp; Mints &gt; Gummy &amp; Chewy Candy</t>
  </si>
  <si>
    <t>https://www.staples.com/Gummy-Chewy-Candy/cat_CL354485</t>
  </si>
  <si>
    <t>Hard Candy &amp; Lollipops</t>
  </si>
  <si>
    <t>CL354490</t>
  </si>
  <si>
    <t>Coffee, Water &amp; Snacks &gt; Candy, Gum &amp; Mints &gt; Hard Candy &amp; Lollipops</t>
  </si>
  <si>
    <t>https://www.staples.com/Hard-Candy-Lollipops/cat_CL354490</t>
  </si>
  <si>
    <t>Coffee</t>
  </si>
  <si>
    <t>CL141073</t>
  </si>
  <si>
    <t>Coffee, Water &amp; Snacks &gt; Coffee</t>
  </si>
  <si>
    <t>https://www.staples.com/Coffee/cat_CL141073</t>
  </si>
  <si>
    <t>Cocoa</t>
  </si>
  <si>
    <t>CL164878</t>
  </si>
  <si>
    <t>Coffee, Water &amp; Snacks &gt; Coffee, Coffee Makers &amp; Supplies &gt; Cocoa</t>
  </si>
  <si>
    <t>https://www.staples.com/Cocoa/cat_CL164878</t>
  </si>
  <si>
    <t>Coffee Filters</t>
  </si>
  <si>
    <t>CL350715</t>
  </si>
  <si>
    <t>Coffee, Water &amp; Snacks &gt; Coffee, Coffee Makers &amp; Supplies &gt; Coffee Filters</t>
  </si>
  <si>
    <t>https://www.staples.com/Coffee-Filters/cat_CL350715</t>
  </si>
  <si>
    <t>Coffee Grinders</t>
  </si>
  <si>
    <t>CL211026</t>
  </si>
  <si>
    <t>Coffee, Water &amp; Snacks &gt; Coffee, Coffee Makers &amp; Supplies &gt; Coffee Grinders</t>
  </si>
  <si>
    <t>https://www.staples.com/Coffee-Grinders/cat_CL211026</t>
  </si>
  <si>
    <t>https://www.staples.com/Coffee-Makers-Espresso-Machines/cat_CL140860</t>
  </si>
  <si>
    <t>Tea</t>
  </si>
  <si>
    <t>CL162668</t>
  </si>
  <si>
    <t>Coffee, Water &amp; Snacks &gt; Coffee, Coffee Makers &amp; Supplies &gt; Tea</t>
  </si>
  <si>
    <t>https://www.staples.com/Tea/cat_CL162668</t>
  </si>
  <si>
    <t>Paper Products</t>
  </si>
  <si>
    <t>Facial Tissue</t>
  </si>
  <si>
    <t>CL141828</t>
  </si>
  <si>
    <t>Coffee, Water &amp; Snacks &gt; Paper Products &gt; Facial Tissue</t>
  </si>
  <si>
    <t>https://www.staples.com/Facial-Tissue/cat_CL141828</t>
  </si>
  <si>
    <t>Paper Towels</t>
  </si>
  <si>
    <t>CL141826</t>
  </si>
  <si>
    <t>Coffee, Water &amp; Snacks &gt; Paper Products &gt; Paper Towels</t>
  </si>
  <si>
    <t>https://www.staples.com/Paper-Towels/cat_CL141826</t>
  </si>
  <si>
    <t>Toilet Paper &amp; Bath Tissue</t>
  </si>
  <si>
    <t>CL141829</t>
  </si>
  <si>
    <t>Coffee, Water &amp; Snacks &gt; Paper Products &gt; Toilet Paper &amp; Bath Tissue</t>
  </si>
  <si>
    <t>https://www.staples.com/Toilet-Paper-Bath-Tissue/cat_CL141829</t>
  </si>
  <si>
    <t>Toilet Seat Covers</t>
  </si>
  <si>
    <t>CL220927</t>
  </si>
  <si>
    <t>Coffee, Water &amp; Snacks &gt; Paper Products &gt; Toilet Seat Covers</t>
  </si>
  <si>
    <t>https://www.staples.com/Toilet-Seat-Covers/cat_CL220927</t>
  </si>
  <si>
    <t>Single Serve Coffee, Tea &amp; Cocoa</t>
  </si>
  <si>
    <t>CL164886</t>
  </si>
  <si>
    <t>Coffee, Water &amp; Snacks &gt; Single Serve Coffee, Tea &amp; Cocoa</t>
  </si>
  <si>
    <t>https://www.staples.com/Single-Serve-Coffee/cat_CL164886</t>
  </si>
  <si>
    <t>Snacks &amp; Food</t>
  </si>
  <si>
    <t>Chips</t>
  </si>
  <si>
    <t>CL354488</t>
  </si>
  <si>
    <t>Coffee, Water &amp; Snacks &gt; Snacks &amp; Food &gt; Chips</t>
  </si>
  <si>
    <t>https://www.staples.com/Chips/cat_CL354488</t>
  </si>
  <si>
    <t>Cookies</t>
  </si>
  <si>
    <t>CL354486</t>
  </si>
  <si>
    <t>Coffee, Water &amp; Snacks &gt; Snacks &amp; Food &gt; Cookies</t>
  </si>
  <si>
    <t>https://www.staples.com/Cookies/cat_CL354486</t>
  </si>
  <si>
    <t>Crackers</t>
  </si>
  <si>
    <t>CL354491</t>
  </si>
  <si>
    <t>Coffee, Water &amp; Snacks &gt; Snacks &amp; Food &gt; Crackers</t>
  </si>
  <si>
    <t>https://www.staples.com/Crackers/cat_CL354491</t>
  </si>
  <si>
    <t>Fresh, Frozen &amp; Dry Groceries</t>
  </si>
  <si>
    <t>Condiments</t>
  </si>
  <si>
    <t>CL166263</t>
  </si>
  <si>
    <t>Coffee, Water &amp; Snacks &gt; Snacks &amp; Food &gt; Fresh, Frozen &amp; Dry Groceries &gt; Condiments</t>
  </si>
  <si>
    <t>https://www.staples.com/Condiments/cat_CL166263</t>
  </si>
  <si>
    <t>Dry Goods</t>
  </si>
  <si>
    <t>CL354497</t>
  </si>
  <si>
    <t>Coffee, Water &amp; Snacks &gt; Snacks &amp; Food &gt; Fresh, Frozen &amp; Dry Groceries &gt; Dry Goods</t>
  </si>
  <si>
    <t>https://www.staples.com/Dry-Goods/cat_CL354497</t>
  </si>
  <si>
    <t>Fresh Groceries</t>
  </si>
  <si>
    <t>CL350325</t>
  </si>
  <si>
    <t>Coffee, Water &amp; Snacks &gt; Snacks &amp; Food &gt; Fresh, Frozen &amp; Dry Groceries &gt; Fresh Groceries</t>
  </si>
  <si>
    <t>https://www.staples.com/Fresh-Groceries/cat_CL350325</t>
  </si>
  <si>
    <t>Frozen Foods</t>
  </si>
  <si>
    <t>CL350545</t>
  </si>
  <si>
    <t>Coffee, Water &amp; Snacks &gt; Snacks &amp; Food &gt; Fresh, Frozen &amp; Dry Groceries &gt; Frozen Foods</t>
  </si>
  <si>
    <t>https://www.staples.com/Frozen-Foods/cat_CL350545</t>
  </si>
  <si>
    <t>Sugar &amp; Sweeteners</t>
  </si>
  <si>
    <t>CL141079</t>
  </si>
  <si>
    <t>Coffee, Water &amp; Snacks &gt; Snacks &amp; Food &gt; Fresh, Frozen &amp; Dry Groceries &gt; Sugar &amp; Sweeteners</t>
  </si>
  <si>
    <t>https://www.staples.com/Sugar-Sweeteners/cat_CL141079</t>
  </si>
  <si>
    <t>Fruit Snacks</t>
  </si>
  <si>
    <t>CL354487</t>
  </si>
  <si>
    <t>Coffee, Water &amp; Snacks &gt; Snacks &amp; Food &gt; Fruit Snacks</t>
  </si>
  <si>
    <t>https://www.staples.com/Fruit-Snacks/cat_CL354487</t>
  </si>
  <si>
    <t>Jerky &amp; Meat Sticks</t>
  </si>
  <si>
    <t>CL354492</t>
  </si>
  <si>
    <t>Coffee, Water &amp; Snacks &gt; Snacks &amp; Food &gt; Jerky &amp; Meat Sticks</t>
  </si>
  <si>
    <t>https://www.staples.com/Jerky-Meat-Sticks/cat_CL354492</t>
  </si>
  <si>
    <t>Nuts &amp; Seeds</t>
  </si>
  <si>
    <t>CL354493</t>
  </si>
  <si>
    <t>Coffee, Water &amp; Snacks &gt; Snacks &amp; Food &gt; Nuts &amp; Seeds</t>
  </si>
  <si>
    <t>https://www.staples.com/Nuts-Seeds/cat_CL354493</t>
  </si>
  <si>
    <t>Popcorn</t>
  </si>
  <si>
    <t>CL354494</t>
  </si>
  <si>
    <t>Coffee, Water &amp; Snacks &gt; Snacks &amp; Food &gt; Popcorn</t>
  </si>
  <si>
    <t>https://www.staples.com/Popcorn/cat_CL354494</t>
  </si>
  <si>
    <t>Pretzels</t>
  </si>
  <si>
    <t>CL354495</t>
  </si>
  <si>
    <t>Coffee, Water &amp; Snacks &gt; Snacks &amp; Food &gt; Pretzels</t>
  </si>
  <si>
    <t>https://www.staples.com/Pretzels/cat_CL354495</t>
  </si>
  <si>
    <t>Snack &amp; Trail Mixes</t>
  </si>
  <si>
    <t>CL354496</t>
  </si>
  <si>
    <t>Coffee, Water &amp; Snacks &gt; Snacks &amp; Food &gt; Snack &amp; Trail Mixes</t>
  </si>
  <si>
    <t>https://www.staples.com/Snack-Trail-Mixes/cat_CL354496</t>
  </si>
  <si>
    <t>Snacks &amp; Granola Bars</t>
  </si>
  <si>
    <t>CL166198</t>
  </si>
  <si>
    <t>Coffee, Water &amp; Snacks &gt; Snacks &amp; Food &gt; Snacks &amp; Granola Bars</t>
  </si>
  <si>
    <t>https://www.staples.com/Snacks-Granola-Bars/cat_CL166198</t>
  </si>
  <si>
    <t>Variety Snack Packs</t>
  </si>
  <si>
    <t>CL354489</t>
  </si>
  <si>
    <t>Coffee, Water &amp; Snacks &gt; Snacks &amp; Food &gt; Variety Snack Packs</t>
  </si>
  <si>
    <t>https://www.staples.com/Variety-Snack-Packs/cat_CL354489</t>
  </si>
  <si>
    <t>Energy &amp; Sports Drinks</t>
  </si>
  <si>
    <t>CL165674</t>
  </si>
  <si>
    <t>Coffee, Water &amp; Snacks &gt; Water &amp; Beverages &gt; Energy &amp; Sports Drinks</t>
  </si>
  <si>
    <t>https://www.staples.com/Energy-Sports-Drinks/cat_CL165674</t>
  </si>
  <si>
    <t>Juice</t>
  </si>
  <si>
    <t>CL216257</t>
  </si>
  <si>
    <t>Coffee, Water &amp; Snacks &gt; Water &amp; Beverages &gt; Juice</t>
  </si>
  <si>
    <t>https://www.staples.com/Juice/cat_CL216257</t>
  </si>
  <si>
    <t>https://www.staples.com/Liquid-Powdered-Drink-Mixes/cat_CL350770</t>
  </si>
  <si>
    <t>Milk &amp; Creamer</t>
  </si>
  <si>
    <t>CL219104</t>
  </si>
  <si>
    <t>Coffee, Water &amp; Snacks &gt; Water &amp; Beverages &gt; Milk &amp; Creamer</t>
  </si>
  <si>
    <t>https://www.staples.com/Milk-Creamer/cat_CL219104</t>
  </si>
  <si>
    <t>Soda</t>
  </si>
  <si>
    <t>CL141075</t>
  </si>
  <si>
    <t>Coffee, Water &amp; Snacks &gt; Water &amp; Beverages &gt; Soda</t>
  </si>
  <si>
    <t>https://www.staples.com/Soda/cat_CL141075</t>
  </si>
  <si>
    <t>Water</t>
  </si>
  <si>
    <t>CL141077</t>
  </si>
  <si>
    <t>Coffee, Water &amp; Snacks &gt; Water &amp; Beverages &gt; Water</t>
  </si>
  <si>
    <t>https://www.staples.com/Water/cat_CL141077</t>
  </si>
  <si>
    <t>Computer Software</t>
  </si>
  <si>
    <t>Accounting Software</t>
  </si>
  <si>
    <t>CL217456</t>
  </si>
  <si>
    <t>Computer Software &gt; Accounting Software</t>
  </si>
  <si>
    <t>https://www.staples.com/Accounting-Software/cat_CL217456</t>
  </si>
  <si>
    <t>Antivirus Software</t>
  </si>
  <si>
    <t>CL167734</t>
  </si>
  <si>
    <t>Computer Software &gt; Antivirus Software</t>
  </si>
  <si>
    <t>https://www.staples.com/Antivirus-Software/cat_CL167734</t>
  </si>
  <si>
    <t>Education &amp; Language Learning Software</t>
  </si>
  <si>
    <t>CL167771</t>
  </si>
  <si>
    <t>Computer Software &gt; Education &amp; Language Learning Software</t>
  </si>
  <si>
    <t>https://www.staples.com/Education-Language-Learning-Software/cat_CL167771</t>
  </si>
  <si>
    <t>Finance Software</t>
  </si>
  <si>
    <t>CL217457</t>
  </si>
  <si>
    <t>Computer Software &gt; Finance Software</t>
  </si>
  <si>
    <t>https://www.staples.com/Finance-Software/cat_CL217457</t>
  </si>
  <si>
    <t>Hobbies &amp; Personal Interest Software</t>
  </si>
  <si>
    <t>CL167741</t>
  </si>
  <si>
    <t>Computer Software &gt; Hobbies &amp; Personal Interest Software</t>
  </si>
  <si>
    <t>https://www.staples.com/Hobbies-Personal-Interest-Software/cat_CL167741</t>
  </si>
  <si>
    <t>Legal Software</t>
  </si>
  <si>
    <t>CL215595</t>
  </si>
  <si>
    <t>Computer Software &gt; Legal Software</t>
  </si>
  <si>
    <t>https://www.staples.com/Legal-Software/cat_CL215595</t>
  </si>
  <si>
    <t>Microsoft Office</t>
  </si>
  <si>
    <t>CL217460</t>
  </si>
  <si>
    <t>Computer Software &gt; Microsoft Office</t>
  </si>
  <si>
    <t>https://www.staples.com/Microsoft-Office/cat_CL217460</t>
  </si>
  <si>
    <t>Office &amp; Business Software</t>
  </si>
  <si>
    <t>CL167739</t>
  </si>
  <si>
    <t>Computer Software &gt; Office &amp; Business Software</t>
  </si>
  <si>
    <t>https://www.staples.com/Office-Business-Software/cat_CL167739</t>
  </si>
  <si>
    <t>PC Games &amp; Accessories</t>
  </si>
  <si>
    <t>PC Gaming Accessories</t>
  </si>
  <si>
    <t>CL216576</t>
  </si>
  <si>
    <t>Computer Software &gt; PC Games &amp; Accessories &gt; PC Gaming Accessories</t>
  </si>
  <si>
    <t>https://www.staples.com/PC-Gaming-Accessories/cat_CL216576</t>
  </si>
  <si>
    <t>PDF Software</t>
  </si>
  <si>
    <t>CL217461</t>
  </si>
  <si>
    <t>Computer Software &gt; PDF Software</t>
  </si>
  <si>
    <t>https://www.staples.com/PDF-Software/cat_CL217461</t>
  </si>
  <si>
    <t>Photo Editing &amp; Graphic Design Software</t>
  </si>
  <si>
    <t>CL167778</t>
  </si>
  <si>
    <t>Computer Software &gt; Photo Editing &amp; Graphic Design Software</t>
  </si>
  <si>
    <t>https://www.staples.com/Photo-Editing-Graphic-Design-Software/cat_CL167778</t>
  </si>
  <si>
    <t>Tax Software</t>
  </si>
  <si>
    <t>CL166056</t>
  </si>
  <si>
    <t>Computer Software &gt; Tax Software</t>
  </si>
  <si>
    <t>https://www.staples.com/Tax-Software/cat_CL166056</t>
  </si>
  <si>
    <t>Video Editing &amp; Music Software</t>
  </si>
  <si>
    <t>CL167735</t>
  </si>
  <si>
    <t>Computer Software &gt; Video Editing &amp; Music Software</t>
  </si>
  <si>
    <t>https://www.staples.com/Video-Editing-Music-Software/cat_CL167735</t>
  </si>
  <si>
    <t>Windows Operating Systems</t>
  </si>
  <si>
    <t>CL167740</t>
  </si>
  <si>
    <t>Computer Software &gt; Windows Operating Systems</t>
  </si>
  <si>
    <t>https://www.staples.com/Windows-Operating-Systems/cat_CL167740</t>
  </si>
  <si>
    <t>Cables &amp; Cable Accessories</t>
  </si>
  <si>
    <t>Adapters &amp; Splitters</t>
  </si>
  <si>
    <t>CL216881</t>
  </si>
  <si>
    <t>Computers &amp; Accessories &gt; Computer Accessories &amp; Peripherals &gt; Cables &amp; Cable Accessories &gt; Adapters &amp; Splitters</t>
  </si>
  <si>
    <t>https://www.staples.com/Adapters-Splitters/cat_CL216881</t>
  </si>
  <si>
    <t>Cable Management</t>
  </si>
  <si>
    <t>CL142092</t>
  </si>
  <si>
    <t>Computers &amp; Accessories &gt; Computer Accessories &amp; Peripherals &gt; Cables &amp; Cable Accessories &gt; Cable Management</t>
  </si>
  <si>
    <t>https://www.staples.com/Cable-Management/cat_CL142092</t>
  </si>
  <si>
    <t>Cables</t>
  </si>
  <si>
    <t>CL140452</t>
  </si>
  <si>
    <t>Computers &amp; Accessories &gt; Computer Accessories &amp; Peripherals &gt; Cables &amp; Cable Accessories &gt; Cables</t>
  </si>
  <si>
    <t>https://www.staples.com/Cables/cat_CL140452</t>
  </si>
  <si>
    <t>USB Hubs</t>
  </si>
  <si>
    <t>CL162937</t>
  </si>
  <si>
    <t>Computers &amp; Accessories &gt; Computer Accessories &amp; Peripherals &gt; Cables &amp; Cable Accessories &gt; USB Hubs</t>
  </si>
  <si>
    <t>https://www.staples.com/USB-Hubs/cat_CL162937</t>
  </si>
  <si>
    <t>Computer Cleaning &amp; Maintenance</t>
  </si>
  <si>
    <t>CL142034</t>
  </si>
  <si>
    <t>Computers &amp; Accessories &gt; Computer Accessories &amp; Peripherals &gt; Computer Cleaning &amp; Maintenance</t>
  </si>
  <si>
    <t>https://www.staples.com/Computer-Cleaning-Maintenance/cat_CL142034</t>
  </si>
  <si>
    <t>Computer Mice</t>
  </si>
  <si>
    <t>CL141983</t>
  </si>
  <si>
    <t>Computers &amp; Accessories &gt; Computer Accessories &amp; Peripherals &gt; Computer Mice</t>
  </si>
  <si>
    <t>https://www.staples.com/Computer-Mice/cat_CL141983</t>
  </si>
  <si>
    <t>Computer Privacy Screens &amp; Protectors</t>
  </si>
  <si>
    <t>CL161004</t>
  </si>
  <si>
    <t>Computers &amp; Accessories &gt; Computer Accessories &amp; Peripherals &gt; Computer Privacy Screens &amp; Protectors</t>
  </si>
  <si>
    <t>https://www.staples.com/Computer-Privacy-Screens-Protectors/cat_CL161004</t>
  </si>
  <si>
    <t>Computer Speakers</t>
  </si>
  <si>
    <t>CL140479</t>
  </si>
  <si>
    <t>Computers &amp; Accessories &gt; Computer Accessories &amp; Peripherals &gt; Computer Speakers</t>
  </si>
  <si>
    <t>https://www.staples.com/Computer-Speakers/cat_CL140479</t>
  </si>
  <si>
    <t>Graphic Tablets</t>
  </si>
  <si>
    <t>CL163234</t>
  </si>
  <si>
    <t>Computers &amp; Accessories &gt; Computer Accessories &amp; Peripherals &gt; Graphic Tablets</t>
  </si>
  <si>
    <t>https://www.staples.com/Graphic-Tablets/cat_CL163234</t>
  </si>
  <si>
    <t>Keyboard &amp; Mouse Combos</t>
  </si>
  <si>
    <t>CL215784</t>
  </si>
  <si>
    <t>Computers &amp; Accessories &gt; Computer Accessories &amp; Peripherals &gt; Keyboard &amp; Mouse Combos</t>
  </si>
  <si>
    <t>https://www.staples.com/Keyboard-Mouse-Combos/cat_CL215784</t>
  </si>
  <si>
    <t>Keyboard Trays</t>
  </si>
  <si>
    <t>CL141473</t>
  </si>
  <si>
    <t>Computers &amp; Accessories &gt; Computer Accessories &amp; Peripherals &gt; Keyboard Trays</t>
  </si>
  <si>
    <t>https://www.staples.com/Keyboard-Trays/cat_CL141473</t>
  </si>
  <si>
    <t>Laptop Chargers &amp; Adapters</t>
  </si>
  <si>
    <t>CL165024</t>
  </si>
  <si>
    <t>Computers &amp; Accessories &gt; Computer Accessories &amp; Peripherals &gt; Laptop Accessories &gt; Laptop Chargers &amp; Adapters</t>
  </si>
  <si>
    <t>https://www.staples.com/Laptop-Chargers-Adapters/cat_CL165024</t>
  </si>
  <si>
    <t>Laptop Docking Stations</t>
  </si>
  <si>
    <t>CL165023</t>
  </si>
  <si>
    <t>Computers &amp; Accessories &gt; Computer Accessories &amp; Peripherals &gt; Laptop Accessories &gt; Laptop Docking Stations</t>
  </si>
  <si>
    <t>https://www.staples.com/Laptop-Docking-Stations/cat_CL165023</t>
  </si>
  <si>
    <t>Laptop Locks</t>
  </si>
  <si>
    <t>CL141483</t>
  </si>
  <si>
    <t>Computers &amp; Accessories &gt; Computer Accessories &amp; Peripherals &gt; Laptop Accessories &gt; Laptop Locks</t>
  </si>
  <si>
    <t>https://www.staples.com/Laptop-Locks/cat_CL141483</t>
  </si>
  <si>
    <t>https://www.staples.com/Laptop-Stands-Lap-Desks/cat_CL165071</t>
  </si>
  <si>
    <t>Laptop Cooling Pads</t>
  </si>
  <si>
    <t>CL142670</t>
  </si>
  <si>
    <t>Computers &amp; Accessories &gt; Computer Accessories &amp; Peripherals &gt; Laptop Cooling Pads</t>
  </si>
  <si>
    <t>https://www.staples.com/Laptop-Cooling-Pads/cat_CL142670</t>
  </si>
  <si>
    <t>https://www.staples.com/Mouse-Pads-Wrist-Rests/cat_CL141474</t>
  </si>
  <si>
    <t>Multi-Factor Authentication</t>
  </si>
  <si>
    <t>CL354963</t>
  </si>
  <si>
    <t>Computers &amp; Accessories &gt; Computer Accessories &amp; Peripherals &gt; Multi-Factor Authentication</t>
  </si>
  <si>
    <t>https://www.staples.com/Multi-Factor-Authentication/cat_CL354963</t>
  </si>
  <si>
    <t>Webcams</t>
  </si>
  <si>
    <t>CL140467</t>
  </si>
  <si>
    <t>Computers &amp; Accessories &gt; Computer Accessories &amp; Peripherals &gt; Webcams</t>
  </si>
  <si>
    <t>https://www.staples.com/Webcams/cat_CL140467</t>
  </si>
  <si>
    <t>Computer Monitors</t>
  </si>
  <si>
    <t>CL142219</t>
  </si>
  <si>
    <t>Computers &amp; Accessories &gt; Computer Monitors &amp; Stands &gt; Computer Monitors</t>
  </si>
  <si>
    <t>https://www.staples.com/Computer-Monitors/cat_CL142219</t>
  </si>
  <si>
    <t>https://www.staples.com/Monitor-Stands-Mounts/cat_CL141470</t>
  </si>
  <si>
    <t>Computer Parts &amp; Components</t>
  </si>
  <si>
    <t>Computer Cards</t>
  </si>
  <si>
    <t>CL140474</t>
  </si>
  <si>
    <t>Computers &amp; Accessories &gt; Computer Parts &amp; Components &gt; Computer Cards</t>
  </si>
  <si>
    <t>https://www.staples.com/Computer-Cards/cat_CL140474</t>
  </si>
  <si>
    <t>Computer Fans</t>
  </si>
  <si>
    <t>CL350745</t>
  </si>
  <si>
    <t>Computers &amp; Accessories &gt; Computer Parts &amp; Components &gt; Computer Fans</t>
  </si>
  <si>
    <t>https://www.staples.com/Computer-Fans/cat_CL350745</t>
  </si>
  <si>
    <t>Computer Processors / CPUs</t>
  </si>
  <si>
    <t>CL167348</t>
  </si>
  <si>
    <t>Computers &amp; Accessories &gt; Computer Parts &amp; Components &gt; Computer Processors / CPUs</t>
  </si>
  <si>
    <t>https://www.staples.com/Computer-Processors-CPUs/cat_CL167348</t>
  </si>
  <si>
    <t>Graphics Cards</t>
  </si>
  <si>
    <t>CL215749</t>
  </si>
  <si>
    <t>Computers &amp; Accessories &gt; Computer Parts &amp; Components &gt; Graphics Cards</t>
  </si>
  <si>
    <t>https://www.staples.com/Graphics-Cards/cat_CL215749</t>
  </si>
  <si>
    <t>Internal Hard Drives</t>
  </si>
  <si>
    <t>CL211163</t>
  </si>
  <si>
    <t>Computers &amp; Accessories &gt; Computer Parts &amp; Components &gt; Internal Hard Drives</t>
  </si>
  <si>
    <t>https://www.staples.com/Internal-Hard-Drives/cat_CL211163</t>
  </si>
  <si>
    <t>Memory</t>
  </si>
  <si>
    <t>CL142707</t>
  </si>
  <si>
    <t>Computers &amp; Accessories &gt; Computer Parts &amp; Components &gt; Memory</t>
  </si>
  <si>
    <t>https://www.staples.com/Memory/cat_CL142707</t>
  </si>
  <si>
    <t>Motherboards</t>
  </si>
  <si>
    <t>CL167352</t>
  </si>
  <si>
    <t>Computers &amp; Accessories &gt; Computer Parts &amp; Components &gt; Motherboards</t>
  </si>
  <si>
    <t>https://www.staples.com/Motherboards/cat_CL167352</t>
  </si>
  <si>
    <t>Power Supplies</t>
  </si>
  <si>
    <t>CL141992</t>
  </si>
  <si>
    <t>Computers &amp; Accessories &gt; Computer Parts &amp; Components &gt; Power Supplies</t>
  </si>
  <si>
    <t>https://www.staples.com/Power-Supplies/cat_CL141992</t>
  </si>
  <si>
    <t>RAID Controllers</t>
  </si>
  <si>
    <t>CL167414</t>
  </si>
  <si>
    <t>Computers &amp; Accessories &gt; Computer Parts &amp; Components &gt; RAID Controllers</t>
  </si>
  <si>
    <t>https://www.staples.com/RAID-Controllers/cat_CL167414</t>
  </si>
  <si>
    <t>Tower Computer Cases</t>
  </si>
  <si>
    <t>CL141990</t>
  </si>
  <si>
    <t>Computers &amp; Accessories &gt; Computer Parts &amp; Components &gt; Tower Computer Cases</t>
  </si>
  <si>
    <t>https://www.staples.com/Tower-Computer-Cases/cat_CL141990</t>
  </si>
  <si>
    <t>Video Capture Devices</t>
  </si>
  <si>
    <t>CL168164</t>
  </si>
  <si>
    <t>Computers &amp; Accessories &gt; Computer Parts &amp; Components &gt; Video Capture Devices</t>
  </si>
  <si>
    <t>https://www.staples.com/Video-Capture-Devices/cat_CL168164</t>
  </si>
  <si>
    <t>Desktop Computers</t>
  </si>
  <si>
    <t>CL167288</t>
  </si>
  <si>
    <t>Computers &amp; Accessories &gt; Desktop Computers</t>
  </si>
  <si>
    <t>https://www.staples.com/Desktop-Computers/cat_CL167288</t>
  </si>
  <si>
    <t>Laptops</t>
  </si>
  <si>
    <t>CL167289</t>
  </si>
  <si>
    <t>Computers &amp; Accessories &gt; Laptops</t>
  </si>
  <si>
    <t>https://www.staples.com/Laptops/cat_CL167289</t>
  </si>
  <si>
    <t>Servers &amp; Accessories</t>
  </si>
  <si>
    <t>KVM Cables &amp; Switches</t>
  </si>
  <si>
    <t>CL141991</t>
  </si>
  <si>
    <t>Computers &amp; Accessories &gt; Servers &amp; Accessories &gt; KVM Cables &amp; Switches</t>
  </si>
  <si>
    <t>https://www.staples.com/KVM-Cables-Switches/cat_CL141991</t>
  </si>
  <si>
    <t>Server Racks &amp; Cabinets</t>
  </si>
  <si>
    <t>CL168997</t>
  </si>
  <si>
    <t>Computers &amp; Accessories &gt; Servers &amp; Accessories &gt; Server Racks &amp; Cabinets</t>
  </si>
  <si>
    <t>https://www.staples.com/Server-Racks-Cabinets/cat_CL168997</t>
  </si>
  <si>
    <t>Servers</t>
  </si>
  <si>
    <t>CL207763</t>
  </si>
  <si>
    <t>Computers &amp; Accessories &gt; Servers &amp; Accessories &gt; Servers</t>
  </si>
  <si>
    <t>https://www.staples.com/Servers/cat_CL207763</t>
  </si>
  <si>
    <t>Rug Pads</t>
  </si>
  <si>
    <t>CL212465</t>
  </si>
  <si>
    <t>Decor &gt; Rug Pads</t>
  </si>
  <si>
    <t>https://www.staples.com/Rug-Pads/cat_CL212465</t>
  </si>
  <si>
    <t>https://www.staples.com/Rugs/cat_CL167008</t>
  </si>
  <si>
    <t>Expanded Assortment</t>
  </si>
  <si>
    <t>Books &amp; Magazines</t>
  </si>
  <si>
    <t>Sports &amp; Recreation Books</t>
  </si>
  <si>
    <t>CL213868</t>
  </si>
  <si>
    <t>Expanded Assortment &gt; Books &amp; Magazines &gt; Sports &amp; Recreation Books</t>
  </si>
  <si>
    <t>https://www.staples.com/Sports-Recreation-Books/cat_CL213868</t>
  </si>
  <si>
    <t>Clothing, Shoes &amp; Accessories</t>
  </si>
  <si>
    <t>Salon &amp; Spa Apparel</t>
  </si>
  <si>
    <t>Spa Mitts &amp; Footwear</t>
  </si>
  <si>
    <t>CL214073</t>
  </si>
  <si>
    <t>Expanded Assortment &gt; Clothing, Shoes &amp; Accessories &gt; Salon &amp; Spa Apparel &gt; Spa Mitts &amp; Footwear</t>
  </si>
  <si>
    <t>https://www.staples.com/Spa-Mitts-Footwear/cat_CL214073</t>
  </si>
  <si>
    <t>Shoe Care</t>
  </si>
  <si>
    <t>CL204514</t>
  </si>
  <si>
    <t>Expanded Assortment &gt; Clothing, Shoes &amp; Accessories &gt; Shoe Care</t>
  </si>
  <si>
    <t>https://www.staples.com/Shoe-Care/cat_CL204514</t>
  </si>
  <si>
    <t>Women's Accessories</t>
  </si>
  <si>
    <t>Women's Socks &amp; Tights</t>
  </si>
  <si>
    <t>CL214045</t>
  </si>
  <si>
    <t>Expanded Assortment &gt; Clothing, Shoes &amp; Accessories &gt; Women's Accessories &gt; Women's Socks &amp; Tights</t>
  </si>
  <si>
    <t>https://www.staples.com/Women-s-Socks-Tights/cat_CL214045</t>
  </si>
  <si>
    <t>CG3172</t>
  </si>
  <si>
    <t>Expanded Assortment &gt; Fitness</t>
  </si>
  <si>
    <t>https://www.staples.com/Health-Fitness/cat_CG3172</t>
  </si>
  <si>
    <t>Paint &amp; Paint Supplies</t>
  </si>
  <si>
    <t>Paint Brushes</t>
  </si>
  <si>
    <t>CL167169</t>
  </si>
  <si>
    <t>Expanded Assortment &gt; Paint &amp; Paint Supplies &gt; Paint Brushes</t>
  </si>
  <si>
    <t>https://www.staples.com/Paint-Brushes/cat_CL167169</t>
  </si>
  <si>
    <t>Paint Rollers</t>
  </si>
  <si>
    <t>CL167170</t>
  </si>
  <si>
    <t>Expanded Assortment &gt; Paint &amp; Paint Supplies &gt; Paint Rollers</t>
  </si>
  <si>
    <t>https://www.staples.com/Paint-Rollers/cat_CL167170</t>
  </si>
  <si>
    <t>Paint Trays &amp; Liners</t>
  </si>
  <si>
    <t>CL167171</t>
  </si>
  <si>
    <t>Expanded Assortment &gt; Paint &amp; Paint Supplies &gt; Paint Trays &amp; Liners</t>
  </si>
  <si>
    <t>https://www.staples.com/Paint-Trays-Liners/cat_CL167171</t>
  </si>
  <si>
    <t>Personal Care &amp; Eyewear</t>
  </si>
  <si>
    <t>Electric Shavers</t>
  </si>
  <si>
    <t>CL166387</t>
  </si>
  <si>
    <t>Expanded Assortment &gt; Personal Care &amp; Eyewear &gt; Electric Shavers</t>
  </si>
  <si>
    <t>https://www.staples.com/Electric-Shavers/cat_CL166387</t>
  </si>
  <si>
    <t>Toothpaste</t>
  </si>
  <si>
    <t>CL168366</t>
  </si>
  <si>
    <t>Expanded Assortment &gt; Personal Care &amp; Eyewear &gt; Toothpaste</t>
  </si>
  <si>
    <t>https://www.staples.com/Toothpaste/cat_CL168366</t>
  </si>
  <si>
    <t>Pet Supplies &amp; Accessories</t>
  </si>
  <si>
    <t>Bird Supplies</t>
  </si>
  <si>
    <t>Bird Food, Treats and Healthcare</t>
  </si>
  <si>
    <t>CL350257</t>
  </si>
  <si>
    <t>Expanded Assortment &gt; Pet Supplies &amp; Accessories &gt; Bird Supplies &gt; Bird Food, Treats and Healthcare</t>
  </si>
  <si>
    <t>https://www.staples.com/Bird-Food-Treats-and-Healthcare/cat_CL350257</t>
  </si>
  <si>
    <t>Adhesives, Sealants and Patching</t>
  </si>
  <si>
    <t>Adhesives</t>
  </si>
  <si>
    <t>Commercial Adhesives</t>
  </si>
  <si>
    <t>CL350535</t>
  </si>
  <si>
    <t>Facilities &gt; Adhesives, Sealants and Patching &gt; Adhesives &gt; Commercial Adhesives</t>
  </si>
  <si>
    <t>https://www.staples.com/Commercial-Adhesives/cat_CL350535</t>
  </si>
  <si>
    <t>Sealants &amp; Caulking</t>
  </si>
  <si>
    <t>CL167177</t>
  </si>
  <si>
    <t>Facilities &gt; Adhesives, Sealants and Patching &gt; Adhesives &gt; Sealants &amp; Caulking</t>
  </si>
  <si>
    <t>https://www.staples.com/Sealants-Caulking/cat_CL167177</t>
  </si>
  <si>
    <t>Concrete &amp; Asphalt Maintenance</t>
  </si>
  <si>
    <t>Cleaners and Sealers</t>
  </si>
  <si>
    <t>CL350515</t>
  </si>
  <si>
    <t>Facilities &gt; Adhesives, Sealants and Patching &gt; Concrete &amp; Asphalt Maintenance &gt; Cleaners and Sealers</t>
  </si>
  <si>
    <t>https://www.staples.com/Cleaners-and-Sealers/cat_CL350515</t>
  </si>
  <si>
    <t>Air Filter Accessories</t>
  </si>
  <si>
    <t>CL350602</t>
  </si>
  <si>
    <t>Facilities &gt; Air Quality &gt; Air Filter Accessories</t>
  </si>
  <si>
    <t>https://www.staples.com/Air-Filter-Accessories/cat_CL350602</t>
  </si>
  <si>
    <t>Air Purifier Filters</t>
  </si>
  <si>
    <t>CL218808</t>
  </si>
  <si>
    <t>Facilities &gt; Air Quality &gt; Air Purifier Filters</t>
  </si>
  <si>
    <t>https://www.staples.com/Air-Purifier-Filters/cat_CL218808</t>
  </si>
  <si>
    <t>https://www.staples.com/Air-Purifiers/cat_CL140858</t>
  </si>
  <si>
    <t>Dehumidifiers</t>
  </si>
  <si>
    <t>CL216587</t>
  </si>
  <si>
    <t>Facilities &gt; Air Quality &gt; Dehumidifiers</t>
  </si>
  <si>
    <t>https://www.staples.com/Dehumidifiers/cat_CL216587</t>
  </si>
  <si>
    <t>Humidifiers</t>
  </si>
  <si>
    <t>CL165542</t>
  </si>
  <si>
    <t>Facilities &gt; Air Quality &gt; Humidifiers</t>
  </si>
  <si>
    <t>https://www.staples.com/Humidifiers/cat_CL165542</t>
  </si>
  <si>
    <t>Pleated Air Filters</t>
  </si>
  <si>
    <t>CL350600</t>
  </si>
  <si>
    <t>Facilities &gt; Air Quality &gt; Pleated Air Filters</t>
  </si>
  <si>
    <t>https://www.staples.com/Pleated-Air-Filters/cat_CL350600</t>
  </si>
  <si>
    <t>Bathroom Fixtures</t>
  </si>
  <si>
    <t>Changing Stations and Accessories</t>
  </si>
  <si>
    <t>CL354500</t>
  </si>
  <si>
    <t>Facilities &gt; Bathroom Fixtures &gt; Changing Stations and Accessories</t>
  </si>
  <si>
    <t>https://www.staples.com/Changing-Stations-and-Accessories/cat_CL354500</t>
  </si>
  <si>
    <t>Facial Tissue Dispensers</t>
  </si>
  <si>
    <t>CL350650</t>
  </si>
  <si>
    <t>Facilities &gt; Bathroom Fixtures &gt; Facial Tissue Dispensers</t>
  </si>
  <si>
    <t>https://www.staples.com/Facial-Tissue-Dispensers/cat_CL350650</t>
  </si>
  <si>
    <t>Hand Dryers</t>
  </si>
  <si>
    <t>CL210355</t>
  </si>
  <si>
    <t>Facilities &gt; Bathroom Fixtures &gt; Hand Dryers</t>
  </si>
  <si>
    <t>https://www.staples.com/Hand-Dryers/cat_CL210355</t>
  </si>
  <si>
    <t>Sanitary Dispensers</t>
  </si>
  <si>
    <t>CL350372</t>
  </si>
  <si>
    <t>Facilities &gt; Bathroom Fixtures &gt; Sanitary Dispensers</t>
  </si>
  <si>
    <t>https://www.staples.com/Sanitary-Dispensers-Receptacles/cat_CL350372</t>
  </si>
  <si>
    <t>Sanitary Receptacles &amp; Accessories</t>
  </si>
  <si>
    <t>CL354861</t>
  </si>
  <si>
    <t>Facilities &gt; Bathroom Fixtures &gt; Sanitary Receptacles &amp; Accessories</t>
  </si>
  <si>
    <t>https://www.staples.com/Sanitary-Receptacles-Accessories/cat_CL354861</t>
  </si>
  <si>
    <t>Toilet Seat Cover Dispensers</t>
  </si>
  <si>
    <t>CL350642</t>
  </si>
  <si>
    <t>Facilities &gt; Bathroom Fixtures &gt; Toilet Seat Cover Dispensers</t>
  </si>
  <si>
    <t>https://www.staples.com/Toilet-Seat-Cover-Dispensers/cat_CL350642</t>
  </si>
  <si>
    <t>Commercial Lighting, Ballasts &amp; Bulbs</t>
  </si>
  <si>
    <t>Ballasts</t>
  </si>
  <si>
    <t>CL220922</t>
  </si>
  <si>
    <t>Facilities &gt; Commercial Lighting, Ballasts &amp; Bulbs &gt; Ballasts</t>
  </si>
  <si>
    <t>https://www.staples.com/Ballasts/cat_CL220922</t>
  </si>
  <si>
    <t>Commercial Lighting</t>
  </si>
  <si>
    <t>CL220923</t>
  </si>
  <si>
    <t>Facilities &gt; Commercial Lighting, Ballasts &amp; Bulbs &gt; Commercial Lighting</t>
  </si>
  <si>
    <t>https://www.staples.com/Commercial-Lighting/cat_CL220923</t>
  </si>
  <si>
    <t>Light Bulbs</t>
  </si>
  <si>
    <t>CL165713</t>
  </si>
  <si>
    <t>Facilities &gt; Commercial Lighting, Ballasts &amp; Bulbs &gt; Light Bulbs</t>
  </si>
  <si>
    <t>https://www.staples.com/Light-Bulbs/cat_CL165713</t>
  </si>
  <si>
    <t>Electrical and Wiring</t>
  </si>
  <si>
    <t>Electrical</t>
  </si>
  <si>
    <t>Plugs and Connectors</t>
  </si>
  <si>
    <t>CL350585</t>
  </si>
  <si>
    <t>Facilities &gt; Electrical and Wiring &gt; Electrical &gt; Plugs and Connectors</t>
  </si>
  <si>
    <t>https://www.staples.com/Plugs-and-Connectors/cat_CL350585</t>
  </si>
  <si>
    <t>Receptacles</t>
  </si>
  <si>
    <t>CL350586</t>
  </si>
  <si>
    <t>Facilities &gt; Electrical and Wiring &gt; Electrical &gt; Receptacles</t>
  </si>
  <si>
    <t>https://www.staples.com/Receptacles/cat_CL350586</t>
  </si>
  <si>
    <t>Switches and Controls</t>
  </si>
  <si>
    <t>CL350590</t>
  </si>
  <si>
    <t>Facilities &gt; Electrical and Wiring &gt; Electrical &gt; Switches and Controls</t>
  </si>
  <si>
    <t>https://www.staples.com/Switches-and-Controls/cat_CL350590</t>
  </si>
  <si>
    <t>Wall Plates</t>
  </si>
  <si>
    <t>CL350587</t>
  </si>
  <si>
    <t>Facilities &gt; Electrical and Wiring &gt; Electrical &gt; Wall Plates</t>
  </si>
  <si>
    <t>https://www.staples.com/Wall-Plates/cat_CL350587</t>
  </si>
  <si>
    <t>Facilities Signs</t>
  </si>
  <si>
    <t>Labor Law Posters</t>
  </si>
  <si>
    <t>CL140895</t>
  </si>
  <si>
    <t>Facilities &gt; Facilities Signs &gt; Labor Law Posters</t>
  </si>
  <si>
    <t>https://www.staples.com/Labor-Law-Posters/cat_CL140895</t>
  </si>
  <si>
    <t>Safety Labels &amp; Tags</t>
  </si>
  <si>
    <t>CL212203</t>
  </si>
  <si>
    <t>Facilities &gt; Facilities Signs &gt; Safety Labels &amp; Tags</t>
  </si>
  <si>
    <t>https://www.staples.com/Safety-Labels-Tags/cat_CL212203</t>
  </si>
  <si>
    <t>Safety Signs</t>
  </si>
  <si>
    <t>CL167011</t>
  </si>
  <si>
    <t>Facilities &gt; Facilities Signs &gt; Safety Signs</t>
  </si>
  <si>
    <t>https://www.staples.com/Safety-Signs/cat_CL167011</t>
  </si>
  <si>
    <t>Flashlights &amp; Lanterns</t>
  </si>
  <si>
    <t>CL167126</t>
  </si>
  <si>
    <t>Facilities &gt; Flashlights &amp; Lanterns</t>
  </si>
  <si>
    <t>https://www.staples.com/Flashlights-Lanterns/cat_CL167126</t>
  </si>
  <si>
    <t>Brooms &amp; Dustpans</t>
  </si>
  <si>
    <t>CL141837</t>
  </si>
  <si>
    <t>Facilities &gt; Floor Mats &amp; Flooring &gt; Brooms &amp; Dustpans</t>
  </si>
  <si>
    <t>https://www.staples.com/Brooms-Dustpans/cat_CL141837</t>
  </si>
  <si>
    <t>https://www.staples.com/Floor-Mats/cat_CL214671</t>
  </si>
  <si>
    <t>Grounds Maintenance</t>
  </si>
  <si>
    <t>Outdoor Tools</t>
  </si>
  <si>
    <t>Lawn &amp; Garden Tools</t>
  </si>
  <si>
    <t>CL213521</t>
  </si>
  <si>
    <t>Facilities &gt; Grounds Maintenance &gt; Outdoor Tools &gt; Lawn &amp; Garden Tools</t>
  </si>
  <si>
    <t>https://www.staples.com/Lawn-Garden-Tools/cat_CL213521</t>
  </si>
  <si>
    <t>Pressure Washers &amp; Accessories</t>
  </si>
  <si>
    <t>CL211529</t>
  </si>
  <si>
    <t>Facilities &gt; Grounds Maintenance &gt; Outdoor Tools &gt; Pressure Washers &amp; Accessories</t>
  </si>
  <si>
    <t>https://www.staples.com/Pressure-Washers-Accessories/cat_CL211529</t>
  </si>
  <si>
    <t>Rakes &amp; Leaf Blowers</t>
  </si>
  <si>
    <t>CL167236</t>
  </si>
  <si>
    <t>Facilities &gt; Grounds Maintenance &gt; Outdoor Tools &gt; Rakes &amp; Leaf Blowers</t>
  </si>
  <si>
    <t>https://www.staples.com/Rakes-Leaf-Blowers/cat_CL167236</t>
  </si>
  <si>
    <t>Snow Removal</t>
  </si>
  <si>
    <t>Salt Spreaders</t>
  </si>
  <si>
    <t>CL354892</t>
  </si>
  <si>
    <t>Facilities &gt; Grounds Maintenance &gt; Snow Removal &gt; Salt Spreaders</t>
  </si>
  <si>
    <t>https://www.staples.com/Salt-Spreaders/cat_CL354892</t>
  </si>
  <si>
    <t>Snow Blowers</t>
  </si>
  <si>
    <t>CL214730</t>
  </si>
  <si>
    <t>Facilities &gt; Grounds Maintenance &gt; Snow Removal &gt; Snow Blowers</t>
  </si>
  <si>
    <t>https://www.staples.com/Snow-Blowers/cat_CL214730</t>
  </si>
  <si>
    <t>Snow Shovels, Pushers &amp; Scrapers</t>
  </si>
  <si>
    <t>CL350605</t>
  </si>
  <si>
    <t>Facilities &gt; Grounds Maintenance &gt; Snow Removal &gt; Snow Shovels, Pushers &amp; Scrapers</t>
  </si>
  <si>
    <t>https://www.staples.com/Snow-Shovels/cat_CL350605</t>
  </si>
  <si>
    <t>Watering Equipment</t>
  </si>
  <si>
    <t>Lawn Sprinklers</t>
  </si>
  <si>
    <t>CL214265</t>
  </si>
  <si>
    <t>Facilities &gt; Grounds Maintenance &gt; Watering Equipment &gt; Lawn Sprinklers</t>
  </si>
  <si>
    <t>https://www.staples.com/Lawn-Sprinklers/cat_CL214265</t>
  </si>
  <si>
    <t>Water Hoses &amp; Accessories</t>
  </si>
  <si>
    <t>CL167134</t>
  </si>
  <si>
    <t>Facilities &gt; Grounds Maintenance &gt; Watering Equipment &gt; Water Hoses &amp; Accessories</t>
  </si>
  <si>
    <t>https://www.staples.com/Water-Hoses-Accessories/cat_CL167134</t>
  </si>
  <si>
    <t>Hand &amp; Power Tools</t>
  </si>
  <si>
    <t>Hand Tools</t>
  </si>
  <si>
    <t>Box Cutters &amp; Utility Knives</t>
  </si>
  <si>
    <t>CL163583</t>
  </si>
  <si>
    <t>Facilities &gt; Hand &amp; Power Tools &gt; Hand Tools &gt; Box Cutters &amp; Utility Knives</t>
  </si>
  <si>
    <t>https://www.staples.com/Box-Cutters-Utility-Knives/cat_CL163583</t>
  </si>
  <si>
    <t>Clamps</t>
  </si>
  <si>
    <t>CL350405</t>
  </si>
  <si>
    <t>Facilities &gt; Hand &amp; Power Tools &gt; Hand Tools &gt; Clamps</t>
  </si>
  <si>
    <t>https://www.staples.com/Clamps/cat_CL350405</t>
  </si>
  <si>
    <t>Crowbars &amp; Pry Bars</t>
  </si>
  <si>
    <t>CL350409</t>
  </si>
  <si>
    <t>Facilities &gt; Hand &amp; Power Tools &gt; Hand Tools &gt; Crowbars &amp; Pry Bars</t>
  </si>
  <si>
    <t>https://www.staples.com/Crowbars-Pry-Bars/cat_CL350409</t>
  </si>
  <si>
    <t>Fastening Tools</t>
  </si>
  <si>
    <t>CL350406</t>
  </si>
  <si>
    <t>Facilities &gt; Hand &amp; Power Tools &gt; Hand Tools &gt; Fastening Tools</t>
  </si>
  <si>
    <t>https://www.staples.com/Fastening-Tools/cat_CL350406</t>
  </si>
  <si>
    <t>Hammers &amp; Striking Tools</t>
  </si>
  <si>
    <t>CL350408</t>
  </si>
  <si>
    <t>Facilities &gt; Hand &amp; Power Tools &gt; Hand Tools &gt; Hammers &amp; Striking Tools</t>
  </si>
  <si>
    <t>https://www.staples.com/Hammers-Striking-Tools/cat_CL350408</t>
  </si>
  <si>
    <t>Hand Saws</t>
  </si>
  <si>
    <t>CL166896</t>
  </si>
  <si>
    <t>Facilities &gt; Hand &amp; Power Tools &gt; Hand Tools &gt; Hand Saws</t>
  </si>
  <si>
    <t>https://www.staples.com/Hand-Saws/cat_CL166896</t>
  </si>
  <si>
    <t>Hand Tool Sets</t>
  </si>
  <si>
    <t>CL350416</t>
  </si>
  <si>
    <t>Facilities &gt; Hand &amp; Power Tools &gt; Hand Tools &gt; Hand Tool Sets</t>
  </si>
  <si>
    <t>https://www.staples.com/Hand-Tool-Sets/cat_CL350416</t>
  </si>
  <si>
    <t>Pliers</t>
  </si>
  <si>
    <t>CL350411</t>
  </si>
  <si>
    <t>Facilities &gt; Hand &amp; Power Tools &gt; Hand Tools &gt; Pliers</t>
  </si>
  <si>
    <t>https://www.staples.com/Pliers/cat_CL350411</t>
  </si>
  <si>
    <t>Screwdrivers &amp; Nutdrivers</t>
  </si>
  <si>
    <t>CL350412</t>
  </si>
  <si>
    <t>Facilities &gt; Hand &amp; Power Tools &gt; Hand Tools &gt; Screwdrivers &amp; Nutdrivers</t>
  </si>
  <si>
    <t>https://www.staples.com/Screwdrivers-Nutdrivers/cat_CL350412</t>
  </si>
  <si>
    <t>Testers &amp; Indicators</t>
  </si>
  <si>
    <t>CL350417</t>
  </si>
  <si>
    <t>Facilities &gt; Hand &amp; Power Tools &gt; Hand Tools &gt; Testers &amp; Indicators</t>
  </si>
  <si>
    <t>https://www.staples.com/Testers-Indicators/cat_CL350417</t>
  </si>
  <si>
    <t>Wrenches</t>
  </si>
  <si>
    <t>CL350413</t>
  </si>
  <si>
    <t>Facilities &gt; Hand &amp; Power Tools &gt; Hand Tools &gt; Wrenches</t>
  </si>
  <si>
    <t>https://www.staples.com/Wrenches/cat_CL350413</t>
  </si>
  <si>
    <t>Measuring &amp; Layout Tools</t>
  </si>
  <si>
    <t>Inspection Mirrors</t>
  </si>
  <si>
    <t>CL350439</t>
  </si>
  <si>
    <t>Facilities &gt; Hand &amp; Power Tools &gt; Measuring &amp; Layout Tools &gt; Inspection Mirrors</t>
  </si>
  <si>
    <t>https://www.staples.com/Inspection-Mirrors/cat_CL350439</t>
  </si>
  <si>
    <t>Levels, Compasses, and Calipers</t>
  </si>
  <si>
    <t>CL350438</t>
  </si>
  <si>
    <t>Facilities &gt; Hand &amp; Power Tools &gt; Measuring &amp; Layout Tools &gt; Levels, Compasses, and Calipers</t>
  </si>
  <si>
    <t>https://www.staples.com/Levels-Compasses-and-Calipers/cat_CL350438</t>
  </si>
  <si>
    <t>Measuring Wheels</t>
  </si>
  <si>
    <t>CL166979</t>
  </si>
  <si>
    <t>Facilities &gt; Hand &amp; Power Tools &gt; Measuring &amp; Layout Tools &gt; Measuring Wheels</t>
  </si>
  <si>
    <t>https://www.staples.com/Measuring-Wheels/cat_CL166979</t>
  </si>
  <si>
    <t>Stud Finders</t>
  </si>
  <si>
    <t>CL350445</t>
  </si>
  <si>
    <t>Facilities &gt; Hand &amp; Power Tools &gt; Measuring &amp; Layout Tools &gt; Stud Finders</t>
  </si>
  <si>
    <t>https://www.staples.com/Stud-Finders/cat_CL350445</t>
  </si>
  <si>
    <t>Tape Measures</t>
  </si>
  <si>
    <t>CL167137</t>
  </si>
  <si>
    <t>Facilities &gt; Hand &amp; Power Tools &gt; Measuring &amp; Layout Tools &gt; Tape Measures</t>
  </si>
  <si>
    <t>https://www.staples.com/Tape-Measures/cat_CL167137</t>
  </si>
  <si>
    <t>Power Tools</t>
  </si>
  <si>
    <t>Cordless Tools &amp; Accessories</t>
  </si>
  <si>
    <t>CL350421</t>
  </si>
  <si>
    <t>Facilities &gt; Hand &amp; Power Tools &gt; Power Tools &gt; Cordless Tools &amp; Accessories</t>
  </si>
  <si>
    <t>https://www.staples.com/Cordless-Tools-Accessories/cat_CL350421</t>
  </si>
  <si>
    <t>Drills</t>
  </si>
  <si>
    <t>CL167243</t>
  </si>
  <si>
    <t>Facilities &gt; Hand &amp; Power Tools &gt; Power Tools &gt; Drills</t>
  </si>
  <si>
    <t>https://www.staples.com/Drills/cat_CL167243</t>
  </si>
  <si>
    <t>Pneumatic Tools</t>
  </si>
  <si>
    <t>CL208103</t>
  </si>
  <si>
    <t>Facilities &gt; Hand &amp; Power Tools &gt; Power Tools &gt; Pneumatic Tools</t>
  </si>
  <si>
    <t>https://www.staples.com/Pneumatic-Tools/cat_CL208103</t>
  </si>
  <si>
    <t>Power Tool Sets</t>
  </si>
  <si>
    <t>CL350418</t>
  </si>
  <si>
    <t>Facilities &gt; Hand &amp; Power Tools &gt; Power Tools &gt; Power Tool Sets</t>
  </si>
  <si>
    <t>https://www.staples.com/Power-Tool-Sets/cat_CL350418</t>
  </si>
  <si>
    <t>Screw Extractors &amp; Sets</t>
  </si>
  <si>
    <t>CL350424</t>
  </si>
  <si>
    <t>Facilities &gt; Hand &amp; Power Tools &gt; Power Tools &gt; Screw Extractors &amp; Sets</t>
  </si>
  <si>
    <t>https://www.staples.com/Screw-Extractors-Sets/cat_CL350424</t>
  </si>
  <si>
    <t>Tool Storage</t>
  </si>
  <si>
    <t>Soft Sided Storage</t>
  </si>
  <si>
    <t>CL167227</t>
  </si>
  <si>
    <t>Facilities &gt; Hand &amp; Power Tools &gt; Tool Storage &gt; Soft Sided Storage</t>
  </si>
  <si>
    <t>https://www.staples.com/Soft-Sided-Storage/cat_CL167227</t>
  </si>
  <si>
    <t>Tool Boxes &amp; Cases</t>
  </si>
  <si>
    <t>CL207849</t>
  </si>
  <si>
    <t>Facilities &gt; Hand &amp; Power Tools &gt; Tool Storage &gt; Tool Boxes &amp; Cases</t>
  </si>
  <si>
    <t>https://www.staples.com/Tool-Boxes-Cases/cat_CL207849</t>
  </si>
  <si>
    <t>Tool Chests &amp; Side Cabinets</t>
  </si>
  <si>
    <t>CL166990</t>
  </si>
  <si>
    <t>Facilities &gt; Hand &amp; Power Tools &gt; Tool Storage &gt; Tool Chests &amp; Side Cabinets</t>
  </si>
  <si>
    <t>https://www.staples.com/Tool-Chests-Side-Cabinets/cat_CL166990</t>
  </si>
  <si>
    <t>Hardware</t>
  </si>
  <si>
    <t>Ceiling</t>
  </si>
  <si>
    <t>Ceiling Tiles</t>
  </si>
  <si>
    <t>CL350375</t>
  </si>
  <si>
    <t>Facilities &gt; Hardware &gt; Ceiling &gt; Ceiling Tiles</t>
  </si>
  <si>
    <t>https://www.staples.com/Ceiling-Tiles/cat_CL350375</t>
  </si>
  <si>
    <t>Chain, Rope &amp; Tie Downs</t>
  </si>
  <si>
    <t>Chain Accessories</t>
  </si>
  <si>
    <t>CL350705</t>
  </si>
  <si>
    <t>Facilities &gt; Hardware &gt; Chain, Rope &amp; Tie Downs &gt; Chain Accessories</t>
  </si>
  <si>
    <t>https://www.staples.com/Chain-Accessories/cat_CL350705</t>
  </si>
  <si>
    <t>Chains</t>
  </si>
  <si>
    <t>CL167068</t>
  </si>
  <si>
    <t>Facilities &gt; Hardware &gt; Chain, Rope &amp; Tie Downs &gt; Chains</t>
  </si>
  <si>
    <t>https://www.staples.com/Chains/cat_CL167068</t>
  </si>
  <si>
    <t>Straps &amp; Bungee Cords</t>
  </si>
  <si>
    <t>CL167076</t>
  </si>
  <si>
    <t>Facilities &gt; Hardware &gt; Chain, Rope &amp; Tie Downs &gt; Straps &amp; Bungee Cords</t>
  </si>
  <si>
    <t>https://www.staples.com/Straps-Bungee-Cords/cat_CL167076</t>
  </si>
  <si>
    <t>Door Hardware</t>
  </si>
  <si>
    <t>Commercial Locksets</t>
  </si>
  <si>
    <t>CL350382</t>
  </si>
  <si>
    <t>Facilities &gt; Hardware &gt; Door Hardware &gt; Commercial Locksets</t>
  </si>
  <si>
    <t>https://www.staples.com/Commercial-Locksets/cat_CL350382</t>
  </si>
  <si>
    <t>Door Closers</t>
  </si>
  <si>
    <t>CL350376</t>
  </si>
  <si>
    <t>Facilities &gt; Hardware &gt; Door Hardware &gt; Door Closers</t>
  </si>
  <si>
    <t>https://www.staples.com/Door-Closers/cat_CL350376</t>
  </si>
  <si>
    <t>Door Stops &amp; Bumpers</t>
  </si>
  <si>
    <t>CL140430</t>
  </si>
  <si>
    <t>Facilities &gt; Hardware &gt; Door Hardware &gt; Door Stops &amp; Bumpers</t>
  </si>
  <si>
    <t>https://www.staples.com/Door-Stops-Bumpers/cat_CL140430</t>
  </si>
  <si>
    <t>Push Plates &amp; Pulls</t>
  </si>
  <si>
    <t>CL350385</t>
  </si>
  <si>
    <t>Facilities &gt; Hardware &gt; Door Hardware &gt; Push Plates &amp; Pulls</t>
  </si>
  <si>
    <t>https://www.staples.com/Push-Plates-Pulls/cat_CL350385</t>
  </si>
  <si>
    <t>Wheels &amp; Casters</t>
  </si>
  <si>
    <t>CL167066</t>
  </si>
  <si>
    <t>Facilities &gt; Hardware &gt; Wheels &amp; Casters</t>
  </si>
  <si>
    <t>https://www.staples.com/Wheels-Casters/cat_CL167066</t>
  </si>
  <si>
    <t>Heating &amp; Cooling</t>
  </si>
  <si>
    <t>Air Conditioners</t>
  </si>
  <si>
    <t>CL162664</t>
  </si>
  <si>
    <t>Facilities &gt; Heating &amp; Cooling &gt; Air Conditioners</t>
  </si>
  <si>
    <t>https://www.staples.com/Air-Conditioners/cat_CL162664</t>
  </si>
  <si>
    <t>Bathroom Fans</t>
  </si>
  <si>
    <t>CL212795</t>
  </si>
  <si>
    <t>Facilities &gt; Heating &amp; Cooling &gt; Bathroom Fans</t>
  </si>
  <si>
    <t>https://www.staples.com/Bathroom-Fans/cat_CL212795</t>
  </si>
  <si>
    <t>General Purpose Fans</t>
  </si>
  <si>
    <t>CL80002</t>
  </si>
  <si>
    <t>Facilities &gt; Heating &amp; Cooling &gt; General Purpose Fans</t>
  </si>
  <si>
    <t>https://www.staples.com/General-Purpose-Fans/cat_CL80002</t>
  </si>
  <si>
    <t>Heaters</t>
  </si>
  <si>
    <t>CL80001</t>
  </si>
  <si>
    <t>Facilities &gt; Heating &amp; Cooling &gt; Heaters</t>
  </si>
  <si>
    <t>https://www.staples.com/Heaters/cat_CL80001</t>
  </si>
  <si>
    <t>Industrial Fans</t>
  </si>
  <si>
    <t>CL354480</t>
  </si>
  <si>
    <t>Facilities &gt; Heating &amp; Cooling &gt; Industrial Fans</t>
  </si>
  <si>
    <t>https://www.staples.com/Industrial-Fans/cat_CL354480</t>
  </si>
  <si>
    <t>Thermostats</t>
  </si>
  <si>
    <t>CL208107</t>
  </si>
  <si>
    <t>Facilities &gt; Heating &amp; Cooling &gt; Thermostats</t>
  </si>
  <si>
    <t>https://www.staples.com/Thermostats/cat_CL208107</t>
  </si>
  <si>
    <t>Ladders &amp; Step Stools</t>
  </si>
  <si>
    <t>CL142174</t>
  </si>
  <si>
    <t>Facilities &gt; Ladders &amp; Step Stools</t>
  </si>
  <si>
    <t>https://www.staples.com/Ladders-Step-Stools/cat_CL142174</t>
  </si>
  <si>
    <t>Locks &amp; Key Control</t>
  </si>
  <si>
    <t>Key Control</t>
  </si>
  <si>
    <t>CL142191</t>
  </si>
  <si>
    <t>Facilities &gt; Locks &amp; Key Control &gt; Key Control</t>
  </si>
  <si>
    <t>https://www.staples.com/Key-Control/cat_CL142191</t>
  </si>
  <si>
    <t>Locking Systems</t>
  </si>
  <si>
    <t>CL208124</t>
  </si>
  <si>
    <t>Facilities &gt; Locks &amp; Key Control &gt; Locking Systems</t>
  </si>
  <si>
    <t>https://www.staples.com/Locking-Systems/cat_CL208124</t>
  </si>
  <si>
    <t>Lockout Devices</t>
  </si>
  <si>
    <t>CL169137</t>
  </si>
  <si>
    <t>Facilities &gt; Locks &amp; Key Control &gt; Lockout Devices</t>
  </si>
  <si>
    <t>https://www.staples.com/Lockout-Devices/cat_CL169137</t>
  </si>
  <si>
    <t>Padlocks</t>
  </si>
  <si>
    <t>CL167001</t>
  </si>
  <si>
    <t>Facilities &gt; Locks &amp; Key Control &gt; Padlocks</t>
  </si>
  <si>
    <t>https://www.staples.com/Padlocks/cat_CL167001</t>
  </si>
  <si>
    <t>Material Handling</t>
  </si>
  <si>
    <t>Hand Trucks &amp; Dollies</t>
  </si>
  <si>
    <t>CL167060</t>
  </si>
  <si>
    <t>Facilities &gt; Material Handling &gt; Hand Trucks &amp; Dollies</t>
  </si>
  <si>
    <t>https://www.staples.com/Hand-Trucks-Dollies/cat_CL167060</t>
  </si>
  <si>
    <t>Paint Supplies</t>
  </si>
  <si>
    <t>Interior Paint</t>
  </si>
  <si>
    <t>CL350500</t>
  </si>
  <si>
    <t>Facilities &gt; Paint Supplies &gt; Paint &gt; Interior Paint</t>
  </si>
  <si>
    <t>https://www.staples.com/Interior-Paint/cat_CL350500</t>
  </si>
  <si>
    <t>Spray Paint</t>
  </si>
  <si>
    <t>CL350499</t>
  </si>
  <si>
    <t>Facilities &gt; Paint Supplies &gt; Paint &gt; Spray Paint</t>
  </si>
  <si>
    <t>https://www.staples.com/Spray-Paint/cat_CL350499</t>
  </si>
  <si>
    <t>Paint Accessories</t>
  </si>
  <si>
    <t>Extension Poles</t>
  </si>
  <si>
    <t>CL350505</t>
  </si>
  <si>
    <t>Facilities &gt; Paint Supplies &gt; Paint Accessories &gt; Extension Poles</t>
  </si>
  <si>
    <t>https://www.staples.com/Extension-Poles/cat_CL350505</t>
  </si>
  <si>
    <t>CL350495</t>
  </si>
  <si>
    <t>Facilities &gt; Paint Supplies &gt; Paint Accessories &gt; Paint Brushes</t>
  </si>
  <si>
    <t>https://www.staples.com/Paint-Brushes/cat_CL350495</t>
  </si>
  <si>
    <t>Paint Buckets</t>
  </si>
  <si>
    <t>CL350491</t>
  </si>
  <si>
    <t>Facilities &gt; Paint Supplies &gt; Paint Accessories &gt; Paint Buckets</t>
  </si>
  <si>
    <t>https://www.staples.com/Paint-Buckets/cat_CL350491</t>
  </si>
  <si>
    <t>Paint Trays</t>
  </si>
  <si>
    <t>CL350492</t>
  </si>
  <si>
    <t>Facilities &gt; Paint Supplies &gt; Paint Accessories &gt; Paint Trays</t>
  </si>
  <si>
    <t>https://www.staples.com/Paint-Trays/cat_CL350492</t>
  </si>
  <si>
    <t>Roller Covers</t>
  </si>
  <si>
    <t>CL350490</t>
  </si>
  <si>
    <t>Facilities &gt; Paint Supplies &gt; Paint Accessories &gt; Roller Covers</t>
  </si>
  <si>
    <t>https://www.staples.com/Roller-Covers/cat_CL350490</t>
  </si>
  <si>
    <t>Plumbing</t>
  </si>
  <si>
    <t>Bathroom Hardware</t>
  </si>
  <si>
    <t>Bathroom Safety Hardware</t>
  </si>
  <si>
    <t>CL350341</t>
  </si>
  <si>
    <t>Facilities &gt; Plumbing &gt; Bathroom Hardware &gt; Bathroom Safety Hardware</t>
  </si>
  <si>
    <t>https://www.staples.com/Bathroom-Safety-Hardware/cat_CL350341</t>
  </si>
  <si>
    <t>Drains</t>
  </si>
  <si>
    <t>CL350345</t>
  </si>
  <si>
    <t>Facilities &gt; Plumbing &gt; Bathroom Hardware &gt; Drains</t>
  </si>
  <si>
    <t>https://www.staples.com/Drains/cat_CL350345</t>
  </si>
  <si>
    <t>Drinking Fountain Repair &amp; Accessories</t>
  </si>
  <si>
    <t>CL350352</t>
  </si>
  <si>
    <t>Facilities &gt; Plumbing &gt; Drinking Fountain Repair &amp; Accessories</t>
  </si>
  <si>
    <t>https://www.staples.com/Drinking-Fountain-Repair-Accessories/cat_CL350352</t>
  </si>
  <si>
    <t>Drinking Fountains</t>
  </si>
  <si>
    <t>CL350353</t>
  </si>
  <si>
    <t>Facilities &gt; Plumbing &gt; Drinking Fountains</t>
  </si>
  <si>
    <t>https://www.staples.com/Drinking-Fountains/cat_CL350353</t>
  </si>
  <si>
    <t>Faucet Repair Parts</t>
  </si>
  <si>
    <t>CL350343</t>
  </si>
  <si>
    <t>Facilities &gt; Plumbing &gt; Faucet Repair Parts</t>
  </si>
  <si>
    <t>https://www.staples.com/Faucet-Repair-Parts/cat_CL350343</t>
  </si>
  <si>
    <t>Faucets</t>
  </si>
  <si>
    <t>CL350346</t>
  </si>
  <si>
    <t>Facilities &gt; Plumbing &gt; Faucets</t>
  </si>
  <si>
    <t>https://www.staples.com/Faucets/cat_CL350346</t>
  </si>
  <si>
    <t>Sink Repair Parts</t>
  </si>
  <si>
    <t>CL350347</t>
  </si>
  <si>
    <t>Facilities &gt; Plumbing &gt; Sink Repair Parts</t>
  </si>
  <si>
    <t>https://www.staples.com/Sink-Repair-Parts/cat_CL350347</t>
  </si>
  <si>
    <t>Sinks</t>
  </si>
  <si>
    <t>CL350344</t>
  </si>
  <si>
    <t>Facilities &gt; Plumbing &gt; Sinks</t>
  </si>
  <si>
    <t>https://www.staples.com/Sinks/cat_CL350344</t>
  </si>
  <si>
    <t>Toilets and Urinals</t>
  </si>
  <si>
    <t>Flush Valves</t>
  </si>
  <si>
    <t>CL350465</t>
  </si>
  <si>
    <t>Facilities &gt; Plumbing &gt; Toilets and Urinals &gt; Flush Valves</t>
  </si>
  <si>
    <t>https://www.staples.com/Flush-Valves/cat_CL350465</t>
  </si>
  <si>
    <t>Toilet &amp; Urinal Repair Parts</t>
  </si>
  <si>
    <t>CL350350</t>
  </si>
  <si>
    <t>Facilities &gt; Plumbing &gt; Toilets and Urinals &gt; Toilet &amp; Urinal Repair Parts</t>
  </si>
  <si>
    <t>https://www.staples.com/Toilet-Urinal-Repair-Parts/cat_CL350350</t>
  </si>
  <si>
    <t>Toilet Seats</t>
  </si>
  <si>
    <t>CL350395</t>
  </si>
  <si>
    <t>Facilities &gt; Plumbing &gt; Toilets and Urinals &gt; Toilet Seats</t>
  </si>
  <si>
    <t>https://www.staples.com/Toilet-Seats/cat_CL350395</t>
  </si>
  <si>
    <t>Toilets</t>
  </si>
  <si>
    <t>CL350351</t>
  </si>
  <si>
    <t>Facilities &gt; Plumbing &gt; Toilets and Urinals &gt; Toilets</t>
  </si>
  <si>
    <t>https://www.staples.com/Toilets/cat_CL350351</t>
  </si>
  <si>
    <t>Urinals</t>
  </si>
  <si>
    <t>CL350365</t>
  </si>
  <si>
    <t>Facilities &gt; Plumbing &gt; Toilets and Urinals &gt; Urinals</t>
  </si>
  <si>
    <t>https://www.staples.com/Urinals/cat_CL350365</t>
  </si>
  <si>
    <t>Tubs and Showers</t>
  </si>
  <si>
    <t>Handheld Shower Heads</t>
  </si>
  <si>
    <t>CL168503</t>
  </si>
  <si>
    <t>Facilities &gt; Plumbing &gt; Tubs and Showers &gt; Handheld Shower Heads</t>
  </si>
  <si>
    <t>https://www.staples.com/Handheld-Shower-Heads/cat_CL168503</t>
  </si>
  <si>
    <t>Wall Mounted Shower Heads</t>
  </si>
  <si>
    <t>CL211100</t>
  </si>
  <si>
    <t>Facilities &gt; Plumbing &gt; Tubs and Showers &gt; Wall Mounted Shower Heads</t>
  </si>
  <si>
    <t>https://www.staples.com/Wall-Mounted-Shower-Heads/cat_CL211100</t>
  </si>
  <si>
    <t>Spill Containment &amp; Sorbents</t>
  </si>
  <si>
    <t>CL165294</t>
  </si>
  <si>
    <t>Facilities &gt; Spill Containment &amp; Sorbents</t>
  </si>
  <si>
    <t>https://www.staples.com/Spill-Containment-Sorbents/cat_CL165294</t>
  </si>
  <si>
    <t>Washer &amp; Dryer Accessories</t>
  </si>
  <si>
    <t>CL215641</t>
  </si>
  <si>
    <t>Facilities &gt; Washer &amp; Dryer Accessories</t>
  </si>
  <si>
    <t>https://www.staples.com/Washer-Dryer-Accessories/cat_CL215641</t>
  </si>
  <si>
    <t>Work Lights</t>
  </si>
  <si>
    <t>CL167127</t>
  </si>
  <si>
    <t>Facilities &gt; Work Lights</t>
  </si>
  <si>
    <t>https://www.staples.com/Work-Lights/cat_CL167127</t>
  </si>
  <si>
    <t>https://www.staples.com/Fitness-Machines/cat_CL205616</t>
  </si>
  <si>
    <t>Board Accessories</t>
  </si>
  <si>
    <t>CL142825</t>
  </si>
  <si>
    <t>Furniture &gt; Boards &amp; Easels &gt; Board Accessories</t>
  </si>
  <si>
    <t>https://www.staples.com/Board-Accessories/cat_CL142825</t>
  </si>
  <si>
    <t>https://www.staples.com/Calendar-In-Out-Boards/cat_CL142105</t>
  </si>
  <si>
    <t>Chalkboards</t>
  </si>
  <si>
    <t>CL130202</t>
  </si>
  <si>
    <t>Furniture &gt; Boards &amp; Easels &gt; Chalkboards</t>
  </si>
  <si>
    <t>https://www.staples.com/Chalkboards/cat_CL130202</t>
  </si>
  <si>
    <t>https://www.staples.com/Dry-Erase-Whiteboards/cat_CL166382</t>
  </si>
  <si>
    <t>Easels</t>
  </si>
  <si>
    <t>CL163752</t>
  </si>
  <si>
    <t>Furniture &gt; Boards &amp; Easels &gt; Easels</t>
  </si>
  <si>
    <t>https://www.staples.com/Easels/cat_CL163752</t>
  </si>
  <si>
    <t>Bookcases &amp; Bookshelves</t>
  </si>
  <si>
    <t>CL166206</t>
  </si>
  <si>
    <t>Furniture &gt; Bookcases &amp; Bookshelves</t>
  </si>
  <si>
    <t>https://www.staples.com/Bookcases-Bookshelves/cat_CL166206</t>
  </si>
  <si>
    <t>Carts &amp; Stands</t>
  </si>
  <si>
    <t>CL142173</t>
  </si>
  <si>
    <t>Furniture &gt; Carts &amp; Stands &gt; Carts &amp; Stands</t>
  </si>
  <si>
    <t>https://www.staples.com/Carts-Stands/cat_CL142173</t>
  </si>
  <si>
    <t>TV Stands</t>
  </si>
  <si>
    <t>CL211175</t>
  </si>
  <si>
    <t>Furniture &gt; Carts &amp; Stands &gt; TV Stands</t>
  </si>
  <si>
    <t>https://www.staples.com/TV-Stands/cat_CL211175</t>
  </si>
  <si>
    <t>https://www.staples.com/Chair-Mats/cat_CL70205</t>
  </si>
  <si>
    <t>Big and Tall Chairs</t>
  </si>
  <si>
    <t>CL166254</t>
  </si>
  <si>
    <t>Furniture &gt; Chairs &amp; Seating &gt; Big and Tall Chairs</t>
  </si>
  <si>
    <t>https://www.staples.com/Big-and-Tall-Chairs/cat_CL166254</t>
  </si>
  <si>
    <t>https://www.staples.com/Dining-Chairs/cat_CL166181</t>
  </si>
  <si>
    <t>Chair Parts &amp; Accessories</t>
  </si>
  <si>
    <t>CL141955</t>
  </si>
  <si>
    <t>Furniture &gt; Chairs &amp; Seating &gt; Chair Parts &amp; Accessories</t>
  </si>
  <si>
    <t>https://www.staples.com/Chair-Parts-Accessories/cat_CL141955</t>
  </si>
  <si>
    <t>https://www.staples.com/Gaming-Chairs/cat_CL210317</t>
  </si>
  <si>
    <t>https://www.staples.com/Kids-Seating/cat_CL210316</t>
  </si>
  <si>
    <t>https://www.staples.com/Office-Chairs/cat_CL166253</t>
  </si>
  <si>
    <t>Recliners, Gliders &amp; Rockers</t>
  </si>
  <si>
    <t>CL210580</t>
  </si>
  <si>
    <t>Furniture &gt; Chairs &amp; Seating &gt; Recliners, Gliders &amp; Rockers</t>
  </si>
  <si>
    <t>https://www.staples.com/Recliners-Gliders-Rockers/cat_CL210580</t>
  </si>
  <si>
    <t>https://www.staples.com/Benches-Beam-Seating/cat_CL163750</t>
  </si>
  <si>
    <t>Sofas, Loveseats &amp; Sectionals</t>
  </si>
  <si>
    <t>CL215551</t>
  </si>
  <si>
    <t>Furniture &gt; Chairs &amp; Seating &gt; Sofas &amp; Benches &gt; Sofas, Loveseats &amp; Sectionals</t>
  </si>
  <si>
    <t>https://www.staples.com/Sofas-Loveseats-Sectionals/cat_CL215551</t>
  </si>
  <si>
    <t>Stacking &amp; Folding Chairs</t>
  </si>
  <si>
    <t>CL166358</t>
  </si>
  <si>
    <t>Furniture &gt; Chairs &amp; Seating &gt; Stacking &amp; Folding Chairs</t>
  </si>
  <si>
    <t>https://www.staples.com/Stacking-Folding-Chairs/cat_CL166358</t>
  </si>
  <si>
    <t>https://www.staples.com/Counter-Bar-Stools/cat_CL166182</t>
  </si>
  <si>
    <t>Drafting Chairs &amp; Office Stools</t>
  </si>
  <si>
    <t>CL166357</t>
  </si>
  <si>
    <t>Furniture &gt; Chairs &amp; Seating &gt; Stools &amp; Ottomans &gt; Drafting Chairs &amp; Office Stools</t>
  </si>
  <si>
    <t>https://www.staples.com/Drafting-Chairs-Office-Stools/cat_CL166357</t>
  </si>
  <si>
    <t>Foot Rests</t>
  </si>
  <si>
    <t>CL161892</t>
  </si>
  <si>
    <t>Furniture &gt; Chairs &amp; Seating &gt; Stools &amp; Ottomans &gt; Foot Rests</t>
  </si>
  <si>
    <t>https://www.staples.com/Foot-Rests/cat_CL161892</t>
  </si>
  <si>
    <t>https://www.staples.com/Ottomans/cat_CL161807</t>
  </si>
  <si>
    <t>Cubicle &amp; Panel Workstations</t>
  </si>
  <si>
    <t>CL164285</t>
  </si>
  <si>
    <t>Furniture &gt; Cubicle &amp; Panel Systems &gt; Cubicle &amp; Panel Workstations</t>
  </si>
  <si>
    <t>https://www.staples.com/Cubicle-Panel-Workstations/cat_CL164285</t>
  </si>
  <si>
    <t>Cubicle Accessories &amp; Hardware</t>
  </si>
  <si>
    <t>CL163735</t>
  </si>
  <si>
    <t>Furniture &gt; Cubicle &amp; Panel Systems &gt; Cubicle Accessories &amp; Hardware</t>
  </si>
  <si>
    <t>https://www.staples.com/Cubicle-Accessories-Hardware/cat_CL163735</t>
  </si>
  <si>
    <t>Privacy Booths</t>
  </si>
  <si>
    <t>CL354786</t>
  </si>
  <si>
    <t>Furniture &gt; Cubicle &amp; Panel Systems &gt; Privacy Booths</t>
  </si>
  <si>
    <t>https://www.staples.com/Privacy-Booths/cat_CL354786</t>
  </si>
  <si>
    <t>Daycare &amp; Nursery</t>
  </si>
  <si>
    <t>Daycare &amp; Nursery Supplies</t>
  </si>
  <si>
    <t>CL210263</t>
  </si>
  <si>
    <t>Furniture &gt; Daycare &amp; Nursery &gt; Daycare &amp; Nursery Supplies</t>
  </si>
  <si>
    <t>https://www.staples.com/Daycare-Nursery-Supplies/cat_CL210263</t>
  </si>
  <si>
    <t>Nursery Furniture</t>
  </si>
  <si>
    <t>CL210257</t>
  </si>
  <si>
    <t>Furniture &gt; Daycare &amp; Nursery &gt; Nursery Furniture</t>
  </si>
  <si>
    <t>https://www.staples.com/Nursery-Furniture/cat_CL210257</t>
  </si>
  <si>
    <t>Play &amp; Rest Mats</t>
  </si>
  <si>
    <t>CL219723</t>
  </si>
  <si>
    <t>Furniture &gt; Daycare &amp; Nursery &gt; Play &amp; Rest Mats</t>
  </si>
  <si>
    <t>https://www.staples.com/Rest-Mats/cat_CL219723</t>
  </si>
  <si>
    <t>Artificial Flowers</t>
  </si>
  <si>
    <t>CL355078</t>
  </si>
  <si>
    <t>Furniture &gt; Decor &gt; Artificial Plants &amp; Flowers &gt; Artificial Flowers</t>
  </si>
  <si>
    <t>https://www.staples.com/Artificial-Flowers/cat_CL355078</t>
  </si>
  <si>
    <t>Artificial Garlands &amp; Swag</t>
  </si>
  <si>
    <t>CL355089</t>
  </si>
  <si>
    <t>Furniture &gt; Decor &gt; Artificial Plants &amp; Flowers &gt; Artificial Garlands &amp; Swag</t>
  </si>
  <si>
    <t>https://www.staples.com/Artificial-Garlands-Swag/cat_CL355089</t>
  </si>
  <si>
    <t>Artificial Trees</t>
  </si>
  <si>
    <t>CL162194</t>
  </si>
  <si>
    <t>Furniture &gt; Decor &gt; Artificial Plants &amp; Flowers &gt; Artificial Trees</t>
  </si>
  <si>
    <t>https://www.staples.com/Artificial-Plants-Flowers/cat_CL162194</t>
  </si>
  <si>
    <t>Artificial Wreathes</t>
  </si>
  <si>
    <t>CL355091</t>
  </si>
  <si>
    <t>Furniture &gt; Decor &gt; Artificial Plants &amp; Flowers &gt; Artificial Wreathes</t>
  </si>
  <si>
    <t>https://www.staples.com/Artificial-Wreathes/cat_CL355091</t>
  </si>
  <si>
    <t>Bath &amp; Shower Accessories</t>
  </si>
  <si>
    <t>CL213825</t>
  </si>
  <si>
    <t>Furniture &gt; Decor &gt; Bath &amp; Shower Accessories</t>
  </si>
  <si>
    <t>https://www.staples.com/Bath-Shower-Accessories/cat_CL213825</t>
  </si>
  <si>
    <t>Bath Mats &amp; Towels</t>
  </si>
  <si>
    <t>CL353955</t>
  </si>
  <si>
    <t>Furniture &gt; Decor &gt; Bath Mats &amp; Towels</t>
  </si>
  <si>
    <t>https://www.staples.com/Bath-Mats-Towels/cat_CL353955</t>
  </si>
  <si>
    <t>Beds &amp; Bedding</t>
  </si>
  <si>
    <t>Bedding</t>
  </si>
  <si>
    <t>CL219748</t>
  </si>
  <si>
    <t>Furniture &gt; Decor &gt; Beds &amp; Bedding &gt; Bedding</t>
  </si>
  <si>
    <t>https://www.staples.com/Bedding/cat_CL219748</t>
  </si>
  <si>
    <t>Beds &amp; Mattresses</t>
  </si>
  <si>
    <t>CL219747</t>
  </si>
  <si>
    <t>Furniture &gt; Decor &gt; Beds &amp; Bedding &gt; Beds &amp; Mattresses</t>
  </si>
  <si>
    <t>https://www.staples.com/Beds-Mattresses/cat_CL219747</t>
  </si>
  <si>
    <t>Blankets &amp; Throws</t>
  </si>
  <si>
    <t>CL168612</t>
  </si>
  <si>
    <t>Furniture &gt; Decor &gt; Beds &amp; Bedding &gt; Blankets &amp; Throws</t>
  </si>
  <si>
    <t>https://www.staples.com/Blankets-Throws/cat_CL168612</t>
  </si>
  <si>
    <t>Headboards</t>
  </si>
  <si>
    <t>CL218878</t>
  </si>
  <si>
    <t>Furniture &gt; Decor &gt; Beds &amp; Bedding &gt; Headboards</t>
  </si>
  <si>
    <t>https://www.staples.com/Headboards/cat_CL218878</t>
  </si>
  <si>
    <t>Mattress Pads &amp; Toppers</t>
  </si>
  <si>
    <t>CL219746</t>
  </si>
  <si>
    <t>Furniture &gt; Decor &gt; Beds &amp; Bedding &gt; Mattress Pads &amp; Toppers</t>
  </si>
  <si>
    <t>https://www.staples.com/Mattress-Pads-Toppers/cat_CL219746</t>
  </si>
  <si>
    <t>Pillows</t>
  </si>
  <si>
    <t>CL212175</t>
  </si>
  <si>
    <t>Furniture &gt; Decor &gt; Beds &amp; Bedding &gt; Pillows</t>
  </si>
  <si>
    <t>https://www.staples.com/Accent-Pillows/cat_CL212175</t>
  </si>
  <si>
    <t>https://www.staples.com/Candles/cat_CL354882</t>
  </si>
  <si>
    <t>Curtains, Blinds &amp; Shades</t>
  </si>
  <si>
    <t>CL211408</t>
  </si>
  <si>
    <t>Furniture &gt; Decor &gt; Curtains, Blinds &amp; Shades</t>
  </si>
  <si>
    <t>https://www.staples.com/Curtains-Blinds-Shades/cat_CL211408</t>
  </si>
  <si>
    <t>Decorative Accents</t>
  </si>
  <si>
    <t>CL166251</t>
  </si>
  <si>
    <t>Furniture &gt; Decor &gt; Decorative Accents</t>
  </si>
  <si>
    <t>https://www.staples.com/Decorative-Accents/cat_CL166251</t>
  </si>
  <si>
    <t>Home &amp; Office Decor</t>
  </si>
  <si>
    <t>Accent Furniture</t>
  </si>
  <si>
    <t>CL158888</t>
  </si>
  <si>
    <t>Furniture &gt; Decor &gt; Home &amp; Office Decor &gt; Accent Furniture</t>
  </si>
  <si>
    <t>https://www.staples.com/Accent-Furniture/cat_CL158888</t>
  </si>
  <si>
    <t>Accent Room Dividers</t>
  </si>
  <si>
    <t>CL212614</t>
  </si>
  <si>
    <t>Furniture &gt; Decor &gt; Home &amp; Office Decor &gt; Accent Room Dividers</t>
  </si>
  <si>
    <t>https://www.staples.com/Accent-Room-Dividers/cat_CL212614</t>
  </si>
  <si>
    <t>Decorative Baskets, Bowls and Boxes</t>
  </si>
  <si>
    <t>CL212444</t>
  </si>
  <si>
    <t>Furniture &gt; Decor &gt; Home &amp; Office Decor &gt; Decorative Baskets, Bowls and Boxes</t>
  </si>
  <si>
    <t>https://www.staples.com/Decorative-Baskets-Bowls-and-Boxes/cat_CL212444</t>
  </si>
  <si>
    <t>Home &amp; Office Bars</t>
  </si>
  <si>
    <t>CL211051</t>
  </si>
  <si>
    <t>Furniture &gt; Decor &gt; Home &amp; Office Decor &gt; Home &amp; Office Bars</t>
  </si>
  <si>
    <t>https://www.staples.com/Home-Office-Bars/cat_CL211051</t>
  </si>
  <si>
    <t>Home Accents</t>
  </si>
  <si>
    <t>CL213668</t>
  </si>
  <si>
    <t>Furniture &gt; Decor &gt; Home &amp; Office Decor &gt; Home Accents</t>
  </si>
  <si>
    <t>https://www.staples.com/Home-Accents/cat_CL213668</t>
  </si>
  <si>
    <t>Indoor Fireplaces</t>
  </si>
  <si>
    <t>CL163883</t>
  </si>
  <si>
    <t>Furniture &gt; Decor &gt; Home &amp; Office Decor &gt; Indoor Fireplaces</t>
  </si>
  <si>
    <t>https://www.staples.com/Indoor-Fireplaces/cat_CL163883</t>
  </si>
  <si>
    <t>https://www.staples.com/Mirrors/cat_CL163751</t>
  </si>
  <si>
    <t>https://www.staples.com/Picture-Frames-Photo-Albums/cat_CL161523</t>
  </si>
  <si>
    <t>Seasonal Decor</t>
  </si>
  <si>
    <t>Figurines &amp; Tabletop Decor</t>
  </si>
  <si>
    <t>CL355100</t>
  </si>
  <si>
    <t>Furniture &gt; Decor &gt; Seasonal Decor &gt; Figurines &amp; Tabletop Decor</t>
  </si>
  <si>
    <t>https://www.staples.com/Figurines-Tabletop-Decor/cat_CL355100</t>
  </si>
  <si>
    <t>Holiday Lighting</t>
  </si>
  <si>
    <t>CL355103</t>
  </si>
  <si>
    <t>Furniture &gt; Decor &gt; Seasonal Decor &gt; Holiday Lighting</t>
  </si>
  <si>
    <t>https://www.staples.com/Holiday-Lighting/cat_CL355103</t>
  </si>
  <si>
    <t>Inflatables</t>
  </si>
  <si>
    <t>CL355095</t>
  </si>
  <si>
    <t>Furniture &gt; Decor &gt; Seasonal Decor &gt; Inflatables</t>
  </si>
  <si>
    <t>https://www.staples.com/Inflatables/cat_CL355095</t>
  </si>
  <si>
    <t>Ornaments &amp; Tree Decor</t>
  </si>
  <si>
    <t>CL355097</t>
  </si>
  <si>
    <t>Furniture &gt; Decor &gt; Seasonal Decor &gt; Ornaments &amp; Tree Decor</t>
  </si>
  <si>
    <t>https://www.staples.com/Ornaments-Tree-Decor/cat_CL355097</t>
  </si>
  <si>
    <t>Standing Decor</t>
  </si>
  <si>
    <t>CL355099</t>
  </si>
  <si>
    <t>Furniture &gt; Decor &gt; Seasonal Decor &gt; Standing Decor</t>
  </si>
  <si>
    <t>https://www.staples.com/Standing-Decor/cat_CL355099</t>
  </si>
  <si>
    <t>Window &amp; Wall Decor &amp; Signs</t>
  </si>
  <si>
    <t>CL355105</t>
  </si>
  <si>
    <t>Furniture &gt; Decor &gt; Seasonal Decor &gt; Window &amp; Wall Decor &amp; Signs</t>
  </si>
  <si>
    <t>https://www.staples.com/Window-Wall-Decor-Signs/cat_CL355105</t>
  </si>
  <si>
    <t>Shower Curtains &amp; Accessories</t>
  </si>
  <si>
    <t>CL211579</t>
  </si>
  <si>
    <t>Furniture &gt; Decor &gt; Shower Curtains &amp; Accessories</t>
  </si>
  <si>
    <t>https://www.staples.com/Shower-Curtains-Accessories/cat_CL211579</t>
  </si>
  <si>
    <t>Wall Art</t>
  </si>
  <si>
    <t>Abstract Art</t>
  </si>
  <si>
    <t>CL204435</t>
  </si>
  <si>
    <t>Furniture &gt; Decor &gt; Wall Art &gt; Abstract Art</t>
  </si>
  <si>
    <t>https://www.staples.com/Abstract-Art/cat_CL204435</t>
  </si>
  <si>
    <t>Animal Art</t>
  </si>
  <si>
    <t>CL205300</t>
  </si>
  <si>
    <t>Furniture &gt; Decor &gt; Wall Art &gt; Animal Art</t>
  </si>
  <si>
    <t>https://www.staples.com/Animal-Art/cat_CL205300</t>
  </si>
  <si>
    <t>Art by Famous Artists</t>
  </si>
  <si>
    <t>CL205316</t>
  </si>
  <si>
    <t>Furniture &gt; Decor &gt; Wall Art &gt; Art by Famous Artists</t>
  </si>
  <si>
    <t>https://www.staples.com/Art-by-Famous-Artists/cat_CL205316</t>
  </si>
  <si>
    <t>Automotive &amp; Car Art</t>
  </si>
  <si>
    <t>CL205301</t>
  </si>
  <si>
    <t>Furniture &gt; Decor &gt; Wall Art &gt; Automotive &amp; Car Art</t>
  </si>
  <si>
    <t>https://www.staples.com/Automotive-Car-Art/cat_CL205301</t>
  </si>
  <si>
    <t>Contemporary Art</t>
  </si>
  <si>
    <t>CL205302</t>
  </si>
  <si>
    <t>Furniture &gt; Decor &gt; Wall Art &gt; Contemporary Art</t>
  </si>
  <si>
    <t>https://www.staples.com/Contemporary-Art/cat_CL205302</t>
  </si>
  <si>
    <t>Floral Art</t>
  </si>
  <si>
    <t>CL168943</t>
  </si>
  <si>
    <t>Furniture &gt; Decor &gt; Wall Art &gt; Floral Art</t>
  </si>
  <si>
    <t>https://www.staples.com/Floral-Art/cat_CL168943</t>
  </si>
  <si>
    <t>Food &amp; Kitchen Art</t>
  </si>
  <si>
    <t>CL205304</t>
  </si>
  <si>
    <t>Furniture &gt; Decor &gt; Wall Art &gt; Food &amp; Kitchen Art</t>
  </si>
  <si>
    <t>https://www.staples.com/Food-Kitchen-Art/cat_CL205304</t>
  </si>
  <si>
    <t>Garden Landscape</t>
  </si>
  <si>
    <t>CL205330</t>
  </si>
  <si>
    <t>Furniture &gt; Decor &gt; Wall Art &gt; Garden Landscape</t>
  </si>
  <si>
    <t>https://www.staples.com/Garden-Landscape/cat_CL205330</t>
  </si>
  <si>
    <t>Kids &amp; Whimsical Art</t>
  </si>
  <si>
    <t>CL205303</t>
  </si>
  <si>
    <t>Furniture &gt; Decor &gt; Wall Art &gt; Kids &amp; Whimsical Art</t>
  </si>
  <si>
    <t>https://www.staples.com/Kids-Whimsical-Art/cat_CL205303</t>
  </si>
  <si>
    <t>Map Art</t>
  </si>
  <si>
    <t>CL168944</t>
  </si>
  <si>
    <t>Furniture &gt; Decor &gt; Wall Art &gt; Map Art</t>
  </si>
  <si>
    <t>https://www.staples.com/Map-Art/cat_CL168944</t>
  </si>
  <si>
    <t>Motivational Art</t>
  </si>
  <si>
    <t>CL204434</t>
  </si>
  <si>
    <t>Furniture &gt; Decor &gt; Wall Art &gt; Motivational Art</t>
  </si>
  <si>
    <t>https://www.staples.com/Motivational-Art/cat_CL204434</t>
  </si>
  <si>
    <t>Music Art</t>
  </si>
  <si>
    <t>CL205305</t>
  </si>
  <si>
    <t>Furniture &gt; Decor &gt; Wall Art &gt; Music Art</t>
  </si>
  <si>
    <t>https://www.staples.com/Music-Art/cat_CL205305</t>
  </si>
  <si>
    <t>Nature Landscape Art</t>
  </si>
  <si>
    <t>CL168941</t>
  </si>
  <si>
    <t>Furniture &gt; Decor &gt; Wall Art &gt; Nature Landscape Art</t>
  </si>
  <si>
    <t>https://www.staples.com/Nature-Landscape-Art/cat_CL168941</t>
  </si>
  <si>
    <t>People &amp; Fashion Art</t>
  </si>
  <si>
    <t>CL205307</t>
  </si>
  <si>
    <t>Furniture &gt; Decor &gt; Wall Art &gt; People &amp; Fashion Art</t>
  </si>
  <si>
    <t>https://www.staples.com/People-Fashion-Art/cat_CL205307</t>
  </si>
  <si>
    <t>Photography</t>
  </si>
  <si>
    <t>CL168942</t>
  </si>
  <si>
    <t>Furniture &gt; Decor &gt; Wall Art &gt; Photography</t>
  </si>
  <si>
    <t>https://www.staples.com/Photography/cat_CL168942</t>
  </si>
  <si>
    <t>Ships &amp; Maritime Art</t>
  </si>
  <si>
    <t>CL205314</t>
  </si>
  <si>
    <t>Furniture &gt; Decor &gt; Wall Art &gt; Ships &amp; Maritime Art</t>
  </si>
  <si>
    <t>https://www.staples.com/Ships-Maritime-Art/cat_CL205314</t>
  </si>
  <si>
    <t>Sports Art</t>
  </si>
  <si>
    <t>CL205308</t>
  </si>
  <si>
    <t>Furniture &gt; Decor &gt; Wall Art &gt; Sports Art</t>
  </si>
  <si>
    <t>https://www.staples.com/Sports-Art/cat_CL205308</t>
  </si>
  <si>
    <t>Still Life</t>
  </si>
  <si>
    <t>CL205309</t>
  </si>
  <si>
    <t>Furniture &gt; Decor &gt; Wall Art &gt; Still Life</t>
  </si>
  <si>
    <t>https://www.staples.com/Still-Life/cat_CL205309</t>
  </si>
  <si>
    <t>Urban Art</t>
  </si>
  <si>
    <t>CL205337</t>
  </si>
  <si>
    <t>Furniture &gt; Decor &gt; Wall Art &gt; Urban Art</t>
  </si>
  <si>
    <t>https://www.staples.com/Urban-Art/cat_CL205337</t>
  </si>
  <si>
    <t>Vintage Art</t>
  </si>
  <si>
    <t>CL205311</t>
  </si>
  <si>
    <t>Furniture &gt; Decor &gt; Wall Art &gt; Vintage Art</t>
  </si>
  <si>
    <t>https://www.staples.com/Vintage-Art/cat_CL205311</t>
  </si>
  <si>
    <t>Wall Art/Decor</t>
  </si>
  <si>
    <t>Furniture &gt; Decor &gt; Wall Art &gt; Wall Art/Decor</t>
  </si>
  <si>
    <t>https://www.staples.com/Wall-Art-Decor/cat_CL140795</t>
  </si>
  <si>
    <t>Wall Decals</t>
  </si>
  <si>
    <t>CL168951</t>
  </si>
  <si>
    <t>Furniture &gt; Decor &gt; Wall Art &gt; Wall Decals</t>
  </si>
  <si>
    <t>https://www.staples.com/Wall-Decals/cat_CL168951</t>
  </si>
  <si>
    <t>Weather Instruments</t>
  </si>
  <si>
    <t>CL166884</t>
  </si>
  <si>
    <t>Furniture &gt; Decor &gt; Weather Instruments</t>
  </si>
  <si>
    <t>https://www.staples.com/Weather-Instruments/cat_CL166884</t>
  </si>
  <si>
    <t>CPU Holders &amp; Mounts</t>
  </si>
  <si>
    <t>CL350755</t>
  </si>
  <si>
    <t>Furniture &gt; Desks &gt; CPU Holders &amp; Mounts</t>
  </si>
  <si>
    <t>https://www.staples.com/CPU-Holders-Mounts/cat_CL350755</t>
  </si>
  <si>
    <t>Desk Components</t>
  </si>
  <si>
    <t>CL353870</t>
  </si>
  <si>
    <t>Furniture &gt; Desks &gt; Desk Components &amp; Hutches &gt; Desk Components</t>
  </si>
  <si>
    <t>https://www.staples.com/Desk-Components/cat_CL353870</t>
  </si>
  <si>
    <t>https://www.staples.com/Hutches/cat_CL353865</t>
  </si>
  <si>
    <t>https://www.staples.com/Sit-Stand-Desks/cat_CL215523</t>
  </si>
  <si>
    <t>File Cabinets</t>
  </si>
  <si>
    <t>CL70401</t>
  </si>
  <si>
    <t>Furniture &gt; File Cabinets</t>
  </si>
  <si>
    <t>https://www.staples.com/File-Cabinets/cat_CL70401</t>
  </si>
  <si>
    <t>Furniture Assembly</t>
  </si>
  <si>
    <t>CL350270</t>
  </si>
  <si>
    <t>Furniture &gt; Furniture Assembly</t>
  </si>
  <si>
    <t>https://www.staples.com/Furniture-Assembly/cat_CL350270</t>
  </si>
  <si>
    <t>Breakroom &amp; Dining Tables</t>
  </si>
  <si>
    <t>CL210327</t>
  </si>
  <si>
    <t>Furniture &gt; Home &amp; Office Tables &gt; Breakroom &amp; Dining Tables</t>
  </si>
  <si>
    <t>https://www.staples.com/Breakroom-Dining-Tables/cat_CL210327</t>
  </si>
  <si>
    <t>Classroom &amp; Kids' Tables</t>
  </si>
  <si>
    <t>CL210315</t>
  </si>
  <si>
    <t>Furniture &gt; Home &amp; Office Tables &gt; Classroom &amp; Kids' Tables</t>
  </si>
  <si>
    <t>https://www.staples.com/Classroom-Kids-Tables/cat_CL210315</t>
  </si>
  <si>
    <t>Conference Room Tables</t>
  </si>
  <si>
    <t>CL70700</t>
  </si>
  <si>
    <t>Furniture &gt; Home &amp; Office Tables &gt; Conference Room Tables</t>
  </si>
  <si>
    <t>https://www.staples.com/Conference-Room-Tables/cat_CL70700</t>
  </si>
  <si>
    <t>Folding Tables</t>
  </si>
  <si>
    <t>CL166212</t>
  </si>
  <si>
    <t>Furniture &gt; Home &amp; Office Tables &gt; Folding Tables</t>
  </si>
  <si>
    <t>https://www.staples.com/Folding-Tables/cat_CL166212</t>
  </si>
  <si>
    <t>Specialty &amp; Drafting Tables</t>
  </si>
  <si>
    <t>CL140724</t>
  </si>
  <si>
    <t>Furniture &gt; Home &amp; Office Tables &gt; Specialty &amp; Drafting Tables</t>
  </si>
  <si>
    <t>https://www.staples.com/Specialty-Drafting-Tables/cat_CL140724</t>
  </si>
  <si>
    <t>Table Components</t>
  </si>
  <si>
    <t>Table Bases</t>
  </si>
  <si>
    <t>CL354625</t>
  </si>
  <si>
    <t>Furniture &gt; Home &amp; Office Tables &gt; Table Components &gt; Table Bases</t>
  </si>
  <si>
    <t>https://www.staples.com/Table-Bases/cat_CL354625</t>
  </si>
  <si>
    <t>Table Tops</t>
  </si>
  <si>
    <t>CL210330</t>
  </si>
  <si>
    <t>Furniture &gt; Home &amp; Office Tables &gt; Table Components &gt; Table Tops</t>
  </si>
  <si>
    <t>https://www.staples.com/Table-Tops/cat_CL210330</t>
  </si>
  <si>
    <t>Training Room Tables</t>
  </si>
  <si>
    <t>CL142481</t>
  </si>
  <si>
    <t>Furniture &gt; Home &amp; Office Tables &gt; Training Room Tables</t>
  </si>
  <si>
    <t>https://www.staples.com/Training-Room-Tables/cat_CL142481</t>
  </si>
  <si>
    <t>Accent Lighting</t>
  </si>
  <si>
    <t>CL204474</t>
  </si>
  <si>
    <t>Furniture &gt; Lamps &amp; Lighting &gt; Accent Lighting</t>
  </si>
  <si>
    <t>https://www.staples.com/Accent-Lighting/cat_CL204474</t>
  </si>
  <si>
    <t>Ceiling Lighting</t>
  </si>
  <si>
    <t>CL168234</t>
  </si>
  <si>
    <t>Furniture &gt; Lamps &amp; Lighting &gt; Ceiling Lighting</t>
  </si>
  <si>
    <t>https://www.staples.com/Ceiling-Lighting/cat_CL168234</t>
  </si>
  <si>
    <t>Craft Lighting &amp; Magnifiers</t>
  </si>
  <si>
    <t>CL142806</t>
  </si>
  <si>
    <t>Furniture &gt; Lamps &amp; Lighting &gt; Craft Lighting &amp; Magnifiers</t>
  </si>
  <si>
    <t>https://www.staples.com/Craft-Lighting-Magnifiers/cat_CL142806</t>
  </si>
  <si>
    <t>https://www.staples.com/Floor-Lamps/cat_CL216710</t>
  </si>
  <si>
    <t>Lighting Controls, Dimmers &amp; Accessories</t>
  </si>
  <si>
    <t>Lighting Accessories</t>
  </si>
  <si>
    <t>CL212633</t>
  </si>
  <si>
    <t>Furniture &gt; Lamps &amp; Lighting &gt; Lighting Controls, Dimmers &amp; Accessories &gt; Lighting Accessories</t>
  </si>
  <si>
    <t>https://www.staples.com/Lighting-Accessories/cat_CL212633</t>
  </si>
  <si>
    <t>Lighting Controls &amp; Dimmers</t>
  </si>
  <si>
    <t>CL212635</t>
  </si>
  <si>
    <t>Furniture &gt; Lamps &amp; Lighting &gt; Lighting Controls, Dimmers &amp; Accessories &gt; Lighting Controls &amp; Dimmers</t>
  </si>
  <si>
    <t>https://www.staples.com/Lighting-Controls-Dimmers/cat_CL212635</t>
  </si>
  <si>
    <t>Transformers</t>
  </si>
  <si>
    <t>CL212803</t>
  </si>
  <si>
    <t>Furniture &gt; Lamps &amp; Lighting &gt; Lighting Controls, Dimmers &amp; Accessories &gt; Transformers</t>
  </si>
  <si>
    <t>https://www.staples.com/Transformers/cat_CL212803</t>
  </si>
  <si>
    <t>Outdoor Lighting</t>
  </si>
  <si>
    <t>CL204475</t>
  </si>
  <si>
    <t>Furniture &gt; Lamps &amp; Lighting &gt; Outdoor Lighting</t>
  </si>
  <si>
    <t>https://www.staples.com/Outdoor-Lighting/cat_CL204475</t>
  </si>
  <si>
    <t>Specialty Lighting</t>
  </si>
  <si>
    <t>CL213659</t>
  </si>
  <si>
    <t>Furniture &gt; Lamps &amp; Lighting &gt; Specialty Lighting</t>
  </si>
  <si>
    <t>https://www.staples.com/Specialty-Lighting/cat_CL213659</t>
  </si>
  <si>
    <t>https://www.staples.com/Table-Lamps/cat_CL216712</t>
  </si>
  <si>
    <t>Under Cabinet Lighting</t>
  </si>
  <si>
    <t>CL167875</t>
  </si>
  <si>
    <t>Furniture &gt; Lamps &amp; Lighting &gt; Under Cabinet Lighting</t>
  </si>
  <si>
    <t>https://www.staples.com/Under-Cabinet-Lighting/cat_CL167875</t>
  </si>
  <si>
    <t>Wall Lamps</t>
  </si>
  <si>
    <t>CL212637</t>
  </si>
  <si>
    <t>Furniture &gt; Lamps &amp; Lighting &gt; Wall Lamps</t>
  </si>
  <si>
    <t>https://www.staples.com/Wall-Lamps/cat_CL212637</t>
  </si>
  <si>
    <t>Lecterns &amp; PA Systems</t>
  </si>
  <si>
    <t>Lecterns</t>
  </si>
  <si>
    <t>CL216771</t>
  </si>
  <si>
    <t>Furniture &gt; Lecterns &amp; PA Systems &gt; Lecterns</t>
  </si>
  <si>
    <t>https://www.staples.com/Lecterns/cat_CL216771</t>
  </si>
  <si>
    <t>Microphones</t>
  </si>
  <si>
    <t>CL168302</t>
  </si>
  <si>
    <t>Furniture &gt; Lecterns &amp; PA Systems &gt; Microphones</t>
  </si>
  <si>
    <t>https://www.staples.com/Microphones/cat_CL168302</t>
  </si>
  <si>
    <t>PA Systems &amp; Accessories</t>
  </si>
  <si>
    <t>CL140818</t>
  </si>
  <si>
    <t>Furniture &gt; Lecterns &amp; PA Systems &gt; PA Systems &amp; Accessories</t>
  </si>
  <si>
    <t>https://www.staples.com/PA-Systems-Accessories/cat_CL140818</t>
  </si>
  <si>
    <t>Safes &amp; Secure Storage</t>
  </si>
  <si>
    <t>CL158854</t>
  </si>
  <si>
    <t>Furniture &gt; Safes &amp; Secure Storage</t>
  </si>
  <si>
    <t>https://www.staples.com/Safes-Secure-Storage/cat_CL158854</t>
  </si>
  <si>
    <t>School Furniture</t>
  </si>
  <si>
    <t>Classroom Storage Furniture</t>
  </si>
  <si>
    <t>CL350775</t>
  </si>
  <si>
    <t>Furniture &gt; School Furniture &gt; Classroom Storage Furniture</t>
  </si>
  <si>
    <t>https://www.staples.com/Classroom-Storage-Furniture/cat_CL350775</t>
  </si>
  <si>
    <t>Student Desks &amp; Study Carrels</t>
  </si>
  <si>
    <t>CL164560</t>
  </si>
  <si>
    <t>Furniture &gt; School Furniture &gt; Student Desks &amp; Study Carrels</t>
  </si>
  <si>
    <t>https://www.staples.com/Student-Desks-Study-Carrels/cat_CL164560</t>
  </si>
  <si>
    <t>Standing Desk Mats</t>
  </si>
  <si>
    <t>CL354831</t>
  </si>
  <si>
    <t>Furniture &gt; Standing Desk Mats</t>
  </si>
  <si>
    <t>https://www.staples.com/Standing-Desk-Mats/cat_CL354831</t>
  </si>
  <si>
    <t>Clothing Racks &amp; Closet Organization</t>
  </si>
  <si>
    <t>Closet Storage &amp; Organizers</t>
  </si>
  <si>
    <t>CL215220</t>
  </si>
  <si>
    <t>Furniture &gt; Storage Furniture &gt; Clothing Racks &amp; Closet Organization &gt; Closet Storage &amp; Organizers</t>
  </si>
  <si>
    <t>https://www.staples.com/Closet-Storage-Organizers/cat_CL215220</t>
  </si>
  <si>
    <t>Closet Systems</t>
  </si>
  <si>
    <t>CL216882</t>
  </si>
  <si>
    <t>Furniture &gt; Storage Furniture &gt; Clothing Racks &amp; Closet Organization &gt; Closet Systems</t>
  </si>
  <si>
    <t>https://www.staples.com/Closet-Systems/cat_CL216882</t>
  </si>
  <si>
    <t>Clothes Racks &amp; Portable Closets</t>
  </si>
  <si>
    <t>CL168192</t>
  </si>
  <si>
    <t>Furniture &gt; Storage Furniture &gt; Clothing Racks &amp; Closet Organization &gt; Clothes Racks &amp; Portable Closets</t>
  </si>
  <si>
    <t>https://www.staples.com/Clothes-Racks-Portable-Closets/cat_CL168192</t>
  </si>
  <si>
    <t>Shoe Racks</t>
  </si>
  <si>
    <t>CL168194</t>
  </si>
  <si>
    <t>Furniture &gt; Storage Furniture &gt; Clothing Racks &amp; Closet Organization &gt; Shoe Racks</t>
  </si>
  <si>
    <t>https://www.staples.com/Shoe-Racks/cat_CL168194</t>
  </si>
  <si>
    <t>https://www.staples.com/Coat-Trees-Stands-Hooks/cat_CL167079</t>
  </si>
  <si>
    <t>Display Cases</t>
  </si>
  <si>
    <t>CL216699</t>
  </si>
  <si>
    <t>Furniture &gt; Storage Furniture &gt; Display Cases</t>
  </si>
  <si>
    <t>https://www.staples.com/Display-Cases/cat_CL216699</t>
  </si>
  <si>
    <t>Electronics &amp; Computer Storage Units</t>
  </si>
  <si>
    <t>CL204463</t>
  </si>
  <si>
    <t>Furniture &gt; Storage Furniture &gt; Electronics &amp; Computer Storage Units</t>
  </si>
  <si>
    <t>https://www.staples.com/Electronics-Computer-Storage-Units/cat_CL204463</t>
  </si>
  <si>
    <t>Lockers</t>
  </si>
  <si>
    <t>CL350335</t>
  </si>
  <si>
    <t>Furniture &gt; Storage Furniture &gt; Lockers</t>
  </si>
  <si>
    <t>https://www.staples.com/Lockers/cat_CL350335</t>
  </si>
  <si>
    <t>Media Storage Furniture</t>
  </si>
  <si>
    <t>CL160799</t>
  </si>
  <si>
    <t>Furniture &gt; Storage Furniture &gt; Media Storage Furniture</t>
  </si>
  <si>
    <t>https://www.staples.com/Media-Storage-Furniture/cat_CL160799</t>
  </si>
  <si>
    <t>Shelving</t>
  </si>
  <si>
    <t>CL140911</t>
  </si>
  <si>
    <t>Furniture &gt; Storage Furniture &gt; Shelving</t>
  </si>
  <si>
    <t>https://www.staples.com/Shelving/cat_CL140911</t>
  </si>
  <si>
    <t>Storage Cabinets</t>
  </si>
  <si>
    <t>CL140910</t>
  </si>
  <si>
    <t>Furniture &gt; Storage Furniture &gt; Storage Cabinets</t>
  </si>
  <si>
    <t>https://www.staples.com/Storage-Cabinets/cat_CL140910</t>
  </si>
  <si>
    <t>Storage Cubes</t>
  </si>
  <si>
    <t>CL162022</t>
  </si>
  <si>
    <t>Furniture &gt; Storage Furniture &gt; Storage Cubes</t>
  </si>
  <si>
    <t>https://www.staples.com/Storage-Cubes/cat_CL162022</t>
  </si>
  <si>
    <t>Gaming</t>
  </si>
  <si>
    <t>Gaming Accessories</t>
  </si>
  <si>
    <t>CL354794</t>
  </si>
  <si>
    <t>Gaming &gt; Gaming Accessories</t>
  </si>
  <si>
    <t>https://www.staples.com/Gaming-Accessories/cat_CL354794</t>
  </si>
  <si>
    <t>Gaming Consoles</t>
  </si>
  <si>
    <t>CL354791</t>
  </si>
  <si>
    <t>Gaming &gt; Gaming Consoles</t>
  </si>
  <si>
    <t>https://www.staples.com/Gaming-Consoles/cat_CL354791</t>
  </si>
  <si>
    <t>Gaming Controllers</t>
  </si>
  <si>
    <t>CL354796</t>
  </si>
  <si>
    <t>Gaming &gt; Gaming Controllers</t>
  </si>
  <si>
    <t>https://www.staples.com/Gaming-Controllers/cat_CL354796</t>
  </si>
  <si>
    <t>Handheld Consoles</t>
  </si>
  <si>
    <t>CL354793</t>
  </si>
  <si>
    <t>Gaming &gt; Handheld Consoles</t>
  </si>
  <si>
    <t>https://www.staples.com/Handheld-Consoles/cat_CL354793</t>
  </si>
  <si>
    <t>Video Games</t>
  </si>
  <si>
    <t>CL354795</t>
  </si>
  <si>
    <t>Gaming &gt; Video Games</t>
  </si>
  <si>
    <t>https://www.staples.com/Video-Games/cat_CL354795</t>
  </si>
  <si>
    <t>Virtual Reality Headsets</t>
  </si>
  <si>
    <t>CL221129</t>
  </si>
  <si>
    <t>Gaming &gt; Virtual Reality Headsets</t>
  </si>
  <si>
    <t>https://www.staples.com/Virtual-Reality-Headsets/cat_CL221129</t>
  </si>
  <si>
    <t>Gift Cards</t>
  </si>
  <si>
    <t>CL166326</t>
  </si>
  <si>
    <t>Gift Cards &gt; Gift Cards</t>
  </si>
  <si>
    <t>https://www.staples.com/Gift-Cards/cat_CL166326</t>
  </si>
  <si>
    <t>Staples Gift Cards</t>
  </si>
  <si>
    <t>CL166317</t>
  </si>
  <si>
    <t>Gift Cards &gt; Staples Gift Cards</t>
  </si>
  <si>
    <t>https://www.staples.com/Staples-Gift-Cards/cat_CL166317</t>
  </si>
  <si>
    <t>Artificial Christmas Trees</t>
  </si>
  <si>
    <t>CL210913</t>
  </si>
  <si>
    <t>Gift Shop &gt; Artificial Christmas Trees</t>
  </si>
  <si>
    <t>https://www.staples.com/Seasonal-Decor/cat_CL210913</t>
  </si>
  <si>
    <t>Game Room &amp; Toys</t>
  </si>
  <si>
    <t>Game Room</t>
  </si>
  <si>
    <t>Darts &amp; Dart Boards</t>
  </si>
  <si>
    <t>CL211646</t>
  </si>
  <si>
    <t>Gift Shop &gt; Game Room &amp; Toys &gt; Game Room &gt; Darts &amp; Dart Boards</t>
  </si>
  <si>
    <t>https://www.staples.com/Darts-Dart-Boards/cat_CL211646</t>
  </si>
  <si>
    <t>Game Room &amp; Games</t>
  </si>
  <si>
    <t>CL213666</t>
  </si>
  <si>
    <t>Gift Shop &gt; Game Room &amp; Toys &gt; Game Room &gt; Game Room &amp; Games</t>
  </si>
  <si>
    <t>https://www.staples.com/Game-Room-Games/cat_CL213666</t>
  </si>
  <si>
    <t>Gaming Tables &amp; Accessories</t>
  </si>
  <si>
    <t>CL212806</t>
  </si>
  <si>
    <t>Gift Shop &gt; Game Room &amp; Toys &gt; Game Room &gt; Gaming Tables &amp; Accessories</t>
  </si>
  <si>
    <t>https://www.staples.com/Gaming-Tables-Accessories/cat_CL212806</t>
  </si>
  <si>
    <t>Gift Sets, Photo &amp; Custom Gifts</t>
  </si>
  <si>
    <t>Gift Sets</t>
  </si>
  <si>
    <t>CL216974</t>
  </si>
  <si>
    <t>Gift Shop &gt; Gift Sets, Photo &amp; Custom Gifts &gt; Gift Sets</t>
  </si>
  <si>
    <t>https://www.staples.com/Gift-Sets/cat_CL216974</t>
  </si>
  <si>
    <t>Photo Gifts</t>
  </si>
  <si>
    <t>CL168343</t>
  </si>
  <si>
    <t>Gift Shop &gt; Gift Sets, Photo &amp; Custom Gifts &gt; Photo Gifts</t>
  </si>
  <si>
    <t>https://www.staples.com/Photo-Gifts/cat_CL168343</t>
  </si>
  <si>
    <t>Gourmet Gifts</t>
  </si>
  <si>
    <t>CL167909</t>
  </si>
  <si>
    <t>Gift Shop &gt; Gourmet Gifts</t>
  </si>
  <si>
    <t>https://www.staples.com/Gourmet-Gifts/cat_CL167909</t>
  </si>
  <si>
    <t>Greeting Cards</t>
  </si>
  <si>
    <t>CL215596</t>
  </si>
  <si>
    <t>Gift Shop &gt; Greeting Cards</t>
  </si>
  <si>
    <t>https://www.staples.com/Greeting-Cards/cat_CL215596</t>
  </si>
  <si>
    <t>Holiday Cards</t>
  </si>
  <si>
    <t>CL163313</t>
  </si>
  <si>
    <t>Gift Shop &gt; Holiday Cards</t>
  </si>
  <si>
    <t>https://www.staples.com/Holiday-Cards/cat_CL163313</t>
  </si>
  <si>
    <t>Home, Personal &amp; Travel</t>
  </si>
  <si>
    <t>Binoculars, Cameras &amp; Telescopes</t>
  </si>
  <si>
    <t>CL214478</t>
  </si>
  <si>
    <t>Gift Shop &gt; Home, Personal &amp; Travel &gt; Binoculars, Cameras &amp; Telescopes</t>
  </si>
  <si>
    <t>https://www.staples.com/Binoculars-Cameras-Telescopes/cat_CL214478</t>
  </si>
  <si>
    <t>Jewelry Boxes &amp; Cases</t>
  </si>
  <si>
    <t>CL204509</t>
  </si>
  <si>
    <t>Gift Shop &gt; Home, Personal &amp; Travel &gt; Jewelry Boxes &amp; Cases</t>
  </si>
  <si>
    <t>https://www.staples.com/Jewelry-Boxes-Cases/cat_CL204509</t>
  </si>
  <si>
    <t>Key Chains &amp; Rings</t>
  </si>
  <si>
    <t>CL204510</t>
  </si>
  <si>
    <t>Gift Shop &gt; Home, Personal &amp; Travel &gt; Key Chains &amp; Rings</t>
  </si>
  <si>
    <t>https://www.staples.com/Key-Chains-Rings/cat_CL204510</t>
  </si>
  <si>
    <t>Passport Holders</t>
  </si>
  <si>
    <t>CL216984</t>
  </si>
  <si>
    <t>Gift Shop &gt; Home, Personal &amp; Travel &gt; Passport Holders</t>
  </si>
  <si>
    <t>https://www.staples.com/Passport-Holders/cat_CL216984</t>
  </si>
  <si>
    <t>Unique Gifts</t>
  </si>
  <si>
    <t>CL216979</t>
  </si>
  <si>
    <t>Gift Shop &gt; Home, Personal &amp; Travel &gt; Unique Gifts</t>
  </si>
  <si>
    <t>https://www.staples.com/Unique-Gifts/cat_CL216979</t>
  </si>
  <si>
    <t>Wallets</t>
  </si>
  <si>
    <t>CL216982</t>
  </si>
  <si>
    <t>Gift Shop &gt; Home, Personal &amp; Travel &gt; Wallets</t>
  </si>
  <si>
    <t>https://www.staples.com/Wallets/cat_CL216982</t>
  </si>
  <si>
    <t>Invitations</t>
  </si>
  <si>
    <t>CL163311</t>
  </si>
  <si>
    <t>Gift Shop &gt; Invitations</t>
  </si>
  <si>
    <t>https://www.staples.com/Invitations/cat_CL163311</t>
  </si>
  <si>
    <t>Note Cards &amp; Postcards</t>
  </si>
  <si>
    <t>CL140789</t>
  </si>
  <si>
    <t>Gift Shop &gt; Note Cards &amp; Postcards</t>
  </si>
  <si>
    <t>https://www.staples.com/Note-Cards-Postcards/cat_CL140789</t>
  </si>
  <si>
    <t>Bar Accessories</t>
  </si>
  <si>
    <t>CL216975</t>
  </si>
  <si>
    <t>Gift Shop &gt; Professional Gifts &gt; Bar Accessories</t>
  </si>
  <si>
    <t>https://www.staples.com/Bar-Accessories/cat_CL216975</t>
  </si>
  <si>
    <t>All Outdoor Living</t>
  </si>
  <si>
    <t>CL213656</t>
  </si>
  <si>
    <t>Gift Shop &gt; Professional Gifts &gt; Compasses &gt; All Outdoor Living</t>
  </si>
  <si>
    <t>https://www.staples.com/All-Outdoor-Living/cat_CL213656</t>
  </si>
  <si>
    <t>All Outdoor Structures</t>
  </si>
  <si>
    <t>CL213657</t>
  </si>
  <si>
    <t>Gift Shop &gt; Professional Gifts &gt; Compasses &gt; All Outdoor Structures</t>
  </si>
  <si>
    <t>https://www.staples.com/All-Outdoor-Structures/cat_CL213657</t>
  </si>
  <si>
    <t>Camping</t>
  </si>
  <si>
    <t>CL211214</t>
  </si>
  <si>
    <t>Gift Shop &gt; Professional Gifts &gt; Compasses &gt; Camping</t>
  </si>
  <si>
    <t>https://www.staples.com/Camping/cat_CL211214</t>
  </si>
  <si>
    <t>Mailboxes</t>
  </si>
  <si>
    <t>CL213658</t>
  </si>
  <si>
    <t>Gift Shop &gt; Professional Gifts &gt; Compasses &gt; Mailboxes</t>
  </si>
  <si>
    <t>https://www.staples.com/Mailboxes/cat_CL213658</t>
  </si>
  <si>
    <t>Outdoor Decor</t>
  </si>
  <si>
    <t>CL204470</t>
  </si>
  <si>
    <t>Gift Shop &gt; Professional Gifts &gt; Compasses &gt; Outdoor Decor</t>
  </si>
  <si>
    <t>https://www.staples.com/Outdoor-Decor/cat_CL204470</t>
  </si>
  <si>
    <t>Outdoor Heaters</t>
  </si>
  <si>
    <t>CL211911</t>
  </si>
  <si>
    <t>Gift Shop &gt; Professional Gifts &gt; Compasses &gt; Outdoor Heaters</t>
  </si>
  <si>
    <t>https://www.staples.com/Outdoor-Heaters/cat_CL211911</t>
  </si>
  <si>
    <t>https://www.staples.com/Patio-Furniture/cat_CL213655</t>
  </si>
  <si>
    <t>Recreational Vehicle Accessories</t>
  </si>
  <si>
    <t>CL218727</t>
  </si>
  <si>
    <t>Gift Shop &gt; Professional Gifts &gt; Compasses &gt; Recreational Vehicle Accessories</t>
  </si>
  <si>
    <t>https://www.staples.com/Recreational-Vehicle-Accessories/cat_CL218727</t>
  </si>
  <si>
    <t>Solar Panels</t>
  </si>
  <si>
    <t>CL221417</t>
  </si>
  <si>
    <t>Gift Shop &gt; Professional Gifts &gt; Compasses &gt; Solar Panels</t>
  </si>
  <si>
    <t>https://www.staples.com/Solar-Panels/cat_CL221417</t>
  </si>
  <si>
    <t>Water Recreation</t>
  </si>
  <si>
    <t>CL213826</t>
  </si>
  <si>
    <t>Gift Shop &gt; Professional Gifts &gt; Compasses &gt; Water Recreation</t>
  </si>
  <si>
    <t>https://www.staples.com/Water-Recreation/cat_CL213826</t>
  </si>
  <si>
    <t>Money Clips</t>
  </si>
  <si>
    <t>CL216981</t>
  </si>
  <si>
    <t>Gift Shop &gt; Professional Gifts &gt; Money Clips</t>
  </si>
  <si>
    <t>https://www.staples.com/Money-Clips/cat_CL216981</t>
  </si>
  <si>
    <t>Paperweights</t>
  </si>
  <si>
    <t>CL216977</t>
  </si>
  <si>
    <t>Gift Shop &gt; Professional Gifts &gt; Paperweights</t>
  </si>
  <si>
    <t>https://www.staples.com/Paperweights/cat_CL216977</t>
  </si>
  <si>
    <t>Wine Accessories</t>
  </si>
  <si>
    <t>CL206624</t>
  </si>
  <si>
    <t>Gift Shop &gt; Professional Gifts &gt; Wine Accessories</t>
  </si>
  <si>
    <t>https://www.staples.com/Wine-Accessories/cat_CL206624</t>
  </si>
  <si>
    <t>https://www.staples.com/Stationery/cat_CL164333</t>
  </si>
  <si>
    <t>Table Tents</t>
  </si>
  <si>
    <t>CL206126</t>
  </si>
  <si>
    <t>Gift Shop &gt; Table Tents</t>
  </si>
  <si>
    <t>https://www.staples.com/Table-Tents/cat_CL206126</t>
  </si>
  <si>
    <t>Wedding Invitations &amp; Kits</t>
  </si>
  <si>
    <t>CL163312</t>
  </si>
  <si>
    <t>Gift Shop &gt; Wedding Invitations &amp; Kits</t>
  </si>
  <si>
    <t>https://www.staples.com/Wedding-Invitations-Kits/cat_CL163312</t>
  </si>
  <si>
    <t>Hard Drives &amp; Data Storage</t>
  </si>
  <si>
    <t>Blank Media</t>
  </si>
  <si>
    <t>CL142807</t>
  </si>
  <si>
    <t>Hard Drives &amp; Data Storage &gt; Blank Media</t>
  </si>
  <si>
    <t>https://www.staples.com/Blank-Media/cat_CL142807</t>
  </si>
  <si>
    <t>Disc Drives &amp; Burners</t>
  </si>
  <si>
    <t>CL142594</t>
  </si>
  <si>
    <t>Hard Drives &amp; Data Storage &gt; Disc Drives &amp; Burners</t>
  </si>
  <si>
    <t>https://www.staples.com/Disc-Drives-Burners/cat_CL142594</t>
  </si>
  <si>
    <t>Disc Duplicators</t>
  </si>
  <si>
    <t>CL163235</t>
  </si>
  <si>
    <t>Hard Drives &amp; Data Storage &gt; Disc Duplicators</t>
  </si>
  <si>
    <t>https://www.staples.com/Disc-Duplicators/cat_CL163235</t>
  </si>
  <si>
    <t>External Hard Drives</t>
  </si>
  <si>
    <t>CL160403</t>
  </si>
  <si>
    <t>Hard Drives &amp; Data Storage &gt; External Hard Drives</t>
  </si>
  <si>
    <t>https://www.staples.com/External-Hard-Drives/cat_CL160403</t>
  </si>
  <si>
    <t>Hard Drive Accessories</t>
  </si>
  <si>
    <t>CL165255</t>
  </si>
  <si>
    <t>Hard Drives &amp; Data Storage &gt; Hard Drive Accessories</t>
  </si>
  <si>
    <t>https://www.staples.com/Hard-Drive-Accessories/cat_CL165255</t>
  </si>
  <si>
    <t>Hard Drive Enclosures</t>
  </si>
  <si>
    <t>CL167415</t>
  </si>
  <si>
    <t>Hard Drives &amp; Data Storage &gt; Hard Drive Enclosures</t>
  </si>
  <si>
    <t>https://www.staples.com/Hard-Drive-Enclosures/cat_CL167415</t>
  </si>
  <si>
    <t>Media Cases &amp; Wallets</t>
  </si>
  <si>
    <t>CL141009</t>
  </si>
  <si>
    <t>Hard Drives &amp; Data Storage &gt; Media Cases &amp; Wallets</t>
  </si>
  <si>
    <t>https://www.staples.com/Media-Cases-Wallets/cat_CL141009</t>
  </si>
  <si>
    <t>Memory Card Readers &amp; Adapters</t>
  </si>
  <si>
    <t>CL141727</t>
  </si>
  <si>
    <t>Hard Drives &amp; Data Storage &gt; Memory Card Readers &amp; Adapters</t>
  </si>
  <si>
    <t>https://www.staples.com/Memory-Card-Readers-Adapters/cat_CL141727</t>
  </si>
  <si>
    <t>Memory Cards</t>
  </si>
  <si>
    <t>CL142162</t>
  </si>
  <si>
    <t>Hard Drives &amp; Data Storage &gt; Memory Cards</t>
  </si>
  <si>
    <t>https://www.staples.com/Memory-Cards/cat_CL142162</t>
  </si>
  <si>
    <t>Solid State Drives</t>
  </si>
  <si>
    <t>CL163882</t>
  </si>
  <si>
    <t>Hard Drives &amp; Data Storage &gt; Solid State Drives</t>
  </si>
  <si>
    <t>https://www.staples.com/Solid-State-Drives/cat_CL163882</t>
  </si>
  <si>
    <t>USB Flash Drives</t>
  </si>
  <si>
    <t>CL142211</t>
  </si>
  <si>
    <t>Hard Drives &amp; Data Storage &gt; USB Flash Drives</t>
  </si>
  <si>
    <t>https://www.staples.com/USB-Flash-Drives/cat_CL142211</t>
  </si>
  <si>
    <t>Healthcare Supplies</t>
  </si>
  <si>
    <t>Durable Medical Equipment</t>
  </si>
  <si>
    <t>Hearing Aids</t>
  </si>
  <si>
    <t>CL215110</t>
  </si>
  <si>
    <t>Healthcare Supplies &gt; Durable Medical Equipment &gt; Hearing Aids</t>
  </si>
  <si>
    <t>https://www.staples.com/Hearing-Aids/cat_CL215110</t>
  </si>
  <si>
    <t>Mobility Aids</t>
  </si>
  <si>
    <t>Canes</t>
  </si>
  <si>
    <t>CL355003</t>
  </si>
  <si>
    <t>Healthcare Supplies &gt; Durable Medical Equipment &gt; Mobility Aids &gt; Canes</t>
  </si>
  <si>
    <t>https://www.staples.com/Canes/cat_CL355003</t>
  </si>
  <si>
    <t>Crutches</t>
  </si>
  <si>
    <t>CL355005</t>
  </si>
  <si>
    <t>Healthcare Supplies &gt; Durable Medical Equipment &gt; Mobility Aids &gt; Crutches</t>
  </si>
  <si>
    <t>https://www.staples.com/Crutches/cat_CL355005</t>
  </si>
  <si>
    <t>Mobility Aids Parts &amp; Accessories</t>
  </si>
  <si>
    <t>CL213660</t>
  </si>
  <si>
    <t>Healthcare Supplies &gt; Durable Medical Equipment &gt; Mobility Aids &gt; Mobility Aids Parts &amp; Accessories</t>
  </si>
  <si>
    <t>https://www.staples.com/Mobility-Aids-Parts-Accessories/cat_CL213660</t>
  </si>
  <si>
    <t>Motorized Scooters</t>
  </si>
  <si>
    <t>CL355006</t>
  </si>
  <si>
    <t>Healthcare Supplies &gt; Durable Medical Equipment &gt; Mobility Aids &gt; Motorized Scooters</t>
  </si>
  <si>
    <t>https://www.staples.com/Motorized-Scooters/cat_CL355006</t>
  </si>
  <si>
    <t>Reaching &amp; Extending Aids</t>
  </si>
  <si>
    <t>CL168389</t>
  </si>
  <si>
    <t>Healthcare Supplies &gt; Durable Medical Equipment &gt; Mobility Aids &gt; Reaching &amp; Extending Aids</t>
  </si>
  <si>
    <t>https://www.staples.com/Reaching-Extending-Aids/cat_CL168389</t>
  </si>
  <si>
    <t>Rollators &amp; Walkers</t>
  </si>
  <si>
    <t>CL355004</t>
  </si>
  <si>
    <t>Healthcare Supplies &gt; Durable Medical Equipment &gt; Mobility Aids &gt; Rollators &amp; Walkers</t>
  </si>
  <si>
    <t>https://www.staples.com/Rollators-Walkers/cat_CL355004</t>
  </si>
  <si>
    <t>Wheelchairs</t>
  </si>
  <si>
    <t>CL168364</t>
  </si>
  <si>
    <t>Healthcare Supplies &gt; Durable Medical Equipment &gt; Mobility Aids &gt; Wheelchairs</t>
  </si>
  <si>
    <t>https://www.staples.com/Wheelchairs/cat_CL168364</t>
  </si>
  <si>
    <t>Orthopedics</t>
  </si>
  <si>
    <t>Ankle &amp; Foot Supports</t>
  </si>
  <si>
    <t>CL168354</t>
  </si>
  <si>
    <t>Healthcare Supplies &gt; Durable Medical Equipment &gt; Orthopedics &gt; Ankle &amp; Foot Supports</t>
  </si>
  <si>
    <t>https://www.staples.com/Ankle-Foot-Supports/cat_CL168354</t>
  </si>
  <si>
    <t>Arm &amp; Elbow Supports</t>
  </si>
  <si>
    <t>CL168367</t>
  </si>
  <si>
    <t>Healthcare Supplies &gt; Durable Medical Equipment &gt; Orthopedics &gt; Arm &amp; Elbow Supports</t>
  </si>
  <si>
    <t>https://www.staples.com/Arm-Elbow-Supports/cat_CL168367</t>
  </si>
  <si>
    <t>Back &amp; Waist Supports</t>
  </si>
  <si>
    <t>CL168357</t>
  </si>
  <si>
    <t>Healthcare Supplies &gt; Durable Medical Equipment &gt; Orthopedics &gt; Back &amp; Waist Supports</t>
  </si>
  <si>
    <t>https://www.staples.com/Back-Waist-Supports/cat_CL168357</t>
  </si>
  <si>
    <t>Compression Socks &amp; Hosiery</t>
  </si>
  <si>
    <t>CL168353</t>
  </si>
  <si>
    <t>Healthcare Supplies &gt; Durable Medical Equipment &gt; Orthopedics &gt; Compression Socks &amp; Hosiery</t>
  </si>
  <si>
    <t>https://www.staples.com/Compression-Hosiery/cat_CL168353</t>
  </si>
  <si>
    <t>Knee &amp; Leg Supports</t>
  </si>
  <si>
    <t>CL168356</t>
  </si>
  <si>
    <t>Healthcare Supplies &gt; Durable Medical Equipment &gt; Orthopedics &gt; Knee &amp; Leg Supports</t>
  </si>
  <si>
    <t>https://www.staples.com/Knee-Leg-Supports/cat_CL168356</t>
  </si>
  <si>
    <t>Leg Walkers &amp; Boots</t>
  </si>
  <si>
    <t>CL168381</t>
  </si>
  <si>
    <t>Healthcare Supplies &gt; Durable Medical Equipment &gt; Orthopedics &gt; Leg Walkers &amp; Boots</t>
  </si>
  <si>
    <t>https://www.staples.com/Leg-Walkers-Boots/cat_CL168381</t>
  </si>
  <si>
    <t>Neck Supports</t>
  </si>
  <si>
    <t>CL168358</t>
  </si>
  <si>
    <t>Healthcare Supplies &gt; Durable Medical Equipment &gt; Orthopedics &gt; Neck Supports</t>
  </si>
  <si>
    <t>https://www.staples.com/Neck-Supports/cat_CL168358</t>
  </si>
  <si>
    <t>Post-Op Shoes</t>
  </si>
  <si>
    <t>CL168368</t>
  </si>
  <si>
    <t>Healthcare Supplies &gt; Durable Medical Equipment &gt; Orthopedics &gt; Post-Op Shoes</t>
  </si>
  <si>
    <t>https://www.staples.com/Post-Op-Shoes/cat_CL168368</t>
  </si>
  <si>
    <t>Shoulder &amp; Clavicle Supports</t>
  </si>
  <si>
    <t>CL168378</t>
  </si>
  <si>
    <t>Healthcare Supplies &gt; Durable Medical Equipment &gt; Orthopedics &gt; Shoulder &amp; Clavicle Supports</t>
  </si>
  <si>
    <t>https://www.staples.com/Shoulder-Clavicle-Supports/cat_CL168378</t>
  </si>
  <si>
    <t>Undercast Padding</t>
  </si>
  <si>
    <t>CL168474</t>
  </si>
  <si>
    <t>Healthcare Supplies &gt; Durable Medical Equipment &gt; Orthopedics &gt; Undercast Padding</t>
  </si>
  <si>
    <t>https://www.staples.com/Undercast-Padding/cat_CL168474</t>
  </si>
  <si>
    <t>Wrist &amp; Hand Supports</t>
  </si>
  <si>
    <t>CL168355</t>
  </si>
  <si>
    <t>Healthcare Supplies &gt; Durable Medical Equipment &gt; Orthopedics &gt; Wrist &amp; Hand Supports</t>
  </si>
  <si>
    <t>https://www.staples.com/Wrist-Hand-Supports/cat_CL168355</t>
  </si>
  <si>
    <t>Patient Lift &amp; Transfer</t>
  </si>
  <si>
    <t>Ramps</t>
  </si>
  <si>
    <t>CL211242</t>
  </si>
  <si>
    <t>Healthcare Supplies &gt; Durable Medical Equipment &gt; Patient Lift &amp; Transfer &gt; Ramps</t>
  </si>
  <si>
    <t>https://www.staples.com/Ramps/cat_CL211242</t>
  </si>
  <si>
    <t>Transfer Equipment</t>
  </si>
  <si>
    <t>CL168551</t>
  </si>
  <si>
    <t>Healthcare Supplies &gt; Durable Medical Equipment &gt; Patient Lift &amp; Transfer &gt; Transfer Equipment</t>
  </si>
  <si>
    <t>https://www.staples.com/Transfer-Equipment/cat_CL168551</t>
  </si>
  <si>
    <t>Positioning Aids &amp; Pressure Relief</t>
  </si>
  <si>
    <t>Invalid Rings</t>
  </si>
  <si>
    <t>CL355014</t>
  </si>
  <si>
    <t>Healthcare Supplies &gt; Durable Medical Equipment &gt; Positioning Aids &amp; Pressure Relief &gt; Invalid Rings</t>
  </si>
  <si>
    <t>https://www.staples.com/Invalid-Rings/cat_CL355014</t>
  </si>
  <si>
    <t>Wedges, Blocks &amp; Rolls</t>
  </si>
  <si>
    <t>CL168665</t>
  </si>
  <si>
    <t>Healthcare Supplies &gt; Durable Medical Equipment &gt; Positioning Aids &amp; Pressure Relief &gt; Wedges, Blocks &amp; Rolls</t>
  </si>
  <si>
    <t>https://www.staples.com/Wedges-Blocks-Rolls/cat_CL168665</t>
  </si>
  <si>
    <t>Wheelchair Seat &amp; Back Cushions</t>
  </si>
  <si>
    <t>CL168370</t>
  </si>
  <si>
    <t>Healthcare Supplies &gt; Durable Medical Equipment &gt; Positioning Aids &amp; Pressure Relief &gt; Wheelchair Seat &amp; Back Cushions</t>
  </si>
  <si>
    <t>https://www.staples.com/Wheelchair-Seat-Back-Cushions/cat_CL168370</t>
  </si>
  <si>
    <t>Shower &amp; Bath Aids</t>
  </si>
  <si>
    <t>Commodes</t>
  </si>
  <si>
    <t>CL168476</t>
  </si>
  <si>
    <t>Healthcare Supplies &gt; Durable Medical Equipment &gt; Shower &amp; Bath Aids &gt; Commodes</t>
  </si>
  <si>
    <t>https://www.staples.com/Commodes/cat_CL168476</t>
  </si>
  <si>
    <t>Grooming &amp; Dressing Aids</t>
  </si>
  <si>
    <t>CL168393</t>
  </si>
  <si>
    <t>Healthcare Supplies &gt; Durable Medical Equipment &gt; Shower &amp; Bath Aids &gt; Grooming &amp; Dressing Aids</t>
  </si>
  <si>
    <t>https://www.staples.com/Grooming-Dressing-Aids/cat_CL168393</t>
  </si>
  <si>
    <t>Raised Toilet Seats</t>
  </si>
  <si>
    <t>CL168534</t>
  </si>
  <si>
    <t>Healthcare Supplies &gt; Durable Medical Equipment &gt; Shower &amp; Bath Aids &gt; Raised Toilet Seats</t>
  </si>
  <si>
    <t>https://www.staples.com/Raised-Toilet-Seats/cat_CL168534</t>
  </si>
  <si>
    <t>Shower Chairs / Benches</t>
  </si>
  <si>
    <t>CL168536</t>
  </si>
  <si>
    <t>Healthcare Supplies &gt; Durable Medical Equipment &gt; Shower &amp; Bath Aids &gt; Shower Chairs / Benches</t>
  </si>
  <si>
    <t>https://www.staples.com/Shower-Chairs-Benches/cat_CL168536</t>
  </si>
  <si>
    <t>First Aid</t>
  </si>
  <si>
    <t>CPR Face Shields &amp; Masks</t>
  </si>
  <si>
    <t>CL168674</t>
  </si>
  <si>
    <t>Healthcare Supplies &gt; First Aid &gt; CPR Face Shields &amp; Masks</t>
  </si>
  <si>
    <t>https://www.staples.com/CPR-Face-Shields-Masks/cat_CL168674</t>
  </si>
  <si>
    <t>Defibrillators</t>
  </si>
  <si>
    <t>CL162006</t>
  </si>
  <si>
    <t>Healthcare Supplies &gt; First Aid &gt; Defibrillators</t>
  </si>
  <si>
    <t>https://www.staples.com/Defibrillators/cat_CL162006</t>
  </si>
  <si>
    <t>Emergency Preparedness</t>
  </si>
  <si>
    <t>CL164832</t>
  </si>
  <si>
    <t>Healthcare Supplies &gt; First Aid &gt; Emergency Preparedness</t>
  </si>
  <si>
    <t>https://www.staples.com/Emergency-Preparedness/cat_CL164832</t>
  </si>
  <si>
    <t>First Aid Kits</t>
  </si>
  <si>
    <t>CL80401</t>
  </si>
  <si>
    <t>Healthcare Supplies &gt; First Aid &gt; First Aid Kits</t>
  </si>
  <si>
    <t>https://www.staples.com/First-Aid-Kits/cat_CL80401</t>
  </si>
  <si>
    <t>First Aid, AED &amp; CPR Training &amp; Program Management</t>
  </si>
  <si>
    <t>CL354615</t>
  </si>
  <si>
    <t>Healthcare Supplies &gt; First Aid &gt; First Aid, AED &amp; CPR Training &amp; Program Management</t>
  </si>
  <si>
    <t>https://www.staples.com/First-Aid-AED-CPR-Training-Program-Management/cat_CL354615</t>
  </si>
  <si>
    <t>OTC Pharmaceuticals</t>
  </si>
  <si>
    <t>Hot &amp; Cold Therapy</t>
  </si>
  <si>
    <t>CL168507</t>
  </si>
  <si>
    <t>Healthcare Supplies &gt; OTC Pharmaceuticals &gt; Hot &amp; Cold Therapy</t>
  </si>
  <si>
    <t>https://www.staples.com/Hot-Cold-Therapy/cat_CL168507</t>
  </si>
  <si>
    <t>Medicine &amp; Vitamins</t>
  </si>
  <si>
    <t>Antacids</t>
  </si>
  <si>
    <t>CL168625</t>
  </si>
  <si>
    <t>Healthcare Supplies &gt; OTC Pharmaceuticals &gt; Medicine &amp; Vitamins &gt; Antacids</t>
  </si>
  <si>
    <t>https://www.staples.com/Antacids/cat_CL168625</t>
  </si>
  <si>
    <t>Anti-Nausea &amp; Digestive Aids</t>
  </si>
  <si>
    <t>CL168627</t>
  </si>
  <si>
    <t>Healthcare Supplies &gt; OTC Pharmaceuticals &gt; Medicine &amp; Vitamins &gt; Anti-Nausea &amp; Digestive Aids</t>
  </si>
  <si>
    <t>https://www.staples.com/Anti-Nausea/cat_CL168627</t>
  </si>
  <si>
    <t>Clinical Nutrition</t>
  </si>
  <si>
    <t>CL215686</t>
  </si>
  <si>
    <t>Healthcare Supplies &gt; OTC Pharmaceuticals &gt; Medicine &amp; Vitamins &gt; Clinical Nutrition</t>
  </si>
  <si>
    <t>https://www.staples.com/Clinical-Nutrition/cat_CL215686</t>
  </si>
  <si>
    <t>Cough, Cold, Flu &amp; Allergy</t>
  </si>
  <si>
    <t>CL168672</t>
  </si>
  <si>
    <t>Healthcare Supplies &gt; OTC Pharmaceuticals &gt; Medicine &amp; Vitamins &gt; Cough, Cold, Flu &amp; Allergy</t>
  </si>
  <si>
    <t>https://www.staples.com/Cough-Cold-Flu-Allergy/cat_CL168672</t>
  </si>
  <si>
    <t>Ear Drops &amp; Eye Drops</t>
  </si>
  <si>
    <t>CL168681</t>
  </si>
  <si>
    <t>Healthcare Supplies &gt; OTC Pharmaceuticals &gt; Medicine &amp; Vitamins &gt; Ear Drops &amp; Eye Drops</t>
  </si>
  <si>
    <t>https://www.staples.com/Ear-Drops-Eye-Drops/cat_CL168681</t>
  </si>
  <si>
    <t>Pain Relievers</t>
  </si>
  <si>
    <t>CL140891</t>
  </si>
  <si>
    <t>Healthcare Supplies &gt; OTC Pharmaceuticals &gt; Medicine &amp; Vitamins &gt; Pain Relievers</t>
  </si>
  <si>
    <t>https://www.staples.com/Pain-Relievers/cat_CL140891</t>
  </si>
  <si>
    <t>Pill Organizers &amp; Storage</t>
  </si>
  <si>
    <t>CL168725</t>
  </si>
  <si>
    <t>Healthcare Supplies &gt; OTC Pharmaceuticals &gt; Medicine &amp; Vitamins &gt; Pill Organizers &amp; Storage</t>
  </si>
  <si>
    <t>https://www.staples.com/Pill-Organizers-Storage/cat_CL168725</t>
  </si>
  <si>
    <t>Sleep Aids</t>
  </si>
  <si>
    <t>CL168791</t>
  </si>
  <si>
    <t>Healthcare Supplies &gt; OTC Pharmaceuticals &gt; Medicine &amp; Vitamins &gt; Sleep Aids</t>
  </si>
  <si>
    <t>https://www.staples.com/Sleep-Aids/cat_CL168791</t>
  </si>
  <si>
    <t>Stop Smoking Aids</t>
  </si>
  <si>
    <t>CL168798</t>
  </si>
  <si>
    <t>Healthcare Supplies &gt; OTC Pharmaceuticals &gt; Medicine &amp; Vitamins &gt; Stop Smoking Aids</t>
  </si>
  <si>
    <t>https://www.staples.com/Stop-Smoking-Aids/cat_CL168798</t>
  </si>
  <si>
    <t>Topical Pain Relief</t>
  </si>
  <si>
    <t>CL168459</t>
  </si>
  <si>
    <t>Healthcare Supplies &gt; OTC Pharmaceuticals &gt; Medicine &amp; Vitamins &gt; Topical Pain Relief</t>
  </si>
  <si>
    <t>https://www.staples.com/Hemorrhoid-Care/cat_CL168459</t>
  </si>
  <si>
    <t>Vitamins &amp; Supplements</t>
  </si>
  <si>
    <t>CL168726</t>
  </si>
  <si>
    <t>Healthcare Supplies &gt; OTC Pharmaceuticals &gt; Medicine &amp; Vitamins &gt; Vitamins &amp; Supplements</t>
  </si>
  <si>
    <t>https://www.staples.com/Multi-Vitamins/cat_CL168726</t>
  </si>
  <si>
    <t>Patient Care</t>
  </si>
  <si>
    <t>Beds &amp; Bedside Care</t>
  </si>
  <si>
    <t>Bedpans &amp; Portable Urinals</t>
  </si>
  <si>
    <t>CL168375</t>
  </si>
  <si>
    <t>Healthcare Supplies &gt; Patient Care &gt; Beds &amp; Bedside Care &gt; Bedpans &amp; Portable Urinals</t>
  </si>
  <si>
    <t>https://www.staples.com/Bedpans-Portable-Urinals/cat_CL168375</t>
  </si>
  <si>
    <t>Disposable Medical &amp; Dental Cups</t>
  </si>
  <si>
    <t>CL168668</t>
  </si>
  <si>
    <t>Healthcare Supplies &gt; Patient Care &gt; Beds &amp; Bedside Care &gt; Disposable Medical &amp; Dental Cups</t>
  </si>
  <si>
    <t>https://www.staples.com/Disposable-Medical-Dental-Cups/cat_CL168668</t>
  </si>
  <si>
    <t>Emesis Bags &amp; Basins</t>
  </si>
  <si>
    <t>CL168661</t>
  </si>
  <si>
    <t>Healthcare Supplies &gt; Patient Care &gt; Beds &amp; Bedside Care &gt; Emesis Bags &amp; Basins</t>
  </si>
  <si>
    <t>https://www.staples.com/Emesis-Bags-Basins/cat_CL168661</t>
  </si>
  <si>
    <t>Hospital Mattresses</t>
  </si>
  <si>
    <t>CL168615</t>
  </si>
  <si>
    <t>Healthcare Supplies &gt; Patient Care &gt; Beds &amp; Bedside Care &gt; Hospital Mattresses</t>
  </si>
  <si>
    <t>https://www.staples.com/Hospital-Mattresses/cat_CL168615</t>
  </si>
  <si>
    <t>Mattress Overlays</t>
  </si>
  <si>
    <t>CL168614</t>
  </si>
  <si>
    <t>Healthcare Supplies &gt; Patient Care &gt; Beds &amp; Bedside Care &gt; Mattress Overlays</t>
  </si>
  <si>
    <t>https://www.staples.com/Mattress-Overlays/cat_CL168614</t>
  </si>
  <si>
    <t>Medical Bed Parts</t>
  </si>
  <si>
    <t>CL168611</t>
  </si>
  <si>
    <t>Healthcare Supplies &gt; Patient Care &gt; Beds &amp; Bedside Care &gt; Medical Bed Parts</t>
  </si>
  <si>
    <t>https://www.staples.com/Medical-Bed-Parts/cat_CL168611</t>
  </si>
  <si>
    <t>Overbed Tables</t>
  </si>
  <si>
    <t>CL168747</t>
  </si>
  <si>
    <t>Healthcare Supplies &gt; Patient Care &gt; Beds &amp; Bedside Care &gt; Overbed Tables</t>
  </si>
  <si>
    <t>https://www.staples.com/Overbed-Tables/cat_CL168747</t>
  </si>
  <si>
    <t>Patient Belonging Bags</t>
  </si>
  <si>
    <t>CL168759</t>
  </si>
  <si>
    <t>Healthcare Supplies &gt; Patient Care &gt; Beds &amp; Bedside Care &gt; Patient Belonging Bags</t>
  </si>
  <si>
    <t>https://www.staples.com/Patient-Belonging-Bags/cat_CL168759</t>
  </si>
  <si>
    <t>Patient Privacy Screens</t>
  </si>
  <si>
    <t>CL168765</t>
  </si>
  <si>
    <t>Healthcare Supplies &gt; Patient Care &gt; Beds &amp; Bedside Care &gt; Patient Privacy Screens</t>
  </si>
  <si>
    <t>https://www.staples.com/Patient-Privacy-Screens/cat_CL168765</t>
  </si>
  <si>
    <t>Washbasins</t>
  </si>
  <si>
    <t>CL168823</t>
  </si>
  <si>
    <t>Healthcare Supplies &gt; Patient Care &gt; Beds &amp; Bedside Care &gt; Washbasins</t>
  </si>
  <si>
    <t>https://www.staples.com/Washbasins/cat_CL168823</t>
  </si>
  <si>
    <t>Diagnostic &amp; Exam Instruments</t>
  </si>
  <si>
    <t>Blood Pressure Monitors</t>
  </si>
  <si>
    <t>CL162004</t>
  </si>
  <si>
    <t>Healthcare Supplies &gt; Patient Care &gt; Diagnostic &amp; Exam Instruments &gt; Blood Pressure Monitors</t>
  </si>
  <si>
    <t>https://www.staples.com/Blood-Pressure-Monitors/cat_CL162004</t>
  </si>
  <si>
    <t>Glucose Meters &amp; Accessories</t>
  </si>
  <si>
    <t>CL168699</t>
  </si>
  <si>
    <t>Healthcare Supplies &gt; Patient Care &gt; Diagnostic &amp; Exam Instruments &gt; Glucose Meters &amp; Accessories</t>
  </si>
  <si>
    <t>https://www.staples.com/Glucose-Meters-Accessories/cat_CL168699</t>
  </si>
  <si>
    <t>Health &amp; Body Weight Scales</t>
  </si>
  <si>
    <t>CL167416</t>
  </si>
  <si>
    <t>Healthcare Supplies &gt; Patient Care &gt; Diagnostic &amp; Exam Instruments &gt; Health &amp; Body Weight Scales</t>
  </si>
  <si>
    <t>https://www.staples.com/Health-Body-Weight-Scales/cat_CL167416</t>
  </si>
  <si>
    <t>Medical Scissors &amp; Shears</t>
  </si>
  <si>
    <t>CL354958</t>
  </si>
  <si>
    <t>Healthcare Supplies &gt; Patient Care &gt; Diagnostic &amp; Exam Instruments &gt; Medical Scissors &amp; Shears</t>
  </si>
  <si>
    <t>https://www.staples.com/Medical-Scissors-Shears/cat_CL354958</t>
  </si>
  <si>
    <t>Monitoring Equipment</t>
  </si>
  <si>
    <t>CL214610</t>
  </si>
  <si>
    <t>Healthcare Supplies &gt; Patient Care &gt; Diagnostic &amp; Exam Instruments &gt; Monitoring Equipment</t>
  </si>
  <si>
    <t>https://www.staples.com/Monitoring-Equipment/cat_CL214610</t>
  </si>
  <si>
    <t>Neurological &amp; Sensory Instruments</t>
  </si>
  <si>
    <t>CL168761</t>
  </si>
  <si>
    <t>Healthcare Supplies &gt; Patient Care &gt; Diagnostic &amp; Exam Instruments &gt; Neurological &amp; Sensory Instruments</t>
  </si>
  <si>
    <t>https://www.staples.com/Neurological-Sensory-Instruments/cat_CL168761</t>
  </si>
  <si>
    <t>Otoscopes &amp; Ophthalmoscopes</t>
  </si>
  <si>
    <t>CL168691</t>
  </si>
  <si>
    <t>Healthcare Supplies &gt; Patient Care &gt; Diagnostic &amp; Exam Instruments &gt; Otoscopes &amp; Ophthalmoscopes</t>
  </si>
  <si>
    <t>https://www.staples.com/Otoscopes-Ophthalmoscopes/cat_CL168691</t>
  </si>
  <si>
    <t>Oximeters</t>
  </si>
  <si>
    <t>CL168748</t>
  </si>
  <si>
    <t>Healthcare Supplies &gt; Patient Care &gt; Diagnostic &amp; Exam Instruments &gt; Oximeters</t>
  </si>
  <si>
    <t>https://www.staples.com/Oximeters/cat_CL168748</t>
  </si>
  <si>
    <t>Stethoscopes</t>
  </si>
  <si>
    <t>CL162003</t>
  </si>
  <si>
    <t>Healthcare Supplies &gt; Patient Care &gt; Diagnostic &amp; Exam Instruments &gt; Stethoscopes</t>
  </si>
  <si>
    <t>https://www.staples.com/Stethoscopes/cat_CL162003</t>
  </si>
  <si>
    <t>Testing Kits</t>
  </si>
  <si>
    <t>CL168807</t>
  </si>
  <si>
    <t>Healthcare Supplies &gt; Patient Care &gt; Diagnostic &amp; Exam Instruments &gt; Testing Kits</t>
  </si>
  <si>
    <t>https://www.staples.com/Testing-Kits/cat_CL168807</t>
  </si>
  <si>
    <t>Tweezers</t>
  </si>
  <si>
    <t>CL165761</t>
  </si>
  <si>
    <t>Healthcare Supplies &gt; Patient Care &gt; Diagnostic &amp; Exam Instruments &gt; Tweezers</t>
  </si>
  <si>
    <t>https://www.staples.com/Tweezers/cat_CL165761</t>
  </si>
  <si>
    <t>Exam Room Supplies &amp; Equipment</t>
  </si>
  <si>
    <t>Cotton Balls</t>
  </si>
  <si>
    <t>CL168478</t>
  </si>
  <si>
    <t>Healthcare Supplies &gt; Patient Care &gt; Exam Room Supplies &amp; Equipment &gt; Cotton Balls</t>
  </si>
  <si>
    <t>https://www.staples.com/Cotton-Balls/cat_CL168478</t>
  </si>
  <si>
    <t>Cotton Tipped Applicators</t>
  </si>
  <si>
    <t>CL168480</t>
  </si>
  <si>
    <t>Healthcare Supplies &gt; Patient Care &gt; Exam Room Supplies &amp; Equipment &gt; Cotton Tipped Applicators</t>
  </si>
  <si>
    <t>https://www.staples.com/Cotton-Tipped-Applicators/cat_CL168480</t>
  </si>
  <si>
    <t>Disposable Linens &amp; Pillows</t>
  </si>
  <si>
    <t>CL168613</t>
  </si>
  <si>
    <t>Healthcare Supplies &gt; Patient Care &gt; Exam Room Supplies &amp; Equipment &gt; Disposable Linens &amp; Pillows</t>
  </si>
  <si>
    <t>https://www.staples.com/Disposable-Linens-Pillows/cat_CL168613</t>
  </si>
  <si>
    <t>Exam Room Status Flags</t>
  </si>
  <si>
    <t>CL162013</t>
  </si>
  <si>
    <t>Healthcare Supplies &gt; Patient Care &gt; Exam Room Supplies &amp; Equipment &gt; Exam Room Status Flags</t>
  </si>
  <si>
    <t>https://www.staples.com/Exam-Room-Status-Flags/cat_CL162013</t>
  </si>
  <si>
    <t>Exam Table Paper</t>
  </si>
  <si>
    <t>CL161993</t>
  </si>
  <si>
    <t>Healthcare Supplies &gt; Patient Care &gt; Exam Room Supplies &amp; Equipment &gt; Exam Table Paper</t>
  </si>
  <si>
    <t>https://www.staples.com/Exam-Table-Paper/cat_CL161993</t>
  </si>
  <si>
    <t>Forceps &amp; Clamps</t>
  </si>
  <si>
    <t>CL214595</t>
  </si>
  <si>
    <t>Healthcare Supplies &gt; Patient Care &gt; Exam Room Supplies &amp; Equipment &gt; Forceps &amp; Clamps</t>
  </si>
  <si>
    <t>https://www.staples.com/Forceps-Clamps/cat_CL214595</t>
  </si>
  <si>
    <t>Healthcare Dispensers</t>
  </si>
  <si>
    <t>CL350725</t>
  </si>
  <si>
    <t>Healthcare Supplies &gt; Patient Care &gt; Exam Room Supplies &amp; Equipment &gt; Healthcare Dispensers</t>
  </si>
  <si>
    <t>https://www.staples.com/Healthcare-Dispensers/cat_CL350725</t>
  </si>
  <si>
    <t>IV Poles</t>
  </si>
  <si>
    <t>CL168717</t>
  </si>
  <si>
    <t>Healthcare Supplies &gt; Patient Care &gt; Exam Room Supplies &amp; Equipment &gt; IV Poles</t>
  </si>
  <si>
    <t>https://www.staples.com/IV-Poles/cat_CL168717</t>
  </si>
  <si>
    <t>Lubricating Jelly</t>
  </si>
  <si>
    <t>CL168723</t>
  </si>
  <si>
    <t>Healthcare Supplies &gt; Patient Care &gt; Exam Room Supplies &amp; Equipment &gt; Lubricating Jelly</t>
  </si>
  <si>
    <t>https://www.staples.com/Lubricating-Jelly/cat_CL168723</t>
  </si>
  <si>
    <t>Medical Drapes &amp; Covers</t>
  </si>
  <si>
    <t>CL168799</t>
  </si>
  <si>
    <t>Healthcare Supplies &gt; Patient Care &gt; Exam Room Supplies &amp; Equipment &gt; Medical Drapes &amp; Covers</t>
  </si>
  <si>
    <t>https://www.staples.com/Medical-Drapes-Covers/cat_CL168799</t>
  </si>
  <si>
    <t>Minor Procedure Trays</t>
  </si>
  <si>
    <t>CL168520</t>
  </si>
  <si>
    <t>Healthcare Supplies &gt; Patient Care &gt; Exam Room Supplies &amp; Equipment &gt; Minor Procedure Trays</t>
  </si>
  <si>
    <t>https://www.staples.com/Minor-Procedure-Trays/cat_CL168520</t>
  </si>
  <si>
    <t>Procedure Towels</t>
  </si>
  <si>
    <t>CL168743</t>
  </si>
  <si>
    <t>Healthcare Supplies &gt; Patient Care &gt; Exam Room Supplies &amp; Equipment &gt; Procedure Towels</t>
  </si>
  <si>
    <t>https://www.staples.com/Procedure-Towels/cat_CL168743</t>
  </si>
  <si>
    <t>Scalpels</t>
  </si>
  <si>
    <t>CL168801</t>
  </si>
  <si>
    <t>Healthcare Supplies &gt; Patient Care &gt; Exam Room Supplies &amp; Equipment &gt; Scalpels</t>
  </si>
  <si>
    <t>https://www.staples.com/Scalpels/cat_CL168801</t>
  </si>
  <si>
    <t>Sharps Containers &amp; Wall Brackets</t>
  </si>
  <si>
    <t>CL168772</t>
  </si>
  <si>
    <t>Healthcare Supplies &gt; Patient Care &gt; Exam Room Supplies &amp; Equipment &gt; Sharps Containers &amp; Wall Brackets</t>
  </si>
  <si>
    <t>https://www.staples.com/Sharps-Containers-Wall-Brackets/cat_CL168772</t>
  </si>
  <si>
    <t>Specimen Collection</t>
  </si>
  <si>
    <t>CL168793</t>
  </si>
  <si>
    <t>Healthcare Supplies &gt; Patient Care &gt; Exam Room Supplies &amp; Equipment &gt; Specimen Collection</t>
  </si>
  <si>
    <t>https://www.staples.com/Specimen-Collection/cat_CL168793</t>
  </si>
  <si>
    <t>Tongue Depressors</t>
  </si>
  <si>
    <t>CL162042</t>
  </si>
  <si>
    <t>Healthcare Supplies &gt; Patient Care &gt; Exam Room Supplies &amp; Equipment &gt; Tongue Depressors</t>
  </si>
  <si>
    <t>https://www.staples.com/Tongue-Depressors/cat_CL162042</t>
  </si>
  <si>
    <t>Ultrasound Gel &amp; Lotion</t>
  </si>
  <si>
    <t>CL168817</t>
  </si>
  <si>
    <t>Healthcare Supplies &gt; Patient Care &gt; Exam Room Supplies &amp; Equipment &gt; Ultrasound Gel &amp; Lotion</t>
  </si>
  <si>
    <t>https://www.staples.com/Ultrasound-Gel-Lotion/cat_CL168817</t>
  </si>
  <si>
    <t>Feeding Tubes &amp; Nutrients</t>
  </si>
  <si>
    <t>Eating &amp; Drinking Aids</t>
  </si>
  <si>
    <t>CL168386</t>
  </si>
  <si>
    <t>Healthcare Supplies &gt; Patient Care &gt; Feeding Tubes &amp; Nutrients &gt; Eating &amp; Drinking Aids</t>
  </si>
  <si>
    <t>https://www.staples.com/Eating-Drinking-Aids/cat_CL168386</t>
  </si>
  <si>
    <t>Food &amp; Beverage Thickeners</t>
  </si>
  <si>
    <t>CL168697</t>
  </si>
  <si>
    <t>Healthcare Supplies &gt; Patient Care &gt; Feeding Tubes &amp; Nutrients &gt; Food &amp; Beverage Thickeners</t>
  </si>
  <si>
    <t>https://www.staples.com/Food-Beverage-Thickeners/cat_CL168697</t>
  </si>
  <si>
    <t>Medical Practice Furniture</t>
  </si>
  <si>
    <t>Exam Room Tables</t>
  </si>
  <si>
    <t>CL214622</t>
  </si>
  <si>
    <t>Healthcare Supplies &gt; Patient Care &gt; Medical Practice Furniture &gt; Exam Room Tables</t>
  </si>
  <si>
    <t>https://www.staples.com/Exam-Room-Tables/cat_CL214622</t>
  </si>
  <si>
    <t>Medical Cabinets</t>
  </si>
  <si>
    <t>CL355141</t>
  </si>
  <si>
    <t>Healthcare Supplies &gt; Patient Care &gt; Medical Practice Furniture &gt; Medical Cabinets</t>
  </si>
  <si>
    <t>https://www.staples.com/Medical-Cabinets/cat_CL355141</t>
  </si>
  <si>
    <t>Medical Instrument Stands &amp; Trays</t>
  </si>
  <si>
    <t>CL214624</t>
  </si>
  <si>
    <t>Healthcare Supplies &gt; Patient Care &gt; Medical Practice Furniture &gt; Medical Instrument Stands &amp; Trays</t>
  </si>
  <si>
    <t>https://www.staples.com/Medical-Instrument-Stands-Trays/cat_CL214624</t>
  </si>
  <si>
    <t>Phlebotomy Chairs</t>
  </si>
  <si>
    <t>CL354969</t>
  </si>
  <si>
    <t>Healthcare Supplies &gt; Patient Care &gt; Medical Practice Furniture &gt; Phlebotomy Chairs</t>
  </si>
  <si>
    <t>https://www.staples.com/Phlebotomy-Chairs/cat_CL354969</t>
  </si>
  <si>
    <t>Practice Front Desk Supplies</t>
  </si>
  <si>
    <t>Medical Take Home Bags</t>
  </si>
  <si>
    <t>CL354973</t>
  </si>
  <si>
    <t>Healthcare Supplies &gt; Patient Care &gt; Practice Front Desk Supplies &gt; Medical Take Home Bags</t>
  </si>
  <si>
    <t>https://www.staples.com/Medical-Take-Home-Bags/cat_CL354973</t>
  </si>
  <si>
    <t>Patient ID Bands</t>
  </si>
  <si>
    <t>CL168706</t>
  </si>
  <si>
    <t>Healthcare Supplies &gt; Patient Care &gt; Practice Front Desk Supplies &gt; Patient ID Bands</t>
  </si>
  <si>
    <t>https://www.staples.com/Patient-ID-Bands/cat_CL168706</t>
  </si>
  <si>
    <t>Personal Care Kits</t>
  </si>
  <si>
    <t>CL168616</t>
  </si>
  <si>
    <t>Healthcare Supplies &gt; Patient Care &gt; Practice Front Desk Supplies &gt; Personal Care Kits</t>
  </si>
  <si>
    <t>https://www.staples.com/Personal-Care-Kits/cat_CL168616</t>
  </si>
  <si>
    <t>Respiratory Therapy</t>
  </si>
  <si>
    <t>Aerosol Therapy</t>
  </si>
  <si>
    <t>CL168642</t>
  </si>
  <si>
    <t>Healthcare Supplies &gt; Patient Care &gt; Respiratory Therapy &gt; Aerosol Therapy</t>
  </si>
  <si>
    <t>https://www.staples.com/Aerosol-Therapy/cat_CL168642</t>
  </si>
  <si>
    <t>Oxygen Therapy</t>
  </si>
  <si>
    <t>CL168753</t>
  </si>
  <si>
    <t>Healthcare Supplies &gt; Patient Care &gt; Respiratory Therapy &gt; Oxygen Therapy</t>
  </si>
  <si>
    <t>https://www.staples.com/Oxygen-Therapy/cat_CL168753</t>
  </si>
  <si>
    <t>Tracheostomy Care</t>
  </si>
  <si>
    <t>CL168814</t>
  </si>
  <si>
    <t>Healthcare Supplies &gt; Patient Care &gt; Respiratory Therapy &gt; Tracheostomy Care</t>
  </si>
  <si>
    <t>https://www.staples.com/Tracheostomy-Care/cat_CL168814</t>
  </si>
  <si>
    <t>Urology &amp; Ostomy</t>
  </si>
  <si>
    <t>Catheter Securement Devices</t>
  </si>
  <si>
    <t>CL168669</t>
  </si>
  <si>
    <t>Healthcare Supplies &gt; Patient Care &gt; Urology &amp; Ostomy &gt; Catheter Securement Devices</t>
  </si>
  <si>
    <t>https://www.staples.com/Catheter-Securement-Devices/cat_CL168669</t>
  </si>
  <si>
    <t>Ostomy Pouches &amp; Barriers</t>
  </si>
  <si>
    <t>CL354972</t>
  </si>
  <si>
    <t>Healthcare Supplies &gt; Patient Care &gt; Urology &amp; Ostomy &gt; Ostomy Pouches &amp; Barriers</t>
  </si>
  <si>
    <t>https://www.staples.com/Ostomy-Pouches-Barriers/cat_CL354972</t>
  </si>
  <si>
    <t>Personal Care</t>
  </si>
  <si>
    <t>Baby Care</t>
  </si>
  <si>
    <t>Baby Diapers</t>
  </si>
  <si>
    <t>CL210534</t>
  </si>
  <si>
    <t>Healthcare Supplies &gt; Personal Care &gt; Baby Care &gt; Baby Diapers</t>
  </si>
  <si>
    <t>https://www.staples.com/Baby-Diapers/cat_CL210534</t>
  </si>
  <si>
    <t>Baby Formula</t>
  </si>
  <si>
    <t>CL168707</t>
  </si>
  <si>
    <t>Healthcare Supplies &gt; Personal Care &gt; Baby Care &gt; Baby Formula</t>
  </si>
  <si>
    <t>https://www.staples.com/Baby-Formula/cat_CL168707</t>
  </si>
  <si>
    <t>Baby Skin Care</t>
  </si>
  <si>
    <t>CL168462</t>
  </si>
  <si>
    <t>Healthcare Supplies &gt; Personal Care &gt; Baby Care &gt; Baby Skin Care</t>
  </si>
  <si>
    <t>https://www.staples.com/Baby-Skin-Care/cat_CL168462</t>
  </si>
  <si>
    <t>Baby Wipes</t>
  </si>
  <si>
    <t>CL168481</t>
  </si>
  <si>
    <t>Healthcare Supplies &gt; Personal Care &gt; Baby Care &gt; Baby Wipes</t>
  </si>
  <si>
    <t>https://www.staples.com/Baby-Wipes/cat_CL168481</t>
  </si>
  <si>
    <t>Youth Feeding Supplies</t>
  </si>
  <si>
    <t>CL213829</t>
  </si>
  <si>
    <t>Healthcare Supplies &gt; Personal Care &gt; Baby Care &gt; Youth Feeding Supplies</t>
  </si>
  <si>
    <t>https://www.staples.com/Youth-Feeding-Supplies/cat_CL213829</t>
  </si>
  <si>
    <t>Incontinence</t>
  </si>
  <si>
    <t>Adult Briefs</t>
  </si>
  <si>
    <t>CL168362</t>
  </si>
  <si>
    <t>Healthcare Supplies &gt; Personal Care &gt; Incontinence &gt; Adult Briefs</t>
  </si>
  <si>
    <t>https://www.staples.com/Adult-Briefs/cat_CL168362</t>
  </si>
  <si>
    <t>Incontinence Liners &amp; Pads</t>
  </si>
  <si>
    <t>CL168351</t>
  </si>
  <si>
    <t>Healthcare Supplies &gt; Personal Care &gt; Incontinence &gt; Incontinence Liners &amp; Pads</t>
  </si>
  <si>
    <t>https://www.staples.com/Liners-Pads/cat_CL168351</t>
  </si>
  <si>
    <t>Underpads</t>
  </si>
  <si>
    <t>CL355048</t>
  </si>
  <si>
    <t>Healthcare Supplies &gt; Personal Care &gt; Incontinence &gt; Underpads</t>
  </si>
  <si>
    <t>https://www.staples.com/Underpads/cat_CL355048</t>
  </si>
  <si>
    <t>Maternity</t>
  </si>
  <si>
    <t>Maternity Belts</t>
  </si>
  <si>
    <t>CL168517</t>
  </si>
  <si>
    <t>Healthcare Supplies &gt; Personal Care &gt; Maternity &gt; Maternity Belts</t>
  </si>
  <si>
    <t>https://www.staples.com/Maternity-Belts/cat_CL168517</t>
  </si>
  <si>
    <t>Perineal Spray &amp; Wash</t>
  </si>
  <si>
    <t>CL168779</t>
  </si>
  <si>
    <t>Healthcare Supplies &gt; Personal Care &gt; Maternity &gt; Perineal Spray &amp; Wash</t>
  </si>
  <si>
    <t>https://www.staples.com/Perineal-Spray-Wash/cat_CL168779</t>
  </si>
  <si>
    <t>Period Care</t>
  </si>
  <si>
    <t>Menstrual Pads</t>
  </si>
  <si>
    <t>CL204639</t>
  </si>
  <si>
    <t>Healthcare Supplies &gt; Personal Care &gt; Period Care &gt; Menstrual Pads</t>
  </si>
  <si>
    <t>https://www.staples.com/Maxi-Pads/cat_CL204639</t>
  </si>
  <si>
    <t>Tampons</t>
  </si>
  <si>
    <t>CL164396</t>
  </si>
  <si>
    <t>Healthcare Supplies &gt; Personal Care &gt; Period Care &gt; Tampons</t>
  </si>
  <si>
    <t>https://www.staples.com/Tampons/cat_CL164396</t>
  </si>
  <si>
    <t>Skin Care</t>
  </si>
  <si>
    <t>Bath Soap &amp; Body Wash</t>
  </si>
  <si>
    <t>CL168776</t>
  </si>
  <si>
    <t>Healthcare Supplies &gt; Personal Care &gt; Skin Care &gt; Bath Soap &amp; Body Wash</t>
  </si>
  <si>
    <t>https://www.staples.com/Body-Soaps-Cleansers/cat_CL168776</t>
  </si>
  <si>
    <t>Body Powder</t>
  </si>
  <si>
    <t>CL168775</t>
  </si>
  <si>
    <t>Healthcare Supplies &gt; Personal Care &gt; Skin Care &gt; Body Powder</t>
  </si>
  <si>
    <t>https://www.staples.com/Body-Powder/cat_CL168775</t>
  </si>
  <si>
    <t>Cleanser</t>
  </si>
  <si>
    <t>CL214191</t>
  </si>
  <si>
    <t>Healthcare Supplies &gt; Personal Care &gt; Skin Care &gt; Cleanser</t>
  </si>
  <si>
    <t>https://www.staples.com/Cleanser/cat_CL214191</t>
  </si>
  <si>
    <t>Deodorant</t>
  </si>
  <si>
    <t>CL168676</t>
  </si>
  <si>
    <t>Healthcare Supplies &gt; Personal Care &gt; Skin Care &gt; Deodorant</t>
  </si>
  <si>
    <t>https://www.staples.com/Deodorant/cat_CL168676</t>
  </si>
  <si>
    <t>Disposable Washcloths &amp; Bathing Wipes</t>
  </si>
  <si>
    <t>CL168377</t>
  </si>
  <si>
    <t>Healthcare Supplies &gt; Personal Care &gt; Skin Care &gt; Disposable Washcloths &amp; Bathing Wipes</t>
  </si>
  <si>
    <t>https://www.staples.com/Disposable-Washcloths/cat_CL168377</t>
  </si>
  <si>
    <t>Epsom Salt</t>
  </si>
  <si>
    <t>CL168825</t>
  </si>
  <si>
    <t>Healthcare Supplies &gt; Personal Care &gt; Skin Care &gt; Epsom Salt</t>
  </si>
  <si>
    <t>https://www.staples.com/Epsom-Salt/cat_CL168825</t>
  </si>
  <si>
    <t>Lip Balm</t>
  </si>
  <si>
    <t>CL168328</t>
  </si>
  <si>
    <t>Healthcare Supplies &gt; Personal Care &gt; Skin Care &gt; Lip Balm</t>
  </si>
  <si>
    <t>https://www.staples.com/Lip-Balm/cat_CL168328</t>
  </si>
  <si>
    <t>Lotion &amp; Moisturizer</t>
  </si>
  <si>
    <t>CL168778</t>
  </si>
  <si>
    <t>Healthcare Supplies &gt; Personal Care &gt; Skin Care &gt; Lotion &amp; Moisturizer</t>
  </si>
  <si>
    <t>https://www.staples.com/Lotion-Moisturizer/cat_CL168778</t>
  </si>
  <si>
    <t>Skin Care Treatment</t>
  </si>
  <si>
    <t>CL214196</t>
  </si>
  <si>
    <t>Healthcare Supplies &gt; Personal Care &gt; Skin Care &gt; Skin Care Treatment</t>
  </si>
  <si>
    <t>https://www.staples.com/Skin-Care-Treatment/cat_CL214196</t>
  </si>
  <si>
    <t>Sunscreen &amp; Sunblock</t>
  </si>
  <si>
    <t>CL211018</t>
  </si>
  <si>
    <t>Healthcare Supplies &gt; Personal Care &gt; Skin Care &gt; Sunscreen &amp; Sunblock</t>
  </si>
  <si>
    <t>https://www.staples.com/Sunscreen-Sunblock/cat_CL211018</t>
  </si>
  <si>
    <t>Personal Dental Care</t>
  </si>
  <si>
    <t>Oral Care</t>
  </si>
  <si>
    <t>Dental Floss &amp; Flossers</t>
  </si>
  <si>
    <t>CL214525</t>
  </si>
  <si>
    <t>Healthcare Supplies &gt; Personal Dental Care &gt; Oral Care &gt; Dental Floss &amp; Flossers</t>
  </si>
  <si>
    <t>https://www.staples.com/Dental-Floss-Flossers/cat_CL214525</t>
  </si>
  <si>
    <t>Denture Care</t>
  </si>
  <si>
    <t>CL168387</t>
  </si>
  <si>
    <t>Healthcare Supplies &gt; Personal Dental Care &gt; Oral Care &gt; Denture Care</t>
  </si>
  <si>
    <t>https://www.staples.com/Denture-Care/cat_CL168387</t>
  </si>
  <si>
    <t>Mouthwashes &amp; Rinses</t>
  </si>
  <si>
    <t>CL214528</t>
  </si>
  <si>
    <t>Healthcare Supplies &gt; Personal Dental Care &gt; Oral Care &gt; Mouthwashes &amp; Rinses</t>
  </si>
  <si>
    <t>https://www.staples.com/Mouthwashes-Rinses/cat_CL214528</t>
  </si>
  <si>
    <t>Toothbrushes</t>
  </si>
  <si>
    <t>CL355074</t>
  </si>
  <si>
    <t>Healthcare Supplies &gt; Personal Dental Care &gt; Oral Care &gt; Toothbrushes</t>
  </si>
  <si>
    <t>https://www.staples.com/Toothbrushes/cat_CL355074</t>
  </si>
  <si>
    <t>Physical Therapy and Rehabilitation Equipment</t>
  </si>
  <si>
    <t>Electrodes &amp; TENS Units</t>
  </si>
  <si>
    <t>CL215270</t>
  </si>
  <si>
    <t>Healthcare Supplies &gt; Physical Therapy and Rehabilitation Equipment &gt; Electrodes &amp; TENS Units</t>
  </si>
  <si>
    <t>https://www.staples.com/Electrodes-TENS-Units/cat_CL215270</t>
  </si>
  <si>
    <t>Rehabilitation &amp; Therapeutic Equipment</t>
  </si>
  <si>
    <t>CL168396</t>
  </si>
  <si>
    <t>Healthcare Supplies &gt; Physical Therapy and Rehabilitation Equipment &gt; Rehabilitation &amp; Therapeutic Equipment</t>
  </si>
  <si>
    <t>https://www.staples.com/Rehabilitation-Therapeutic-Equipment/cat_CL168396</t>
  </si>
  <si>
    <t>Traction Therapy</t>
  </si>
  <si>
    <t>CL168397</t>
  </si>
  <si>
    <t>Healthcare Supplies &gt; Physical Therapy and Rehabilitation Equipment &gt; Traction Therapy</t>
  </si>
  <si>
    <t>https://www.staples.com/Traction-Therapy/cat_CL168397</t>
  </si>
  <si>
    <t>Professional Dental Supplies</t>
  </si>
  <si>
    <t>Dental Instruments</t>
  </si>
  <si>
    <t>Bracket Holders, Band Seaters &amp; Accessories</t>
  </si>
  <si>
    <t>CL214538</t>
  </si>
  <si>
    <t>Healthcare Supplies &gt; Professional Dental Supplies &gt; Dental Instruments &gt; Bracket Holders, Band Seaters &amp; Accessories</t>
  </si>
  <si>
    <t>https://www.staples.com/Bracket-Holders-Band-Seaters-Accessories/cat_CL214538</t>
  </si>
  <si>
    <t>Infection Prevention</t>
  </si>
  <si>
    <t>Dental Applicators &amp; Swabs</t>
  </si>
  <si>
    <t>CL214600</t>
  </si>
  <si>
    <t>Healthcare Supplies &gt; Professional Dental Supplies &gt; Infection Prevention &gt; Dental Applicators &amp; Swabs</t>
  </si>
  <si>
    <t>https://www.staples.com/Applicators-Swabs/cat_CL214600</t>
  </si>
  <si>
    <t>Wound Care</t>
  </si>
  <si>
    <t>Advanced Wound Care</t>
  </si>
  <si>
    <t>Alginate Dressings</t>
  </si>
  <si>
    <t>CL168487</t>
  </si>
  <si>
    <t>Healthcare Supplies &gt; Wound Care &gt; Advanced Wound Care &gt; Alginate Dressings</t>
  </si>
  <si>
    <t>https://www.staples.com/Alginate-Dressings/cat_CL168487</t>
  </si>
  <si>
    <t>Cast Protectors</t>
  </si>
  <si>
    <t>CL168475</t>
  </si>
  <si>
    <t>Healthcare Supplies &gt; Wound Care &gt; Advanced Wound Care &gt; Cast Protectors</t>
  </si>
  <si>
    <t>https://www.staples.com/Cast-Protectors/cat_CL168475</t>
  </si>
  <si>
    <t>Composite &amp; Island Dressings</t>
  </si>
  <si>
    <t>CL168489</t>
  </si>
  <si>
    <t>Healthcare Supplies &gt; Wound Care &gt; Advanced Wound Care &gt; Composite &amp; Island Dressings</t>
  </si>
  <si>
    <t>https://www.staples.com/Composite-Island-Dressings/cat_CL168489</t>
  </si>
  <si>
    <t>Foam Dressings</t>
  </si>
  <si>
    <t>CL354988</t>
  </si>
  <si>
    <t>Healthcare Supplies &gt; Wound Care &gt; Advanced Wound Care &gt; Foam Dressings</t>
  </si>
  <si>
    <t>https://www.staples.com/Foam-Dressings/cat_CL354988</t>
  </si>
  <si>
    <t>Protective Arm &amp; Leg Sleeves</t>
  </si>
  <si>
    <t>CL168493</t>
  </si>
  <si>
    <t>Healthcare Supplies &gt; Wound Care &gt; Advanced Wound Care &gt; Protective Arm &amp; Leg Sleeves</t>
  </si>
  <si>
    <t>https://www.staples.com/Protective-Sleeves/cat_CL168493</t>
  </si>
  <si>
    <t>Skin Protectants &amp; Barriers</t>
  </si>
  <si>
    <t>CL168781</t>
  </si>
  <si>
    <t>Healthcare Supplies &gt; Wound Care &gt; Advanced Wound Care &gt; Skin Protectants &amp; Barriers</t>
  </si>
  <si>
    <t>https://www.staples.com/Skin-Protectants-Barriers/cat_CL168781</t>
  </si>
  <si>
    <t>Tourniquets</t>
  </si>
  <si>
    <t>CL168720</t>
  </si>
  <si>
    <t>Healthcare Supplies &gt; Wound Care &gt; Advanced Wound Care &gt; Tourniquets</t>
  </si>
  <si>
    <t>https://www.staples.com/Tourniquets/cat_CL168720</t>
  </si>
  <si>
    <t>Wound Closure</t>
  </si>
  <si>
    <t>CL168554</t>
  </si>
  <si>
    <t>Healthcare Supplies &gt; Wound Care &gt; Advanced Wound Care &gt; Wound Closure</t>
  </si>
  <si>
    <t>https://www.staples.com/Wound-Closure/cat_CL168554</t>
  </si>
  <si>
    <t>Wound Measurement</t>
  </si>
  <si>
    <t>CL354993</t>
  </si>
  <si>
    <t>Healthcare Supplies &gt; Wound Care &gt; Advanced Wound Care &gt; Wound Measurement</t>
  </si>
  <si>
    <t>https://www.staples.com/Wound-Measurement/cat_CL354993</t>
  </si>
  <si>
    <t>Antiseptics &amp; Antibiotics</t>
  </si>
  <si>
    <t>Alcohol Pads</t>
  </si>
  <si>
    <t>CL168455</t>
  </si>
  <si>
    <t>Healthcare Supplies &gt; Wound Care &gt; Antiseptics &amp; Antibiotics &gt; Alcohol Pads</t>
  </si>
  <si>
    <t>https://www.staples.com/Alcohol-Pads/cat_CL168455</t>
  </si>
  <si>
    <t>Anti-Itch</t>
  </si>
  <si>
    <t>CL168458</t>
  </si>
  <si>
    <t>Healthcare Supplies &gt; Wound Care &gt; Antiseptics &amp; Antibiotics &gt; Anti-Itch</t>
  </si>
  <si>
    <t>https://www.staples.com/Anti-Itch/cat_CL168458</t>
  </si>
  <si>
    <t>Antibiotic Ointments</t>
  </si>
  <si>
    <t>CL168456</t>
  </si>
  <si>
    <t>Healthcare Supplies &gt; Wound Care &gt; Antiseptics &amp; Antibiotics &gt; Antibiotic Ointments</t>
  </si>
  <si>
    <t>https://www.staples.com/Antibiotic-Ointments/cat_CL168456</t>
  </si>
  <si>
    <t>Antiseptics</t>
  </si>
  <si>
    <t>CL168900</t>
  </si>
  <si>
    <t>Healthcare Supplies &gt; Wound Care &gt; Antiseptics &amp; Antibiotics &gt; Antiseptics</t>
  </si>
  <si>
    <t>https://www.staples.com/Antiseptics/cat_CL168900</t>
  </si>
  <si>
    <t>Burn Dressings</t>
  </si>
  <si>
    <t>CL168486</t>
  </si>
  <si>
    <t>Healthcare Supplies &gt; Wound Care &gt; Antiseptics &amp; Antibiotics &gt; Burn Dressings</t>
  </si>
  <si>
    <t>https://www.staples.com/Burn-Dressings/cat_CL168486</t>
  </si>
  <si>
    <t>Hydrogen Peroxide</t>
  </si>
  <si>
    <t>CL168453</t>
  </si>
  <si>
    <t>Healthcare Supplies &gt; Wound Care &gt; Antiseptics &amp; Antibiotics &gt; Hydrogen Peroxide</t>
  </si>
  <si>
    <t>https://www.staples.com/Hydrogen-Peroxide/cat_CL168453</t>
  </si>
  <si>
    <t>Isopropyl Rubbing Alcohol</t>
  </si>
  <si>
    <t>CL168454</t>
  </si>
  <si>
    <t>Healthcare Supplies &gt; Wound Care &gt; Antiseptics &amp; Antibiotics &gt; Isopropyl Rubbing Alcohol</t>
  </si>
  <si>
    <t>https://www.staples.com/Isopropyl-Rubbing-Alcohol/cat_CL168454</t>
  </si>
  <si>
    <t>Bandages</t>
  </si>
  <si>
    <t>Adhesive Bandages</t>
  </si>
  <si>
    <t>CL140885</t>
  </si>
  <si>
    <t>Healthcare Supplies &gt; Wound Care &gt; Bandages &gt; Adhesive Bandages</t>
  </si>
  <si>
    <t>https://www.staples.com/Adhesive-Bandages/cat_CL140885</t>
  </si>
  <si>
    <t>Cohesive Bandages</t>
  </si>
  <si>
    <t>CL354985</t>
  </si>
  <si>
    <t>Healthcare Supplies &gt; Wound Care &gt; Bandages &gt; Cohesive Bandages</t>
  </si>
  <si>
    <t>https://www.staples.com/Cohesive-Bandages/cat_CL354985</t>
  </si>
  <si>
    <t>Elastic Bandages</t>
  </si>
  <si>
    <t>CL168467</t>
  </si>
  <si>
    <t>Healthcare Supplies &gt; Wound Care &gt; Bandages &gt; Elastic Bandages</t>
  </si>
  <si>
    <t>https://www.staples.com/Elastic-Bandages/cat_CL168467</t>
  </si>
  <si>
    <t>Liquid Bandages</t>
  </si>
  <si>
    <t>CL168470</t>
  </si>
  <si>
    <t>Healthcare Supplies &gt; Wound Care &gt; Bandages &gt; Liquid Bandages</t>
  </si>
  <si>
    <t>https://www.staples.com/Liquid-Bandages/cat_CL168470</t>
  </si>
  <si>
    <t>Medical Tape</t>
  </si>
  <si>
    <t>CL168500</t>
  </si>
  <si>
    <t>Healthcare Supplies &gt; Wound Care &gt; Bandages &gt; Medical Tape</t>
  </si>
  <si>
    <t>https://www.staples.com/Medical-Tape/cat_CL168500</t>
  </si>
  <si>
    <t>Tubular Bandages &amp; Netting</t>
  </si>
  <si>
    <t>CL168463</t>
  </si>
  <si>
    <t>Healthcare Supplies &gt; Wound Care &gt; Bandages &gt; Tubular Bandages &amp; Netting</t>
  </si>
  <si>
    <t>https://www.staples.com/Tubular-Bandages-Netting/cat_CL168463</t>
  </si>
  <si>
    <t>Gauze</t>
  </si>
  <si>
    <t>Abdominal Pads</t>
  </si>
  <si>
    <t>CL168540</t>
  </si>
  <si>
    <t>Healthcare Supplies &gt; Wound Care &gt; Gauze &gt; Abdominal Pads</t>
  </si>
  <si>
    <t>https://www.staples.com/Abdominal-Pads/cat_CL168540</t>
  </si>
  <si>
    <t>Conforming &amp; Rolled Gauze</t>
  </si>
  <si>
    <t>CL354983</t>
  </si>
  <si>
    <t>Healthcare Supplies &gt; Wound Care &gt; Gauze &gt; Conforming &amp; Rolled Gauze</t>
  </si>
  <si>
    <t>https://www.staples.com/Conforming-Rolled-Gauze/cat_CL354983</t>
  </si>
  <si>
    <t>Gauze Pads &amp; Sponges</t>
  </si>
  <si>
    <t>CL168537</t>
  </si>
  <si>
    <t>Healthcare Supplies &gt; Wound Care &gt; Gauze &gt; Gauze Pads &amp; Sponges</t>
  </si>
  <si>
    <t>https://www.staples.com/Gauze-Pads-Sponges/cat_CL168537</t>
  </si>
  <si>
    <t>Laboratory &amp; Scientific Supplies</t>
  </si>
  <si>
    <t>Educational Materials &amp; Accessories</t>
  </si>
  <si>
    <t>CL215264</t>
  </si>
  <si>
    <t>Laboratory &amp; Scientific Supplies &gt; Educational Materials &amp; Accessories</t>
  </si>
  <si>
    <t>https://www.staples.com/Educational-Materials-Accessories/cat_CL215264</t>
  </si>
  <si>
    <t>Lab Furniture &amp; Fixtures</t>
  </si>
  <si>
    <t>Lab Cabinets</t>
  </si>
  <si>
    <t>CL350133</t>
  </si>
  <si>
    <t>Laboratory &amp; Scientific Supplies &gt; Lab Furniture &amp; Fixtures &gt; Lab Cabinets</t>
  </si>
  <si>
    <t>https://www.staples.com/Lab-Cabinets/cat_CL350133</t>
  </si>
  <si>
    <t>Lab Sinks &amp; Plumbing Apparatus</t>
  </si>
  <si>
    <t>CL215473</t>
  </si>
  <si>
    <t>Laboratory &amp; Scientific Supplies &gt; Lab Furniture &amp; Fixtures &gt; Lab Sinks &amp; Plumbing Apparatus</t>
  </si>
  <si>
    <t>https://www.staples.com/Lab-Sinks-Plumbing-Apparatus/cat_CL215473</t>
  </si>
  <si>
    <t>Lab Instruments &amp; Equipment</t>
  </si>
  <si>
    <t>Lab Notebooks, Recorders &amp; Dataloggers</t>
  </si>
  <si>
    <t>CL215478</t>
  </si>
  <si>
    <t>Laboratory &amp; Scientific Supplies &gt; Lab Instruments &amp; Equipment &gt; Lab Notebooks, Recorders &amp; Dataloggers</t>
  </si>
  <si>
    <t>https://www.staples.com/Lab-Notebooks-Recorders-Dataloggers/cat_CL215478</t>
  </si>
  <si>
    <t>Light Sources</t>
  </si>
  <si>
    <t>CL350163</t>
  </si>
  <si>
    <t>Laboratory &amp; Scientific Supplies &gt; Lab Instruments &amp; Equipment &gt; Light Sources</t>
  </si>
  <si>
    <t>https://www.staples.com/Light-Sources/cat_CL350163</t>
  </si>
  <si>
    <t>Microscopes, Magnification &amp; Accessories</t>
  </si>
  <si>
    <t>CL350166</t>
  </si>
  <si>
    <t>Laboratory &amp; Scientific Supplies &gt; Lab Instruments &amp; Equipment &gt; Microscopes, Magnification &amp; Accessories</t>
  </si>
  <si>
    <t>https://www.staples.com/Microscopes-Magnification-Accessories/cat_CL350166</t>
  </si>
  <si>
    <t>Refrigerators, Freezers &amp; Accessories</t>
  </si>
  <si>
    <t>CL215479</t>
  </si>
  <si>
    <t>Laboratory &amp; Scientific Supplies &gt; Lab Instruments &amp; Equipment &gt; Refrigerators, Freezers &amp; Accessories</t>
  </si>
  <si>
    <t>https://www.staples.com/Refrigerators-Freezers-Accessories/cat_CL215479</t>
  </si>
  <si>
    <t>Timers, Clocks &amp; Stopwatches</t>
  </si>
  <si>
    <t>CL215637</t>
  </si>
  <si>
    <t>Laboratory &amp; Scientific Supplies &gt; Lab Instruments &amp; Equipment &gt; Timers, Clocks &amp; Stopwatches</t>
  </si>
  <si>
    <t>https://www.staples.com/Timers-Clocks-Stopwatches/cat_CL215637</t>
  </si>
  <si>
    <t>Lab Safety</t>
  </si>
  <si>
    <t>Hazard Communications, Labels, Tags &amp; Signs</t>
  </si>
  <si>
    <t>CL350127</t>
  </si>
  <si>
    <t>Laboratory &amp; Scientific Supplies &gt; Lab Safety &gt; Hazard Communications, Labels, Tags &amp; Signs</t>
  </si>
  <si>
    <t>https://www.staples.com/Hazard-Communications-Labels-Tags-Signs/cat_CL350127</t>
  </si>
  <si>
    <t>Labware &amp; Consumables</t>
  </si>
  <si>
    <t>Caps &amp; Closures</t>
  </si>
  <si>
    <t>CL215254</t>
  </si>
  <si>
    <t>Laboratory &amp; Scientific Supplies &gt; Labware &amp; Consumables &gt; Caps &amp; Closures</t>
  </si>
  <si>
    <t>https://www.staples.com/Caps-Closures/cat_CL215254</t>
  </si>
  <si>
    <t>CL215421</t>
  </si>
  <si>
    <t>Laboratory &amp; Scientific Supplies &gt; Labware &amp; Consumables &gt; Cleaning Supplies</t>
  </si>
  <si>
    <t>https://www.staples.com/Cleaning-Supplies/cat_CL215421</t>
  </si>
  <si>
    <t>Lab Dispensers</t>
  </si>
  <si>
    <t>CL350125</t>
  </si>
  <si>
    <t>Laboratory &amp; Scientific Supplies &gt; Labware &amp; Consumables &gt; Lab Dispensers</t>
  </si>
  <si>
    <t>https://www.staples.com/Lab-Dispensers/cat_CL350125</t>
  </si>
  <si>
    <t>Racks, Baskets &amp; Boxes</t>
  </si>
  <si>
    <t>CL215261</t>
  </si>
  <si>
    <t>Laboratory &amp; Scientific Supplies &gt; Labware &amp; Consumables &gt; Racks, Baskets &amp; Boxes</t>
  </si>
  <si>
    <t>https://www.staples.com/Racks-Baskets-Boxes/cat_CL215261</t>
  </si>
  <si>
    <t>Networking &amp; WiFi</t>
  </si>
  <si>
    <t>Ethernet Switches</t>
  </si>
  <si>
    <t>CL165750</t>
  </si>
  <si>
    <t>Networking &amp; WiFi &gt; Ethernet Switches</t>
  </si>
  <si>
    <t>https://www.staples.com/Ethernet-Switches/cat_CL165750</t>
  </si>
  <si>
    <t>Firewall Devices</t>
  </si>
  <si>
    <t>CL166252</t>
  </si>
  <si>
    <t>Networking &amp; WiFi &gt; Firewall Devices</t>
  </si>
  <si>
    <t>https://www.staples.com/Firewall-Devices/cat_CL166252</t>
  </si>
  <si>
    <t>Mesh WiFi Systems</t>
  </si>
  <si>
    <t>CL220815</t>
  </si>
  <si>
    <t>Networking &amp; WiFi &gt; Mesh WiFi Systems</t>
  </si>
  <si>
    <t>https://www.staples.com/Mesh-WiFi-Systems/cat_CL220815</t>
  </si>
  <si>
    <t>Modem/Router Combos</t>
  </si>
  <si>
    <t>CL353965</t>
  </si>
  <si>
    <t>Networking &amp; WiFi &gt; Modem/Router Combos</t>
  </si>
  <si>
    <t>https://www.staples.com/Modem-Router-Combos/cat_CL353965</t>
  </si>
  <si>
    <t>Modems</t>
  </si>
  <si>
    <t>CL140458</t>
  </si>
  <si>
    <t>Networking &amp; WiFi &gt; Modems</t>
  </si>
  <si>
    <t>https://www.staples.com/Modems/cat_CL140458</t>
  </si>
  <si>
    <t>Network Adapters</t>
  </si>
  <si>
    <t>CL167422</t>
  </si>
  <si>
    <t>Networking &amp; WiFi &gt; Network Adapters</t>
  </si>
  <si>
    <t>https://www.staples.com/Network-Adapters/cat_CL167422</t>
  </si>
  <si>
    <t>Network Testing Tools</t>
  </si>
  <si>
    <t>CL168998</t>
  </si>
  <si>
    <t>Networking &amp; WiFi &gt; Network Testing Tools</t>
  </si>
  <si>
    <t>https://www.staples.com/Network-Testing-Tools/cat_CL168998</t>
  </si>
  <si>
    <t>Network Transceivers</t>
  </si>
  <si>
    <t>CL168260</t>
  </si>
  <si>
    <t>Networking &amp; WiFi &gt; Network Transceivers</t>
  </si>
  <si>
    <t>https://www.staples.com/Network-Transceivers/cat_CL168260</t>
  </si>
  <si>
    <t>Networking Accessories</t>
  </si>
  <si>
    <t>CL165822</t>
  </si>
  <si>
    <t>Networking &amp; WiFi &gt; Networking Accessories</t>
  </si>
  <si>
    <t>https://www.staples.com/Networking-Accessories/cat_CL165822</t>
  </si>
  <si>
    <t>Routers</t>
  </si>
  <si>
    <t>CL165749</t>
  </si>
  <si>
    <t>Networking &amp; WiFi &gt; Routers</t>
  </si>
  <si>
    <t>https://www.staples.com/Routers/cat_CL165749</t>
  </si>
  <si>
    <t>WiFi Extenders &amp; Repeaters</t>
  </si>
  <si>
    <t>CL160118</t>
  </si>
  <si>
    <t>Networking &amp; WiFi &gt; WiFi Extenders &amp; Repeaters</t>
  </si>
  <si>
    <t>https://www.staples.com/WiFi-Extenders-Repeaters/cat_CL160118</t>
  </si>
  <si>
    <t>Wireless Access Points</t>
  </si>
  <si>
    <t>CL215781</t>
  </si>
  <si>
    <t>Networking &amp; WiFi &gt; Wireless Access Points</t>
  </si>
  <si>
    <t>https://www.staples.com/Wireless-Access-Points/cat_CL215781</t>
  </si>
  <si>
    <t>Binder Accessories</t>
  </si>
  <si>
    <t>CL20006</t>
  </si>
  <si>
    <t>Office Supplies &gt; Binder Accessories</t>
  </si>
  <si>
    <t>https://www.staples.com/Binder-Accessories/cat_CL20006</t>
  </si>
  <si>
    <t>Binders</t>
  </si>
  <si>
    <t>CL167205</t>
  </si>
  <si>
    <t>Office Supplies &gt; Binders</t>
  </si>
  <si>
    <t>https://www.staples.com/Binders/cat_CL167205</t>
  </si>
  <si>
    <t>Organizer Refills &amp; Accessories</t>
  </si>
  <si>
    <t>CL166401</t>
  </si>
  <si>
    <t>Office Supplies &gt; Calendars &amp; Planners &gt; Organizer Refills &amp; Accessories</t>
  </si>
  <si>
    <t>https://www.staples.com/Organizer-Refills-Accessories/cat_CL166401</t>
  </si>
  <si>
    <t>Clips, Fasteners &amp; Rubber Bands</t>
  </si>
  <si>
    <t>Binder &amp; Paper Clips</t>
  </si>
  <si>
    <t>CL10102</t>
  </si>
  <si>
    <t>Office Supplies &gt; Clips, Fasteners &amp; Rubber Bands &gt; Binder &amp; Paper Clips</t>
  </si>
  <si>
    <t>https://www.staples.com/Clips-Fasteners/cat_CL10102</t>
  </si>
  <si>
    <t>Magnets</t>
  </si>
  <si>
    <t>CL355023</t>
  </si>
  <si>
    <t>Office Supplies &gt; Clips, Fasteners &amp; Rubber Bands &gt; Magnets</t>
  </si>
  <si>
    <t>https://www.staples.com/Magnets/cat_CL355023</t>
  </si>
  <si>
    <t>Paper Fasteners</t>
  </si>
  <si>
    <t>CL354691</t>
  </si>
  <si>
    <t>Office Supplies &gt; Clips, Fasteners &amp; Rubber Bands &gt; Paper Fasteners</t>
  </si>
  <si>
    <t>https://www.staples.com/Paper-Fasteners/cat_CL354691</t>
  </si>
  <si>
    <t>Rubber Bands</t>
  </si>
  <si>
    <t>CL163579</t>
  </si>
  <si>
    <t>Office Supplies &gt; Clips, Fasteners &amp; Rubber Bands &gt; Rubber Bands</t>
  </si>
  <si>
    <t>https://www.staples.com/Rubber-Bands/cat_CL163579</t>
  </si>
  <si>
    <t>Thumb Tacks &amp; Push Pins</t>
  </si>
  <si>
    <t>CL354692</t>
  </si>
  <si>
    <t>Office Supplies &gt; Clips, Fasteners &amp; Rubber Bands &gt; Thumb Tacks &amp; Push Pins</t>
  </si>
  <si>
    <t>https://www.staples.com/Thumb-Tacks-Push-Pins/cat_CL354692</t>
  </si>
  <si>
    <t>Copy &amp; Printer Paper</t>
  </si>
  <si>
    <t>CL140691</t>
  </si>
  <si>
    <t>Office Supplies &gt; Copy &amp; Printer Paper</t>
  </si>
  <si>
    <t>https://www.staples.com/Copy-Printer-Paper/cat_CL140691</t>
  </si>
  <si>
    <t>Book &amp; Document Holders</t>
  </si>
  <si>
    <t>CL354545</t>
  </si>
  <si>
    <t>Office Supplies &gt; Desk Organizers &amp; Accessories &gt; Book &amp; Document Holders</t>
  </si>
  <si>
    <t>https://www.staples.com/Book-Document-Holders/cat_CL354545</t>
  </si>
  <si>
    <t>Bookends</t>
  </si>
  <si>
    <t>CL142117</t>
  </si>
  <si>
    <t>Office Supplies &gt; Desk Organizers &amp; Accessories &gt; Bookends</t>
  </si>
  <si>
    <t>https://www.staples.com/Bookends/cat_CL142117</t>
  </si>
  <si>
    <t>Business Card Holders &amp; Files</t>
  </si>
  <si>
    <t>CL163092</t>
  </si>
  <si>
    <t>Office Supplies &gt; Desk Organizers &amp; Accessories &gt; Business Card Holders &amp; Files</t>
  </si>
  <si>
    <t>https://www.staples.com/Business-Card-Holders-Files/cat_CL163092</t>
  </si>
  <si>
    <t>Desk Organizer Sets</t>
  </si>
  <si>
    <t>CL140986</t>
  </si>
  <si>
    <t>Office Supplies &gt; Desk Organizers &amp; Accessories &gt; Desk Organizer Sets</t>
  </si>
  <si>
    <t>https://www.staples.com/Desk-Organizer-Sets/cat_CL140986</t>
  </si>
  <si>
    <t>Drawer Organizers</t>
  </si>
  <si>
    <t>CL163265</t>
  </si>
  <si>
    <t>Office Supplies &gt; Desk Organizers &amp; Accessories &gt; Drawer Organizers</t>
  </si>
  <si>
    <t>https://www.staples.com/Drawer-Organizers/cat_CL163265</t>
  </si>
  <si>
    <t>File Organizers</t>
  </si>
  <si>
    <t>CL354546</t>
  </si>
  <si>
    <t>Office Supplies &gt; Desk Organizers &amp; Accessories &gt; File Organizers</t>
  </si>
  <si>
    <t>https://www.staples.com/File-Organizers/cat_CL354546</t>
  </si>
  <si>
    <t>File Sorters</t>
  </si>
  <si>
    <t>CL163317</t>
  </si>
  <si>
    <t>Office Supplies &gt; Desk Organizers &amp; Accessories &gt; File Sorters</t>
  </si>
  <si>
    <t>https://www.staples.com/File-Sorters/cat_CL163317</t>
  </si>
  <si>
    <t>Letter &amp; Desktop Trays</t>
  </si>
  <si>
    <t>CL142133</t>
  </si>
  <si>
    <t>Office Supplies &gt; Desk Organizers &amp; Accessories &gt; Letter &amp; Desktop Trays</t>
  </si>
  <si>
    <t>https://www.staples.com/Letter-Desktop-Trays/cat_CL142133</t>
  </si>
  <si>
    <t>Magazine Holders</t>
  </si>
  <si>
    <t>CL160476</t>
  </si>
  <si>
    <t>Office Supplies &gt; Desk Organizers &amp; Accessories &gt; Magazine Holders</t>
  </si>
  <si>
    <t>https://www.staples.com/Magazine-Holders/cat_CL160476</t>
  </si>
  <si>
    <t>Wall Files</t>
  </si>
  <si>
    <t>CL142107</t>
  </si>
  <si>
    <t>Office Supplies &gt; Desk Organizers &amp; Accessories &gt; Wall Files</t>
  </si>
  <si>
    <t>https://www.staples.com/Wall-Files/cat_CL142107</t>
  </si>
  <si>
    <t>Folders &amp; Filing</t>
  </si>
  <si>
    <t>Accordion Folders</t>
  </si>
  <si>
    <t>CL220757</t>
  </si>
  <si>
    <t>Office Supplies &gt; Folders &amp; Filing &gt; Accordion Folders</t>
  </si>
  <si>
    <t>https://www.staples.com/Accordion-Folders/cat_CL220757</t>
  </si>
  <si>
    <t>Classification Folders</t>
  </si>
  <si>
    <t>CL142831</t>
  </si>
  <si>
    <t>Office Supplies &gt; Folders &amp; Filing &gt; Classification Folders</t>
  </si>
  <si>
    <t>https://www.staples.com/Classification-Folders/cat_CL142831</t>
  </si>
  <si>
    <t>File Folders</t>
  </si>
  <si>
    <t>CL141669</t>
  </si>
  <si>
    <t>Office Supplies &gt; Folders &amp; Filing &gt; File Folders</t>
  </si>
  <si>
    <t>https://www.staples.com/File-Folders/cat_CL141669</t>
  </si>
  <si>
    <t>File Pockets &amp; Jackets</t>
  </si>
  <si>
    <t>CL161019</t>
  </si>
  <si>
    <t>Office Supplies &gt; Folders &amp; Filing &gt; File Pockets &amp; Jackets</t>
  </si>
  <si>
    <t>https://www.staples.com/File-Pockets-Jackets/cat_CL161019</t>
  </si>
  <si>
    <t>File Storage</t>
  </si>
  <si>
    <t>CL165731</t>
  </si>
  <si>
    <t>Office Supplies &gt; Folders &amp; Filing &gt; File Storage</t>
  </si>
  <si>
    <t>https://www.staples.com/File-Storage/cat_CL165731</t>
  </si>
  <si>
    <t>Filing Accessories</t>
  </si>
  <si>
    <t>CL158855</t>
  </si>
  <si>
    <t>Office Supplies &gt; Folders &amp; Filing &gt; Filing Accessories</t>
  </si>
  <si>
    <t>https://www.staples.com/Filing-Accessories/cat_CL158855</t>
  </si>
  <si>
    <t>Hanging File Folders</t>
  </si>
  <si>
    <t>CL140599</t>
  </si>
  <si>
    <t>Office Supplies &gt; Folders &amp; Filing &gt; Hanging File Folders</t>
  </si>
  <si>
    <t>https://www.staples.com/Hanging-File-Folders/cat_CL140599</t>
  </si>
  <si>
    <t>Pocket &amp; Presentation Folders</t>
  </si>
  <si>
    <t>Pocket Folders</t>
  </si>
  <si>
    <t>CL140674</t>
  </si>
  <si>
    <t>Office Supplies &gt; Folders &amp; Filing &gt; Pocket &amp; Presentation Folders &gt; Pocket Folders</t>
  </si>
  <si>
    <t>https://www.staples.com/Pocket-Folders/cat_CL140674</t>
  </si>
  <si>
    <t>Presentation Books</t>
  </si>
  <si>
    <t>CL162165</t>
  </si>
  <si>
    <t>Office Supplies &gt; Folders &amp; Filing &gt; Pocket &amp; Presentation Folders &gt; Presentation Books</t>
  </si>
  <si>
    <t>https://www.staples.com/Presentation-Books/cat_CL162165</t>
  </si>
  <si>
    <t>Report Covers</t>
  </si>
  <si>
    <t>CL130501</t>
  </si>
  <si>
    <t>Office Supplies &gt; Folders &amp; Filing &gt; Pocket &amp; Presentation Folders &gt; Report Covers</t>
  </si>
  <si>
    <t>https://www.staples.com/Report-Covers/cat_CL130501</t>
  </si>
  <si>
    <t>Forms &amp; Recordkeeping</t>
  </si>
  <si>
    <t>Accounting &amp; Record Journals</t>
  </si>
  <si>
    <t>CL100501</t>
  </si>
  <si>
    <t>Office Supplies &gt; Forms &amp; Recordkeeping &gt; Accounting &amp; Record Journals</t>
  </si>
  <si>
    <t>https://www.staples.com/Accounting-Record-Journals/cat_CL100501</t>
  </si>
  <si>
    <t>Business Forms</t>
  </si>
  <si>
    <t>CL141007</t>
  </si>
  <si>
    <t>Office Supplies &gt; Forms &amp; Recordkeeping &gt; Business Forms</t>
  </si>
  <si>
    <t>https://www.staples.com/Business-Forms/cat_CL141007</t>
  </si>
  <si>
    <t>Digital Legal Forms</t>
  </si>
  <si>
    <t>CL216640</t>
  </si>
  <si>
    <t>Office Supplies &gt; Forms &amp; Recordkeeping &gt; Digital Legal Forms</t>
  </si>
  <si>
    <t>https://www.staples.com/Digital-Legal-Forms/cat_CL216640</t>
  </si>
  <si>
    <t>HR Forms</t>
  </si>
  <si>
    <t>CL164585</t>
  </si>
  <si>
    <t>Office Supplies &gt; Forms &amp; Recordkeeping &gt; HR Forms</t>
  </si>
  <si>
    <t>https://www.staples.com/HR-Forms/cat_CL164585</t>
  </si>
  <si>
    <t>Medical Forms</t>
  </si>
  <si>
    <t>CL214615</t>
  </si>
  <si>
    <t>Office Supplies &gt; Forms &amp; Recordkeeping &gt; Medical Forms</t>
  </si>
  <si>
    <t>https://www.staples.com/Medical-Forms/cat_CL214615</t>
  </si>
  <si>
    <t>Tax Forms</t>
  </si>
  <si>
    <t>CL168347</t>
  </si>
  <si>
    <t>Office Supplies &gt; Forms &amp; Recordkeeping &gt; Tax Forms</t>
  </si>
  <si>
    <t>https://www.staples.com/Tax-Forms/cat_CL168347</t>
  </si>
  <si>
    <t>ID Card Printers &amp; Accessories</t>
  </si>
  <si>
    <t>CL215740</t>
  </si>
  <si>
    <t>Office Supplies &gt; Label Makers &amp; Tapes &gt; ID Card Printers &amp; Accessories</t>
  </si>
  <si>
    <t>https://www.staples.com/ID-Card-Printers-Accessories/cat_CL215740</t>
  </si>
  <si>
    <t>Label Maker Tapes &amp; Printer Labels</t>
  </si>
  <si>
    <t>CL140557</t>
  </si>
  <si>
    <t>Office Supplies &gt; Label Makers &amp; Tapes &gt; Label Maker Tapes &amp; Printer Labels</t>
  </si>
  <si>
    <t>https://www.staples.com/Label-Maker-Tapes-Printer-Labels/cat_CL140557</t>
  </si>
  <si>
    <t>https://www.staples.com/Labels/cat_CL142725</t>
  </si>
  <si>
    <t>Laminators &amp; Supplies</t>
  </si>
  <si>
    <t>Laminating Machines</t>
  </si>
  <si>
    <t>CL142540</t>
  </si>
  <si>
    <t>Office Supplies &gt; Laminators &amp; Supplies &gt; Laminating Machines</t>
  </si>
  <si>
    <t>https://www.staples.com/Laminating-Machines/cat_CL142540</t>
  </si>
  <si>
    <t>Laminating Pouches &amp; Sheets</t>
  </si>
  <si>
    <t>CL142542</t>
  </si>
  <si>
    <t>Office Supplies &gt; Laminators &amp; Supplies &gt; Laminating Pouches &amp; Sheets</t>
  </si>
  <si>
    <t>https://www.staples.com/Laminating-Pouches-Sheets/cat_CL142542</t>
  </si>
  <si>
    <t>Notepads</t>
  </si>
  <si>
    <t>CL220835</t>
  </si>
  <si>
    <t>Office Supplies &gt; Notebooks &amp; Notepads &gt; Notepads</t>
  </si>
  <si>
    <t>https://www.staples.com/Notepads/cat_CL220835</t>
  </si>
  <si>
    <t>Office Basics</t>
  </si>
  <si>
    <t>Clipboards</t>
  </si>
  <si>
    <t>CL140606</t>
  </si>
  <si>
    <t>Office Supplies &gt; Office Basics &gt; Clipboards</t>
  </si>
  <si>
    <t>https://www.staples.com/Clipboards/cat_CL140606</t>
  </si>
  <si>
    <t>Office Supply Kits</t>
  </si>
  <si>
    <t>CL354685</t>
  </si>
  <si>
    <t>Office Supplies &gt; Office Basics &gt; Office Supply Kits</t>
  </si>
  <si>
    <t>https://www.staples.com/Office-Supply-Kits/cat_CL354685</t>
  </si>
  <si>
    <t>Post-it® &amp; Sticky Notes</t>
  </si>
  <si>
    <t>CL165755</t>
  </si>
  <si>
    <t>Office Supplies &gt; Office Basics &gt; Post-it® &amp; Sticky Notes</t>
  </si>
  <si>
    <t>https://www.staples.com/Post-it-Sticky-Notes/cat_CL165755</t>
  </si>
  <si>
    <t>Post-it® / Sticky Flags &amp; Tabs</t>
  </si>
  <si>
    <t>CL165756</t>
  </si>
  <si>
    <t>Office Supplies &gt; Office Basics &gt; Post-it® / Sticky Flags &amp; Tabs</t>
  </si>
  <si>
    <t>https://www.staples.com/Post-it-Sticky-Flags-Tabs/cat_CL165756</t>
  </si>
  <si>
    <t>Post-it® and Sticky Notes Dispensers</t>
  </si>
  <si>
    <t>CL165757</t>
  </si>
  <si>
    <t>Office Supplies &gt; Office Basics &gt; Post-it® and Sticky Notes Dispensers</t>
  </si>
  <si>
    <t>https://www.staples.com/Post-it-and-Sticky-Notes-Dispensers/cat_CL165757</t>
  </si>
  <si>
    <t>Rulers &amp; Measuring Devices</t>
  </si>
  <si>
    <t>CL10503</t>
  </si>
  <si>
    <t>Office Supplies &gt; Office Basics &gt; Rulers &amp; Measuring Devices</t>
  </si>
  <si>
    <t>https://www.staples.com/Rulers-Measuring-Devices/cat_CL10503</t>
  </si>
  <si>
    <t>Scissors, Hole Punches &amp; Paper Cutters</t>
  </si>
  <si>
    <t>Hole Punches</t>
  </si>
  <si>
    <t>CL160904</t>
  </si>
  <si>
    <t>Office Supplies &gt; Scissors, Hole Punches &amp; Paper Cutters &gt; Hole Punches</t>
  </si>
  <si>
    <t>https://www.staples.com/Paper-Punches/cat_CL160904</t>
  </si>
  <si>
    <t>Paper Cutters</t>
  </si>
  <si>
    <t>CL167637</t>
  </si>
  <si>
    <t>Office Supplies &gt; Scissors, Hole Punches &amp; Paper Cutters &gt; Paper Cutters</t>
  </si>
  <si>
    <t>https://www.staples.com/Paper-Trimmers/cat_CL167637</t>
  </si>
  <si>
    <t>Scissors</t>
  </si>
  <si>
    <t>CL10504</t>
  </si>
  <si>
    <t>Office Supplies &gt; Scissors, Hole Punches &amp; Paper Cutters &gt; Scissors</t>
  </si>
  <si>
    <t>https://www.staples.com/Scissors/cat_CL10504</t>
  </si>
  <si>
    <t>Sheet Protectors</t>
  </si>
  <si>
    <t>CL350730</t>
  </si>
  <si>
    <t>Office Supplies &gt; Sheet Protectors</t>
  </si>
  <si>
    <t>https://www.staples.com/Sheet-Protectors/cat_CL350730</t>
  </si>
  <si>
    <t>Stamps &amp; Stamp Pads</t>
  </si>
  <si>
    <t>CL142740</t>
  </si>
  <si>
    <t>Office Supplies &gt; Stamps &amp; Stamp Pads</t>
  </si>
  <si>
    <t>https://www.staples.com/Stamps-Stamp-Pads/cat_CL142740</t>
  </si>
  <si>
    <t>Staplers &amp; Staples</t>
  </si>
  <si>
    <t>Staple Removers</t>
  </si>
  <si>
    <t>CL140862</t>
  </si>
  <si>
    <t>Office Supplies &gt; Staplers &amp; Staples &gt; Staple Removers</t>
  </si>
  <si>
    <t>https://www.staples.com/Staple-Removers/cat_CL140862</t>
  </si>
  <si>
    <t>Staplers</t>
  </si>
  <si>
    <t>CL10700</t>
  </si>
  <si>
    <t>Office Supplies &gt; Staplers &amp; Staples &gt; Staplers</t>
  </si>
  <si>
    <t>https://www.staples.com/Staplers/cat_CL10700</t>
  </si>
  <si>
    <t>Staples</t>
  </si>
  <si>
    <t>CL10704</t>
  </si>
  <si>
    <t>Office Supplies &gt; Staplers &amp; Staples &gt; Staples</t>
  </si>
  <si>
    <t>https://www.staples.com/Staples/cat_CL10704</t>
  </si>
  <si>
    <t>https://www.staples.com/Storage-Bins/cat_CL354710</t>
  </si>
  <si>
    <t>Storage Containers &amp; Boxes</t>
  </si>
  <si>
    <t>CL215127</t>
  </si>
  <si>
    <t>Office Supplies &gt; Storage &amp; Organization &gt; Storage Containers &amp; Boxes</t>
  </si>
  <si>
    <t>https://www.staples.com/Storage-Containers-Boxes/cat_CL215127</t>
  </si>
  <si>
    <t>Storage Drawers</t>
  </si>
  <si>
    <t>CL140604</t>
  </si>
  <si>
    <t>Office Supplies &gt; Storage &amp; Organization &gt; Storage Drawers</t>
  </si>
  <si>
    <t>https://www.staples.com/Storage-Drawers/cat_CL140604</t>
  </si>
  <si>
    <t>Adhesive Dots &amp; Tape Runners</t>
  </si>
  <si>
    <t>CL354675</t>
  </si>
  <si>
    <t>Office Supplies &gt; Tape, Fasteners &amp; Adhesives &gt; Adhesive Dots &amp; Tape Runners</t>
  </si>
  <si>
    <t>https://www.staples.com/Adhesive-Dots-Tape-Runners/cat_CL354675</t>
  </si>
  <si>
    <t>Glue &amp; Glue Sticks</t>
  </si>
  <si>
    <t>CL166024</t>
  </si>
  <si>
    <t>Office Supplies &gt; Tape, Fasteners &amp; Adhesives &gt; Glue &amp; Glue Sticks</t>
  </si>
  <si>
    <t>https://www.staples.com/Glue-Glue-Sticks/cat_CL166024</t>
  </si>
  <si>
    <t>https://www.staples.com/Hot-Glue-Sticks-Guns/cat_CL354680</t>
  </si>
  <si>
    <t>Mounting</t>
  </si>
  <si>
    <t>Hook and Loop Fasteners</t>
  </si>
  <si>
    <t>CL140446</t>
  </si>
  <si>
    <t>Office Supplies &gt; Tape, Fasteners &amp; Adhesives &gt; Mounting &gt; Hook and Loop Fasteners</t>
  </si>
  <si>
    <t>https://www.staples.com/Hook-and-Loop-Fasteners/cat_CL140446</t>
  </si>
  <si>
    <t>Hooks &amp; Hanging Strips</t>
  </si>
  <si>
    <t>CL215292</t>
  </si>
  <si>
    <t>Office Supplies &gt; Tape, Fasteners &amp; Adhesives &gt; Mounting &gt; Hooks &amp; Hanging Strips</t>
  </si>
  <si>
    <t>https://www.staples.com/Hooks-Hanging-Strips/cat_CL215292</t>
  </si>
  <si>
    <t>Putty</t>
  </si>
  <si>
    <t>CL354681</t>
  </si>
  <si>
    <t>Office Supplies &gt; Tape, Fasteners &amp; Adhesives &gt; Mounting &gt; Putty</t>
  </si>
  <si>
    <t>https://www.staples.com/Putty/cat_CL354681</t>
  </si>
  <si>
    <t>https://www.staples.com/Arts-Crafts-Tape/cat_CL215702</t>
  </si>
  <si>
    <t>Duct Tape</t>
  </si>
  <si>
    <t>CL167765</t>
  </si>
  <si>
    <t>Office Supplies &gt; Tape, Fasteners &amp; Adhesives &gt; Tape &gt; Duct Tape</t>
  </si>
  <si>
    <t>https://www.staples.com/Duct-Tape/cat_CL167765</t>
  </si>
  <si>
    <t>Electrical Tape</t>
  </si>
  <si>
    <t>CL216890</t>
  </si>
  <si>
    <t>Office Supplies &gt; Tape, Fasteners &amp; Adhesives &gt; Tape &gt; Electrical Tape</t>
  </si>
  <si>
    <t>https://www.staples.com/Electrical-Tape/cat_CL216890</t>
  </si>
  <si>
    <t>Filament &amp; Strapping Tape</t>
  </si>
  <si>
    <t>CL350296</t>
  </si>
  <si>
    <t>Office Supplies &gt; Tape, Fasteners &amp; Adhesives &gt; Tape &gt; Filament &amp; Strapping Tape</t>
  </si>
  <si>
    <t>https://www.staples.com/Filament-Strapping-Tape/cat_CL350296</t>
  </si>
  <si>
    <t>Gaffers Tape</t>
  </si>
  <si>
    <t>CL350300</t>
  </si>
  <si>
    <t>Office Supplies &gt; Tape, Fasteners &amp; Adhesives &gt; Tape &gt; Gaffers Tape</t>
  </si>
  <si>
    <t>https://www.staples.com/Gaffers-Tape/cat_CL350300</t>
  </si>
  <si>
    <t>Masking Tape</t>
  </si>
  <si>
    <t>CL141874</t>
  </si>
  <si>
    <t>Office Supplies &gt; Tape, Fasteners &amp; Adhesives &gt; Tape &gt; Masking Tape</t>
  </si>
  <si>
    <t>https://www.staples.com/Masking-Tape/cat_CL141874</t>
  </si>
  <si>
    <t>Mounting Tape</t>
  </si>
  <si>
    <t>CL350610</t>
  </si>
  <si>
    <t>Office Supplies &gt; Tape, Fasteners &amp; Adhesives &gt; Tape &gt; Mounting Tape</t>
  </si>
  <si>
    <t>https://www.staples.com/Mounting-Tape/cat_CL350610</t>
  </si>
  <si>
    <t>Packing Tape</t>
  </si>
  <si>
    <t>CL140631</t>
  </si>
  <si>
    <t>Office Supplies &gt; Tape, Fasteners &amp; Adhesives &gt; Tape &gt; Packing Tape</t>
  </si>
  <si>
    <t>https://www.staples.com/Packing-Tape/cat_CL140631</t>
  </si>
  <si>
    <t>Safety &amp; Reflective Tape</t>
  </si>
  <si>
    <t>CL218626</t>
  </si>
  <si>
    <t>Office Supplies &gt; Tape, Fasteners &amp; Adhesives &gt; Tape &gt; Safety &amp; Reflective Tape</t>
  </si>
  <si>
    <t>https://www.staples.com/Safety-Reflective-Tape/cat_CL218626</t>
  </si>
  <si>
    <t>Security Tape</t>
  </si>
  <si>
    <t>CL350283</t>
  </si>
  <si>
    <t>Office Supplies &gt; Tape, Fasteners &amp; Adhesives &gt; Tape &gt; Security Tape</t>
  </si>
  <si>
    <t>https://www.staples.com/Security-Tape/cat_CL350283</t>
  </si>
  <si>
    <t>Specialty Tape</t>
  </si>
  <si>
    <t>CL215667</t>
  </si>
  <si>
    <t>Office Supplies &gt; Tape, Fasteners &amp; Adhesives &gt; Tape &gt; Specialty Tape</t>
  </si>
  <si>
    <t>https://www.staples.com/Specialty-Tape/cat_CL215667</t>
  </si>
  <si>
    <t>Tape Dispensers</t>
  </si>
  <si>
    <t>CL215666</t>
  </si>
  <si>
    <t>Office Supplies &gt; Tape, Fasteners &amp; Adhesives &gt; Tape Dispensers</t>
  </si>
  <si>
    <t>https://www.staples.com/Tape-Dispensers/cat_CL215666</t>
  </si>
  <si>
    <t>Correction &amp; White Out</t>
  </si>
  <si>
    <t>CL350630</t>
  </si>
  <si>
    <t>Office Supplies &gt; Writing Supplies &amp; Instruments &gt; Correction &amp; White Out</t>
  </si>
  <si>
    <t>https://www.staples.com/Correction-White-Out/cat_CL350630</t>
  </si>
  <si>
    <t>Erasers</t>
  </si>
  <si>
    <t>CL140615</t>
  </si>
  <si>
    <t>Office Supplies &gt; Writing Supplies &amp; Instruments &gt; Erasers</t>
  </si>
  <si>
    <t>https://www.staples.com/Erasers/cat_CL140615</t>
  </si>
  <si>
    <t>Highlighters</t>
  </si>
  <si>
    <t>CL158890</t>
  </si>
  <si>
    <t>Office Supplies &gt; Writing Supplies &amp; Instruments &gt; Highlighters</t>
  </si>
  <si>
    <t>https://www.staples.com/Highlighters/cat_CL158890</t>
  </si>
  <si>
    <t>Markers</t>
  </si>
  <si>
    <t>CL140896</t>
  </si>
  <si>
    <t>Office Supplies &gt; Writing Supplies &amp; Instruments &gt; Markers</t>
  </si>
  <si>
    <t>https://www.staples.com/Markers/cat_CL140896</t>
  </si>
  <si>
    <t>CL207301</t>
  </si>
  <si>
    <t>Office Supplies &gt; Writing Supplies &amp; Instruments &gt; Pencil Accessories &gt; Pencil Accessories</t>
  </si>
  <si>
    <t>https://www.staples.com/Pencil-Accessories/cat_CL207301</t>
  </si>
  <si>
    <t>Pencil Sharpeners</t>
  </si>
  <si>
    <t>CL110300</t>
  </si>
  <si>
    <t>Office Supplies &gt; Writing Supplies &amp; Instruments &gt; Pencil Accessories &gt; Pencil Sharpeners</t>
  </si>
  <si>
    <t>https://www.staples.com/Pencil-Sharpeners/cat_CL110300</t>
  </si>
  <si>
    <t>Pencils</t>
  </si>
  <si>
    <t>CL110200</t>
  </si>
  <si>
    <t>Office Supplies &gt; Writing Supplies &amp; Instruments &gt; Pencils</t>
  </si>
  <si>
    <t>https://www.staples.com/Pencils/cat_CL110200</t>
  </si>
  <si>
    <t>https://www.staples.com/Pens/cat_CL110001</t>
  </si>
  <si>
    <t>Paper</t>
  </si>
  <si>
    <t>Business &amp; Loyalty Cards</t>
  </si>
  <si>
    <t>CL206118</t>
  </si>
  <si>
    <t>Paper &gt; Business &amp; Loyalty Cards</t>
  </si>
  <si>
    <t>https://www.staples.com/Business-Loyalty-Cards/cat_CL206118</t>
  </si>
  <si>
    <t>Card Stock</t>
  </si>
  <si>
    <t>CL214438</t>
  </si>
  <si>
    <t>Paper &gt; Card Stock</t>
  </si>
  <si>
    <t>https://www.staples.com/Card-Stock/cat_CL214438</t>
  </si>
  <si>
    <t>Certificates &amp; Holders</t>
  </si>
  <si>
    <t>CL158858</t>
  </si>
  <si>
    <t>Paper &gt; Certificates &amp; Holders</t>
  </si>
  <si>
    <t>https://www.staples.com/Certificates-Holders/cat_CL158858</t>
  </si>
  <si>
    <t>Classroom Paper</t>
  </si>
  <si>
    <t>CL216715</t>
  </si>
  <si>
    <t>Paper &gt; Classroom Paper</t>
  </si>
  <si>
    <t>https://www.staples.com/Classroom-Paper/cat_CL216715</t>
  </si>
  <si>
    <t>Construction Paper</t>
  </si>
  <si>
    <t>CL350245</t>
  </si>
  <si>
    <t>Paper &gt; Construction Paper</t>
  </si>
  <si>
    <t>https://www.staples.com/Construction-Paper/cat_CL350245</t>
  </si>
  <si>
    <t>Easel Pads</t>
  </si>
  <si>
    <t>CL140915</t>
  </si>
  <si>
    <t>Paper &gt; Easel Pads</t>
  </si>
  <si>
    <t>https://www.staples.com/Easel-Pads/cat_CL140915</t>
  </si>
  <si>
    <t>Envelopes</t>
  </si>
  <si>
    <t>CL142681</t>
  </si>
  <si>
    <t>Paper &gt; Envelopes &gt; Envelopes</t>
  </si>
  <si>
    <t>https://www.staples.com/Envelopes/cat_CL142681</t>
  </si>
  <si>
    <t>Finger Pads &amp; Moisteners</t>
  </si>
  <si>
    <t>CL141635</t>
  </si>
  <si>
    <t>Paper &gt; Envelopes &gt; Finger Pads &amp; Moisteners</t>
  </si>
  <si>
    <t>https://www.staples.com/Finger-Pads-Moisteners/cat_CL141635</t>
  </si>
  <si>
    <t>Fine Business &amp; Resume Papers</t>
  </si>
  <si>
    <t>CL221518</t>
  </si>
  <si>
    <t>Paper &gt; Fine Business &amp; Resume Papers</t>
  </si>
  <si>
    <t>https://www.staples.com/Fine-Business-Resume-Papers/cat_CL221518</t>
  </si>
  <si>
    <t>Index Cards</t>
  </si>
  <si>
    <t>CL214476</t>
  </si>
  <si>
    <t>Paper &gt; Index Cards</t>
  </si>
  <si>
    <t>https://www.staples.com/Index-Cards/cat_CL214476</t>
  </si>
  <si>
    <t>Loose Leaf &amp; Graph Paper</t>
  </si>
  <si>
    <t>CL161811</t>
  </si>
  <si>
    <t>Paper &gt; Loose Leaf &amp; Graph Paper</t>
  </si>
  <si>
    <t>https://www.staples.com/Loose-Leaf-Graph-Paper/cat_CL161811</t>
  </si>
  <si>
    <t>Notebooks</t>
  </si>
  <si>
    <t>CL165557</t>
  </si>
  <si>
    <t>Paper &gt; Notebooks</t>
  </si>
  <si>
    <t>https://www.staples.com/Notebooks/cat_CL165557</t>
  </si>
  <si>
    <t>Specialty Paper Products</t>
  </si>
  <si>
    <t>POS Paper</t>
  </si>
  <si>
    <t>CL140671</t>
  </si>
  <si>
    <t>Paper &gt; Specialty Paper Products &gt; POS Paper</t>
  </si>
  <si>
    <t>https://www.staples.com/POS-Paper/cat_CL140671</t>
  </si>
  <si>
    <t>Presentation &amp; Photo Paper</t>
  </si>
  <si>
    <t>CL168887</t>
  </si>
  <si>
    <t>Paper &gt; Specialty Paper Products &gt; Presentation &amp; Photo Paper</t>
  </si>
  <si>
    <t>https://www.staples.com/Presentation-Photo-Paper/cat_CL168887</t>
  </si>
  <si>
    <t>Security &amp; Carbon Paper</t>
  </si>
  <si>
    <t>CL206130</t>
  </si>
  <si>
    <t>Paper &gt; Specialty Paper Products &gt; Security &amp; Carbon Paper</t>
  </si>
  <si>
    <t>https://www.staples.com/Security-Carbon-Paper/cat_CL206130</t>
  </si>
  <si>
    <t>Thermal Fax Paper Rolls</t>
  </si>
  <si>
    <t>CL140672</t>
  </si>
  <si>
    <t>Paper &gt; Thermal Fax Paper Rolls</t>
  </si>
  <si>
    <t>https://www.staples.com/Thermal-Fax-Paper-Rolls/cat_CL140672</t>
  </si>
  <si>
    <t>Wide Format Paper</t>
  </si>
  <si>
    <t>CL142870</t>
  </si>
  <si>
    <t>Paper &gt; Wide Format Paper</t>
  </si>
  <si>
    <t>https://www.staples.com/Wide-Format-Paper/cat_CL142870</t>
  </si>
  <si>
    <t>Anniversary Supplies</t>
  </si>
  <si>
    <t>CL216994</t>
  </si>
  <si>
    <t>Party Supplies &gt; Anniversary Supplies</t>
  </si>
  <si>
    <t>https://www.staples.com/Anniversary-Supplies/cat_CL216994</t>
  </si>
  <si>
    <t>Balloons &amp; Accessories</t>
  </si>
  <si>
    <t>Balloon Accessories</t>
  </si>
  <si>
    <t>CL355093</t>
  </si>
  <si>
    <t>Party Supplies &gt; Balloons &amp; Accessories &gt; Balloon Accessories</t>
  </si>
  <si>
    <t>https://www.staples.com/Balloon-Accessories/cat_CL355093</t>
  </si>
  <si>
    <t>Balloons</t>
  </si>
  <si>
    <t>CL355028</t>
  </si>
  <si>
    <t>Party Supplies &gt; Balloons &amp; Accessories &gt; Balloons</t>
  </si>
  <si>
    <t>https://www.staples.com/Balloons/cat_CL355028</t>
  </si>
  <si>
    <t>Disposable Bowls</t>
  </si>
  <si>
    <t>CL218856</t>
  </si>
  <si>
    <t>Party Supplies &gt; Disposable Bowls</t>
  </si>
  <si>
    <t>https://www.staples.com/Disposable-Bowls/cat_CL218856</t>
  </si>
  <si>
    <t>Disposable Cup Lids &amp; Sleeves</t>
  </si>
  <si>
    <t>CL350751</t>
  </si>
  <si>
    <t>Party Supplies &gt; Disposable Cup Lids &amp; Sleeves</t>
  </si>
  <si>
    <t>https://www.staples.com/Disposable-Cup-Lids-Sleeves/cat_CL350751</t>
  </si>
  <si>
    <t>Disposable Cups</t>
  </si>
  <si>
    <t>CL218855</t>
  </si>
  <si>
    <t>Party Supplies &gt; Disposable Cups</t>
  </si>
  <si>
    <t>https://www.staples.com/Disposable-Cups/cat_CL218855</t>
  </si>
  <si>
    <t>Disposable Cutlery &amp; Dispensers</t>
  </si>
  <si>
    <t>CL142176</t>
  </si>
  <si>
    <t>Party Supplies &gt; Disposable Cutlery &amp; Dispensers</t>
  </si>
  <si>
    <t>https://www.staples.com/Disposable-Cutlery/cat_CL142176</t>
  </si>
  <si>
    <t>Disposable Plates</t>
  </si>
  <si>
    <t>CL142175</t>
  </si>
  <si>
    <t>Party Supplies &gt; Disposable Plates</t>
  </si>
  <si>
    <t>https://www.staples.com/Disposable-Plates/cat_CL142175</t>
  </si>
  <si>
    <t>Napkins</t>
  </si>
  <si>
    <t>CL141827</t>
  </si>
  <si>
    <t>Party Supplies &gt; Napkins</t>
  </si>
  <si>
    <t>https://www.staples.com/Napkins/cat_CL141827</t>
  </si>
  <si>
    <t>Party Décor</t>
  </si>
  <si>
    <t>CL214290</t>
  </si>
  <si>
    <t>Party Supplies &gt; Party Décor</t>
  </si>
  <si>
    <t>https://www.staples.com/Party-D-cor/cat_CL214290</t>
  </si>
  <si>
    <t>Party Favors &amp; Costumes</t>
  </si>
  <si>
    <t>Costumes &amp; Accessories</t>
  </si>
  <si>
    <t>CL214294</t>
  </si>
  <si>
    <t>Party Supplies &gt; Party Favors &amp; Costumes &gt; Costumes &amp; Accessories</t>
  </si>
  <si>
    <t>https://www.staples.com/Costumes/cat_CL214294</t>
  </si>
  <si>
    <t>Favor Bags &amp; Boxes</t>
  </si>
  <si>
    <t>CL214292</t>
  </si>
  <si>
    <t>Party Supplies &gt; Party Favors &amp; Costumes &gt; Favor Bags &amp; Boxes</t>
  </si>
  <si>
    <t>https://www.staples.com/Favor-Bags-Boxes/cat_CL214292</t>
  </si>
  <si>
    <t>Party Favors</t>
  </si>
  <si>
    <t>CL355030</t>
  </si>
  <si>
    <t>Party Supplies &gt; Party Favors &amp; Costumes &gt; Party Favors</t>
  </si>
  <si>
    <t>https://www.staples.com/Party-Favors/cat_CL355030</t>
  </si>
  <si>
    <t>Party Supply Kits</t>
  </si>
  <si>
    <t>CL355032</t>
  </si>
  <si>
    <t>Party Supplies &gt; Party Supply Kits</t>
  </si>
  <si>
    <t>https://www.staples.com/Party-Supply-Kits/cat_CL355032</t>
  </si>
  <si>
    <t>Ribbon, Bows &amp; Wrapping Supplies</t>
  </si>
  <si>
    <t>CL167953</t>
  </si>
  <si>
    <t>Party Supplies &gt; Ribbon, Bows &amp; Wrapping Supplies</t>
  </si>
  <si>
    <t>https://www.staples.com/Ribbon-Bows-Wrapping-Supplies/cat_CL167953</t>
  </si>
  <si>
    <t>Stirrers &amp; Straws</t>
  </si>
  <si>
    <t>CL164424</t>
  </si>
  <si>
    <t>Party Supplies &gt; Stirrers &amp; Straws</t>
  </si>
  <si>
    <t>https://www.staples.com/Stirrers-Straws/cat_CL164424</t>
  </si>
  <si>
    <t>Wedding Supplies</t>
  </si>
  <si>
    <t>Wedding Decorations &amp; Supplies</t>
  </si>
  <si>
    <t>CL212455</t>
  </si>
  <si>
    <t>Party Supplies &gt; Wedding Supplies &gt; Wedding Decorations &amp; Supplies</t>
  </si>
  <si>
    <t>https://www.staples.com/Wedding-Decorations-Supplies/cat_CL212455</t>
  </si>
  <si>
    <t>Wedding Favors</t>
  </si>
  <si>
    <t>CL212458</t>
  </si>
  <si>
    <t>Party Supplies &gt; Wedding Supplies &gt; Wedding Favors</t>
  </si>
  <si>
    <t>https://www.staples.com/Wedding-Favors/cat_CL212458</t>
  </si>
  <si>
    <t>Wedding Glassware</t>
  </si>
  <si>
    <t>CL212800</t>
  </si>
  <si>
    <t>Party Supplies &gt; Wedding Supplies &gt; Wedding Glassware</t>
  </si>
  <si>
    <t>https://www.staples.com/Wedding-Glassware/cat_CL212800</t>
  </si>
  <si>
    <t>Clear Tape</t>
  </si>
  <si>
    <t>CL10003</t>
  </si>
  <si>
    <t>Party Supplies &gt; Wrapping Supplies &gt; Clear Tape</t>
  </si>
  <si>
    <t>https://www.staples.com/Clear-Tape/cat_CL10003</t>
  </si>
  <si>
    <t>Double Sided Tape</t>
  </si>
  <si>
    <t>CL216891</t>
  </si>
  <si>
    <t>Party Supplies &gt; Wrapping Supplies &gt; Double Sided Tape</t>
  </si>
  <si>
    <t>https://www.staples.com/Double-Sided-Tape/cat_CL216891</t>
  </si>
  <si>
    <t>https://www.staples.com/Gift-Boxes-Bags/cat_CL215556</t>
  </si>
  <si>
    <t>https://www.staples.com/Gift-Wrap-Wrapping-Paper/cat_CL215563</t>
  </si>
  <si>
    <t>Tissue Paper</t>
  </si>
  <si>
    <t>CL350360</t>
  </si>
  <si>
    <t>Party Supplies &gt; Wrapping Supplies &gt; Tissue Paper</t>
  </si>
  <si>
    <t>https://www.staples.com/Tissue-Paper/cat_CL350360</t>
  </si>
  <si>
    <t>Phones, Cameras &amp; Electronics</t>
  </si>
  <si>
    <t>Cameras, Camcorders &amp; Accessories</t>
  </si>
  <si>
    <t>Camera &amp; Camcorder Accessories</t>
  </si>
  <si>
    <t>CL142476</t>
  </si>
  <si>
    <t>Phones, Cameras &amp; Electronics &gt; Cameras, Camcorders &amp; Accessories &gt; Camera &amp; Camcorder Accessories</t>
  </si>
  <si>
    <t>https://www.staples.com/Camera-Camcorder-Accessories/cat_CL142476</t>
  </si>
  <si>
    <t>Cameras &amp; Camcorders</t>
  </si>
  <si>
    <t>CL140465</t>
  </si>
  <si>
    <t>Phones, Cameras &amp; Electronics &gt; Cameras, Camcorders &amp; Accessories &gt; Cameras &amp; Camcorders</t>
  </si>
  <si>
    <t>https://www.staples.com/Cameras-Camcorders/cat_CL140465</t>
  </si>
  <si>
    <t>Digital Picture Frames</t>
  </si>
  <si>
    <t>CL163473</t>
  </si>
  <si>
    <t>Phones, Cameras &amp; Electronics &gt; Cameras, Camcorders &amp; Accessories &gt; Digital Picture Frames</t>
  </si>
  <si>
    <t>https://www.staples.com/Digital-Picture-Frames/cat_CL163473</t>
  </si>
  <si>
    <t>Cell Phone Accessories</t>
  </si>
  <si>
    <t>CL213856</t>
  </si>
  <si>
    <t>Phones, Cameras &amp; Electronics &gt; Cell Phone Accessories</t>
  </si>
  <si>
    <t>https://www.staples.com/Cell-Phone-Accessories/cat_CL213856</t>
  </si>
  <si>
    <t>Cell Phone Cases</t>
  </si>
  <si>
    <t>CL206053</t>
  </si>
  <si>
    <t>Phones, Cameras &amp; Electronics &gt; Cell Phone Cases</t>
  </si>
  <si>
    <t>https://www.staples.com/Cell-Phone-Cases/cat_CL206053</t>
  </si>
  <si>
    <t>Cell Phone Mounts &amp; Holders</t>
  </si>
  <si>
    <t>CL206054</t>
  </si>
  <si>
    <t>Phones, Cameras &amp; Electronics &gt; Cell Phone Mounts &amp; Holders</t>
  </si>
  <si>
    <t>https://www.staples.com/Cell-Phone-Mounts-Holders/cat_CL206054</t>
  </si>
  <si>
    <t>Cell Phone Screen Protectors</t>
  </si>
  <si>
    <t>CL216706</t>
  </si>
  <si>
    <t>Phones, Cameras &amp; Electronics &gt; Cell Phone Screen Protectors</t>
  </si>
  <si>
    <t>https://www.staples.com/Cell-Phone-Screen-Protectors/cat_CL216706</t>
  </si>
  <si>
    <t>Cell Phones</t>
  </si>
  <si>
    <t>CL166921</t>
  </si>
  <si>
    <t>Phones, Cameras &amp; Electronics &gt; Cell Phones</t>
  </si>
  <si>
    <t>https://www.staples.com/Cell-Phones/cat_CL166921</t>
  </si>
  <si>
    <t>Chargers &amp; Charging Cables</t>
  </si>
  <si>
    <t>CL162051</t>
  </si>
  <si>
    <t>Phones, Cameras &amp; Electronics &gt; Chargers &amp; Charging Cables</t>
  </si>
  <si>
    <t>https://www.staples.com/Chargers-Charging-Cables/cat_CL162051</t>
  </si>
  <si>
    <t>Drones &amp; UAV</t>
  </si>
  <si>
    <t>CL216560</t>
  </si>
  <si>
    <t>Phones, Cameras &amp; Electronics &gt; Drones &amp; UAV</t>
  </si>
  <si>
    <t>https://www.staples.com/Drones-UAV/cat_CL216560</t>
  </si>
  <si>
    <t>GPS</t>
  </si>
  <si>
    <t>GPS Accessories</t>
  </si>
  <si>
    <t>CL141015</t>
  </si>
  <si>
    <t>Phones, Cameras &amp; Electronics &gt; GPS &gt; GPS Accessories</t>
  </si>
  <si>
    <t>https://www.staples.com/GPS-Accessories/cat_CL141015</t>
  </si>
  <si>
    <t>GPS Navigation Units</t>
  </si>
  <si>
    <t>CL160930</t>
  </si>
  <si>
    <t>Phones, Cameras &amp; Electronics &gt; GPS &gt; GPS Navigation Units</t>
  </si>
  <si>
    <t>https://www.staples.com/GPS-Navigation-Units/cat_CL160930</t>
  </si>
  <si>
    <t>Phones &amp; Accessories</t>
  </si>
  <si>
    <t>Landline Phones</t>
  </si>
  <si>
    <t>CL142388</t>
  </si>
  <si>
    <t>Phones, Cameras &amp; Electronics &gt; Phones &amp; Accessories &gt; Landline Phones</t>
  </si>
  <si>
    <t>https://www.staples.com/Landline-Phones/cat_CL142388</t>
  </si>
  <si>
    <t>Office Phones</t>
  </si>
  <si>
    <t>CL166396</t>
  </si>
  <si>
    <t>Phones, Cameras &amp; Electronics &gt; Phones &amp; Accessories &gt; Office Phones</t>
  </si>
  <si>
    <t>https://www.staples.com/Office-Phones/cat_CL166396</t>
  </si>
  <si>
    <t>Phone Accessories</t>
  </si>
  <si>
    <t>CL140300</t>
  </si>
  <si>
    <t>Phones, Cameras &amp; Electronics &gt; Phones &amp; Accessories &gt; Phone Accessories</t>
  </si>
  <si>
    <t>https://www.staples.com/Phone-Accessories/cat_CL140300</t>
  </si>
  <si>
    <t>Stylus &amp; Smart Pens</t>
  </si>
  <si>
    <t>CL166408</t>
  </si>
  <si>
    <t>Phones, Cameras &amp; Electronics &gt; Stylus &amp; Smart Pens</t>
  </si>
  <si>
    <t>https://www.staples.com/Stylus-Smart-Pens/cat_CL166408</t>
  </si>
  <si>
    <t>Printers &amp; Scanners</t>
  </si>
  <si>
    <t>3D Printer Parts &amp; Accessories</t>
  </si>
  <si>
    <t>CL214385</t>
  </si>
  <si>
    <t>Printers &amp; Scanners &gt; 3D Printer Parts &amp; Accessories</t>
  </si>
  <si>
    <t>https://www.staples.com/3D-Printer-Parts-Accessories/cat_CL214385</t>
  </si>
  <si>
    <t>3D Printers</t>
  </si>
  <si>
    <t>CL211598</t>
  </si>
  <si>
    <t>Printers &amp; Scanners &gt; 3D Printers</t>
  </si>
  <si>
    <t>https://www.staples.com/3D-Printers/cat_CL211598</t>
  </si>
  <si>
    <t>Printer Accessories &amp; Replacement Parts</t>
  </si>
  <si>
    <t>CL140828</t>
  </si>
  <si>
    <t>Printers &amp; Scanners &gt; Printer Accessories &amp; Replacement Parts</t>
  </si>
  <si>
    <t>https://www.staples.com/Printer-Accessories-Replacement-Parts/cat_CL140828</t>
  </si>
  <si>
    <t>Printers</t>
  </si>
  <si>
    <t>CL167883</t>
  </si>
  <si>
    <t>Printers &amp; Scanners &gt; Printers</t>
  </si>
  <si>
    <t>https://www.staples.com/Printers/cat_CL167883</t>
  </si>
  <si>
    <t>Scanners &amp; Scanner Accessories</t>
  </si>
  <si>
    <t>Scanner Accessories &amp; Replacement Parts</t>
  </si>
  <si>
    <t>CL168162</t>
  </si>
  <si>
    <t>Printers &amp; Scanners &gt; Scanners &amp; Scanner Accessories &gt; Scanner Accessories &amp; Replacement Parts</t>
  </si>
  <si>
    <t>https://www.staples.com/Scanner-Accessories-Replacement-Parts/cat_CL168162</t>
  </si>
  <si>
    <t>Scanners</t>
  </si>
  <si>
    <t>CL158948</t>
  </si>
  <si>
    <t>Printers &amp; Scanners &gt; Scanners &amp; Scanner Accessories &gt; Scanners</t>
  </si>
  <si>
    <t>https://www.staples.com/Scanners/cat_CL158948</t>
  </si>
  <si>
    <t>Restaurant &amp; Foodservice Supplies</t>
  </si>
  <si>
    <t>Bar Supplies</t>
  </si>
  <si>
    <t>CL212438</t>
  </si>
  <si>
    <t>Restaurant &amp; Foodservice Supplies &gt; Bar Supplies</t>
  </si>
  <si>
    <t>https://www.staples.com/Bar-Supplies/cat_CL212438</t>
  </si>
  <si>
    <t>Commercial Restaurant Equipment</t>
  </si>
  <si>
    <t>Equipment Parts &amp; Accessories</t>
  </si>
  <si>
    <t>CL214701</t>
  </si>
  <si>
    <t>Restaurant &amp; Foodservice Supplies &gt; Commercial Restaurant Equipment &gt; Equipment Parts &amp; Accessories</t>
  </si>
  <si>
    <t>https://www.staples.com/Equipment-Parts-Accessories/cat_CL214701</t>
  </si>
  <si>
    <t>Concession Stand Supplies</t>
  </si>
  <si>
    <t>CL211868</t>
  </si>
  <si>
    <t>Restaurant &amp; Foodservice Supplies &gt; Concession Stand Supplies</t>
  </si>
  <si>
    <t>https://www.staples.com/Concession-Stand-Supplies/cat_CL211868</t>
  </si>
  <si>
    <t>Disposable Food Packaging</t>
  </si>
  <si>
    <t>Disposable Bags</t>
  </si>
  <si>
    <t>Food Storage Bags</t>
  </si>
  <si>
    <t>CL167775</t>
  </si>
  <si>
    <t>Restaurant &amp; Foodservice Supplies &gt; Disposable Food Packaging &gt; Disposable Bags &gt; Food Storage Bags</t>
  </si>
  <si>
    <t>https://www.staples.com/Food-Storage-Bags/cat_CL167775</t>
  </si>
  <si>
    <t>Food Packaging Wrap</t>
  </si>
  <si>
    <t>Butcher &amp; Freezer Paper</t>
  </si>
  <si>
    <t>CL216768</t>
  </si>
  <si>
    <t>Restaurant &amp; Foodservice Supplies &gt; Disposable Food Packaging &gt; Food Packaging Wrap &gt; Butcher &amp; Freezer Paper</t>
  </si>
  <si>
    <t>https://www.staples.com/Butcher-Freezer-Paper/cat_CL216768</t>
  </si>
  <si>
    <t>Food Wrap &amp; Foils</t>
  </si>
  <si>
    <t>CL350747</t>
  </si>
  <si>
    <t>Restaurant &amp; Foodservice Supplies &gt; Disposable Food Packaging &gt; Food Packaging Wrap &gt; Food Wrap &amp; Foils</t>
  </si>
  <si>
    <t>https://www.staples.com/Food-Wrap-Foils/cat_CL350747</t>
  </si>
  <si>
    <t>Single-Use Food Containers</t>
  </si>
  <si>
    <t>Carryout Containers &amp; Boxes</t>
  </si>
  <si>
    <t>CL350748</t>
  </si>
  <si>
    <t>Restaurant &amp; Foodservice Supplies &gt; Disposable Food Packaging &gt; Single-Use Food Containers &gt; Carryout Containers &amp; Boxes</t>
  </si>
  <si>
    <t>https://www.staples.com/Carryout-Containers-Boxes/cat_CL350748</t>
  </si>
  <si>
    <t>Pizza Supplies</t>
  </si>
  <si>
    <t>CL211878</t>
  </si>
  <si>
    <t>Restaurant &amp; Foodservice Supplies &gt; Pizza Supplies</t>
  </si>
  <si>
    <t>https://www.staples.com/Pizza-Supplies/cat_CL211878</t>
  </si>
  <si>
    <t>Restaurant Apparel</t>
  </si>
  <si>
    <t>Aprons &amp; Gloves</t>
  </si>
  <si>
    <t>CL211889</t>
  </si>
  <si>
    <t>Restaurant &amp; Foodservice Supplies &gt; Restaurant Apparel &gt; Restaurant Apparel &gt; Aprons &amp; Gloves</t>
  </si>
  <si>
    <t>https://www.staples.com/Aprons-Gloves/cat_CL211889</t>
  </si>
  <si>
    <t>Restaurant Storage &amp; Transport</t>
  </si>
  <si>
    <t>Catering &amp; Buffet Supplies</t>
  </si>
  <si>
    <t>CL213063</t>
  </si>
  <si>
    <t>Restaurant &amp; Foodservice Supplies &gt; Restaurant Storage &amp; Transport &gt; Catering &amp; Buffet Supplies</t>
  </si>
  <si>
    <t>https://www.staples.com/Catering-Buffet-Supplies/cat_CL213063</t>
  </si>
  <si>
    <t>Food Storage &amp; Containers</t>
  </si>
  <si>
    <t>CL211831</t>
  </si>
  <si>
    <t>Restaurant &amp; Foodservice Supplies &gt; Restaurant Storage &amp; Transport &gt; Food Storage &amp; Containers</t>
  </si>
  <si>
    <t>https://www.staples.com/Food-Storage-Containers/cat_CL211831</t>
  </si>
  <si>
    <t>Kitchen Racks</t>
  </si>
  <si>
    <t>CL211754</t>
  </si>
  <si>
    <t>Restaurant &amp; Foodservice Supplies &gt; Restaurant Storage &amp; Transport &gt; Kitchen Racks</t>
  </si>
  <si>
    <t>https://www.staples.com/Kitchen-Racks/cat_CL211754</t>
  </si>
  <si>
    <t>Restaurant Carts &amp; Dollies</t>
  </si>
  <si>
    <t>CL211753</t>
  </si>
  <si>
    <t>Restaurant &amp; Foodservice Supplies &gt; Restaurant Storage &amp; Transport &gt; Restaurant Carts &amp; Dollies</t>
  </si>
  <si>
    <t>https://www.staples.com/Restaurant-Carts-Dollies/cat_CL211753</t>
  </si>
  <si>
    <t>Smallwares</t>
  </si>
  <si>
    <t>Commercial Baking Tools</t>
  </si>
  <si>
    <t>CL211762</t>
  </si>
  <si>
    <t>Restaurant &amp; Foodservice Supplies &gt; Smallwares &gt; Commercial Baking Tools</t>
  </si>
  <si>
    <t>https://www.staples.com/Commercial-Baking-Tools/cat_CL211762</t>
  </si>
  <si>
    <t>Commercial Cookware</t>
  </si>
  <si>
    <t>CL211890</t>
  </si>
  <si>
    <t>Restaurant &amp; Foodservice Supplies &gt; Smallwares &gt; Commercial Cookware</t>
  </si>
  <si>
    <t>https://www.staples.com/Commercial-Cookware/cat_CL211890</t>
  </si>
  <si>
    <t>Commercial Cutlery</t>
  </si>
  <si>
    <t>CL211776</t>
  </si>
  <si>
    <t>Restaurant &amp; Foodservice Supplies &gt; Smallwares &gt; Commercial Cutlery</t>
  </si>
  <si>
    <t>https://www.staples.com/Commercial-Cutlery/cat_CL211776</t>
  </si>
  <si>
    <t>Commercial Food Prep</t>
  </si>
  <si>
    <t>CL211801</t>
  </si>
  <si>
    <t>Restaurant &amp; Foodservice Supplies &gt; Smallwares &gt; Commercial Food Prep</t>
  </si>
  <si>
    <t>https://www.staples.com/Commercial-Food-Prep/cat_CL211801</t>
  </si>
  <si>
    <t>Commercial Kitchen Tools</t>
  </si>
  <si>
    <t>CL212019</t>
  </si>
  <si>
    <t>Restaurant &amp; Foodservice Supplies &gt; Smallwares &gt; Commercial Kitchen Tools</t>
  </si>
  <si>
    <t>https://www.staples.com/Commercial-Kitchen-Tools/cat_CL212019</t>
  </si>
  <si>
    <t>Food Safety</t>
  </si>
  <si>
    <t>CL211812</t>
  </si>
  <si>
    <t>Restaurant &amp; Foodservice Supplies &gt; Smallwares &gt; Food Safety</t>
  </si>
  <si>
    <t>https://www.staples.com/Food-Safety/cat_CL211812</t>
  </si>
  <si>
    <t>Wine Stands &amp; Chiller Buckets</t>
  </si>
  <si>
    <t>CL211687</t>
  </si>
  <si>
    <t>Restaurant &amp; Foodservice Supplies &gt; Smallwares &gt; Wine Stands &amp; Chiller Buckets</t>
  </si>
  <si>
    <t>https://www.staples.com/Wine-Stands-Chiller-Buckets/cat_CL211687</t>
  </si>
  <si>
    <t>Tabletop</t>
  </si>
  <si>
    <t>Dinnerware</t>
  </si>
  <si>
    <t>CL211876</t>
  </si>
  <si>
    <t>Restaurant &amp; Foodservice Supplies &gt; Tabletop &gt; Dinnerware</t>
  </si>
  <si>
    <t>https://www.staples.com/Dinnerware/cat_CL211876</t>
  </si>
  <si>
    <t>Drinkware</t>
  </si>
  <si>
    <t>CL211680</t>
  </si>
  <si>
    <t>Restaurant &amp; Foodservice Supplies &gt; Tabletop &gt; Drinkware</t>
  </si>
  <si>
    <t>https://www.staples.com/Drinkware/cat_CL211680</t>
  </si>
  <si>
    <t>Flatware</t>
  </si>
  <si>
    <t>CL211701</t>
  </si>
  <si>
    <t>Restaurant &amp; Foodservice Supplies &gt; Tabletop &gt; Flatware</t>
  </si>
  <si>
    <t>https://www.staples.com/Flatware/cat_CL211701</t>
  </si>
  <si>
    <t>Host &amp; Server Supplies</t>
  </si>
  <si>
    <t>CL211920</t>
  </si>
  <si>
    <t>Restaurant &amp; Foodservice Supplies &gt; Tabletop &gt; Host &amp; Server Supplies</t>
  </si>
  <si>
    <t>https://www.staples.com/Host-Server-Supplies/cat_CL211920</t>
  </si>
  <si>
    <t>Placemats &amp; Tablecloths</t>
  </si>
  <si>
    <t>CL204432</t>
  </si>
  <si>
    <t>Restaurant &amp; Foodservice Supplies &gt; Tabletop &gt; Placemats &amp; Tablecloths</t>
  </si>
  <si>
    <t>https://www.staples.com/Placemats-Tablecloths/cat_CL204432</t>
  </si>
  <si>
    <t>Serveware</t>
  </si>
  <si>
    <t>CL167776</t>
  </si>
  <si>
    <t>Restaurant &amp; Foodservice Supplies &gt; Tabletop &gt; Serveware</t>
  </si>
  <si>
    <t>https://www.staples.com/Serveware/cat_CL167776</t>
  </si>
  <si>
    <t>Backroom Retail Supplies</t>
  </si>
  <si>
    <t>Backroom Storage</t>
  </si>
  <si>
    <t>CL209062</t>
  </si>
  <si>
    <t>Retail Store Supplies &gt; Backroom Retail Supplies &gt; Backroom Storage</t>
  </si>
  <si>
    <t>https://www.staples.com/Backroom-Storage/cat_CL209062</t>
  </si>
  <si>
    <t>Clothing Hangers &amp; Accessories</t>
  </si>
  <si>
    <t>CL209058</t>
  </si>
  <si>
    <t>Retail Store Supplies &gt; Backroom Retail Supplies &gt; Clothing Hangers &amp; Accessories</t>
  </si>
  <si>
    <t>https://www.staples.com/Clothing-Hangers-Accessories/cat_CL209058</t>
  </si>
  <si>
    <t>Dressing Room Supplies &amp; Try-On Accessories</t>
  </si>
  <si>
    <t>CL209054</t>
  </si>
  <si>
    <t>Retail Store Supplies &gt; Backroom Retail Supplies &gt; Dressing Room Supplies &amp; Try-On Accessories</t>
  </si>
  <si>
    <t>https://www.staples.com/Dressing-Room-Supplies/cat_CL209054</t>
  </si>
  <si>
    <t>Cash Handling</t>
  </si>
  <si>
    <t>Cash Boxes, Drawers &amp; Trays</t>
  </si>
  <si>
    <t>CL355119</t>
  </si>
  <si>
    <t>Retail Store Supplies &gt; Cash Handling &gt; Cash Boxes, Drawers &amp; Trays</t>
  </si>
  <si>
    <t>https://www.staples.com/Cash-Boxes-Drawers-Trays/cat_CL355119</t>
  </si>
  <si>
    <t>CL141449</t>
  </si>
  <si>
    <t>Retail Store Supplies &gt; Cash Handling &gt; Cash Handling</t>
  </si>
  <si>
    <t>https://www.staples.com/Cash-Handling/cat_CL141449</t>
  </si>
  <si>
    <t>Cash-Counting Machines</t>
  </si>
  <si>
    <t>CL355121</t>
  </si>
  <si>
    <t>Retail Store Supplies &gt; Cash Handling &gt; Cash-Counting Machines</t>
  </si>
  <si>
    <t>https://www.staples.com/Cash-Counting-Machines/cat_CL355121</t>
  </si>
  <si>
    <t>Counterfeit Money Detectors</t>
  </si>
  <si>
    <t>CL355117</t>
  </si>
  <si>
    <t>Retail Store Supplies &gt; Cash Handling &gt; Counterfeit Money Detectors</t>
  </si>
  <si>
    <t>https://www.staples.com/Counterfeit-Money-Detectors/cat_CL355117</t>
  </si>
  <si>
    <t>Point of Sale (POS) Equipment</t>
  </si>
  <si>
    <t>Barcode Scanners &amp; Readers</t>
  </si>
  <si>
    <t>CL141846</t>
  </si>
  <si>
    <t>Retail Store Supplies &gt; Point of Sale (POS) Equipment &gt; Barcode Scanners &amp; Readers</t>
  </si>
  <si>
    <t>https://www.staples.com/Barcode-Scanners-Readers/cat_CL141846</t>
  </si>
  <si>
    <t>Cash Register Ribbons</t>
  </si>
  <si>
    <t>CL164020</t>
  </si>
  <si>
    <t>Retail Store Supplies &gt; Point of Sale (POS) Equipment &gt; Cash Register Ribbons</t>
  </si>
  <si>
    <t>https://www.staples.com/Cash-Register-Ribbons/cat_CL164020</t>
  </si>
  <si>
    <t>Cash Registers</t>
  </si>
  <si>
    <t>CL140563</t>
  </si>
  <si>
    <t>Retail Store Supplies &gt; Point of Sale (POS) Equipment &gt; Cash Registers</t>
  </si>
  <si>
    <t>https://www.staples.com/Cash-Registers/cat_CL140563</t>
  </si>
  <si>
    <t>Credit Card Readers</t>
  </si>
  <si>
    <t>CL161346</t>
  </si>
  <si>
    <t>Retail Store Supplies &gt; Point of Sale (POS) Equipment &gt; Credit Card Readers</t>
  </si>
  <si>
    <t>https://www.staples.com/Credit-Card-Readers/cat_CL161346</t>
  </si>
  <si>
    <t>POS Computers &amp; Accessories</t>
  </si>
  <si>
    <t>CL167353</t>
  </si>
  <si>
    <t>Retail Store Supplies &gt; Point of Sale (POS) Equipment &gt; POS Computers &amp; Accessories</t>
  </si>
  <si>
    <t>https://www.staples.com/POS-Computers-Accessories/cat_CL167353</t>
  </si>
  <si>
    <t>POS Receipt Printers</t>
  </si>
  <si>
    <t>CL167354</t>
  </si>
  <si>
    <t>Retail Store Supplies &gt; Point of Sale (POS) Equipment &gt; POS Receipt Printers</t>
  </si>
  <si>
    <t>https://www.staples.com/POS-Receipt-Printers/cat_CL167354</t>
  </si>
  <si>
    <t>POS Software</t>
  </si>
  <si>
    <t>POS Systems &amp; Software</t>
  </si>
  <si>
    <t>CL215125</t>
  </si>
  <si>
    <t>Retail Store Supplies &gt; Point of Sale (POS) Equipment &gt; POS Software &gt; POS Systems &amp; Software</t>
  </si>
  <si>
    <t>https://www.staples.com/POS-Systems-Software/cat_CL215125</t>
  </si>
  <si>
    <t>Pricing &amp; Tagging</t>
  </si>
  <si>
    <t>Inventory Tags</t>
  </si>
  <si>
    <t>CL167806</t>
  </si>
  <si>
    <t>Retail Store Supplies &gt; Pricing &amp; Tagging &gt; Inventory Tags</t>
  </si>
  <si>
    <t>https://www.staples.com/Inventory-Tags/cat_CL167806</t>
  </si>
  <si>
    <t>Pricing &amp; Tagging Guns</t>
  </si>
  <si>
    <t>CL209033</t>
  </si>
  <si>
    <t>Retail Store Supplies &gt; Pricing &amp; Tagging &gt; Pricing &amp; Tagging Guns</t>
  </si>
  <si>
    <t>https://www.staples.com/Pricing-Tagging-Guns/cat_CL209033</t>
  </si>
  <si>
    <t>Pricing Tags &amp; Retail Tags</t>
  </si>
  <si>
    <t>CL141069</t>
  </si>
  <si>
    <t>Retail Store Supplies &gt; Pricing &amp; Tagging &gt; Pricing Tags &amp; Retail Tags</t>
  </si>
  <si>
    <t>https://www.staples.com/Pricing-Tags-Retail-Tags/cat_CL141069</t>
  </si>
  <si>
    <t>Promotional Products</t>
  </si>
  <si>
    <t>CL214878</t>
  </si>
  <si>
    <t>Retail Store Supplies &gt; Promotional Products</t>
  </si>
  <si>
    <t>https://www.staples.com/Promotional-Products/cat_CL214878</t>
  </si>
  <si>
    <t>Apparel Boxes &amp; Garment Bags</t>
  </si>
  <si>
    <t>CL215557</t>
  </si>
  <si>
    <t>Retail Store Supplies &gt; Retail Packaging &gt; Apparel Boxes &amp; Garment Bags</t>
  </si>
  <si>
    <t>https://www.staples.com/Apparel-Boxes-Garment-Bags/cat_CL215557</t>
  </si>
  <si>
    <t>Decorative Shipping Boxes</t>
  </si>
  <si>
    <t>CL214916</t>
  </si>
  <si>
    <t>Retail Store Supplies &gt; Retail Packaging &gt; Decorative Shipping Boxes</t>
  </si>
  <si>
    <t>https://www.staples.com/Decorative-Shipping-Boxes/cat_CL214916</t>
  </si>
  <si>
    <t>Food Boxes &amp; Bags</t>
  </si>
  <si>
    <t>CL215558</t>
  </si>
  <si>
    <t>Retail Store Supplies &gt; Retail Packaging &gt; Food Boxes &amp; Bags</t>
  </si>
  <si>
    <t>https://www.staples.com/Food-Boxes-Bags/cat_CL215558</t>
  </si>
  <si>
    <t>Mailers &amp; Shipping Boxes</t>
  </si>
  <si>
    <t>CL215559</t>
  </si>
  <si>
    <t>Retail Store Supplies &gt; Retail Packaging &gt; Mailers &amp; Shipping Boxes</t>
  </si>
  <si>
    <t>https://www.staples.com/Mailers-Shipping-Boxes/cat_CL215559</t>
  </si>
  <si>
    <t>https://www.staples.com/Boxes-Bags/cat_CL167951</t>
  </si>
  <si>
    <t>Shopping Bags</t>
  </si>
  <si>
    <t>CL215555</t>
  </si>
  <si>
    <t>Retail Store Supplies &gt; Retail Packaging &gt; Shopping Bags</t>
  </si>
  <si>
    <t>https://www.staples.com/Shopping-Bags/cat_CL215555</t>
  </si>
  <si>
    <t>Retail Signage</t>
  </si>
  <si>
    <t>Custom Retail Signage</t>
  </si>
  <si>
    <t>CL167722</t>
  </si>
  <si>
    <t>Retail Store Supplies &gt; Retail Signage &gt; Custom Retail Signage</t>
  </si>
  <si>
    <t>https://www.staples.com/Custom-Retail-Signage/cat_CL167722</t>
  </si>
  <si>
    <t>Indoor &amp; Outdoor Retail Signage</t>
  </si>
  <si>
    <t>CL142611</t>
  </si>
  <si>
    <t>Retail Store Supplies &gt; Retail Signage &gt; Indoor &amp; Outdoor Retail Signage</t>
  </si>
  <si>
    <t>https://www.staples.com/Indoor-Outdoor-Retail-Signage/cat_CL142611</t>
  </si>
  <si>
    <t>Literature &amp; Sign Holders</t>
  </si>
  <si>
    <t>CL140608</t>
  </si>
  <si>
    <t>Retail Store Supplies &gt; Retail Signage &gt; Literature &amp; Sign Holders</t>
  </si>
  <si>
    <t>https://www.staples.com/Literature-Sign-Holders/cat_CL140608</t>
  </si>
  <si>
    <t>Sign Materials</t>
  </si>
  <si>
    <t>CL210924</t>
  </si>
  <si>
    <t>Retail Store Supplies &gt; Retail Signage &gt; Sign Materials</t>
  </si>
  <si>
    <t>https://www.staples.com/Sign-Materials/cat_CL210924</t>
  </si>
  <si>
    <t>Suggestion &amp; Ballot Boxes</t>
  </si>
  <si>
    <t>CL160033</t>
  </si>
  <si>
    <t>Retail Store Supplies &gt; Retail Signage &gt; Suggestion &amp; Ballot Boxes</t>
  </si>
  <si>
    <t>https://www.staples.com/Suggestion-Ballot-Boxes/cat_CL160033</t>
  </si>
  <si>
    <t>Sewing &amp; Tailoring</t>
  </si>
  <si>
    <t>Fabric</t>
  </si>
  <si>
    <t>CL211374</t>
  </si>
  <si>
    <t>Retail Store Supplies &gt; Sewing &amp; Tailoring &gt; Fabric</t>
  </si>
  <si>
    <t>https://www.staples.com/Fabric/cat_CL211374</t>
  </si>
  <si>
    <t>Fasteners</t>
  </si>
  <si>
    <t>CL211392</t>
  </si>
  <si>
    <t>Retail Store Supplies &gt; Sewing &amp; Tailoring &gt; Fasteners</t>
  </si>
  <si>
    <t>https://www.staples.com/Fasteners/cat_CL211392</t>
  </si>
  <si>
    <t>Garment Steamers &amp; Irons</t>
  </si>
  <si>
    <t>CL166373</t>
  </si>
  <si>
    <t>Retail Store Supplies &gt; Sewing &amp; Tailoring &gt; Garment Steamers &amp; Irons</t>
  </si>
  <si>
    <t>https://www.staples.com/Garment-Steamers-Irons/cat_CL166373</t>
  </si>
  <si>
    <t>Knit &amp; Crochet Supplies</t>
  </si>
  <si>
    <t>CL212762</t>
  </si>
  <si>
    <t>Retail Store Supplies &gt; Sewing &amp; Tailoring &gt; Knit &amp; Crochet Supplies</t>
  </si>
  <si>
    <t>https://www.staples.com/Knit-Crochet-Supplies/cat_CL212762</t>
  </si>
  <si>
    <t>Needles &amp; Pins</t>
  </si>
  <si>
    <t>CL211395</t>
  </si>
  <si>
    <t>Retail Store Supplies &gt; Sewing &amp; Tailoring &gt; Needles &amp; Pins</t>
  </si>
  <si>
    <t>https://www.staples.com/Needles-Pins/cat_CL211395</t>
  </si>
  <si>
    <t>Safety Pins</t>
  </si>
  <si>
    <t>CL168771</t>
  </si>
  <si>
    <t>Retail Store Supplies &gt; Sewing &amp; Tailoring &gt; Safety Pins</t>
  </si>
  <si>
    <t>https://www.staples.com/Safety-Pins/cat_CL168771</t>
  </si>
  <si>
    <t>Sewing Machines</t>
  </si>
  <si>
    <t>CL209206</t>
  </si>
  <si>
    <t>Retail Store Supplies &gt; Sewing &amp; Tailoring &gt; Sewing Machines</t>
  </si>
  <si>
    <t>https://www.staples.com/Sewing-Machines/cat_CL209206</t>
  </si>
  <si>
    <t>Sewing Tools</t>
  </si>
  <si>
    <t>CL211398</t>
  </si>
  <si>
    <t>Retail Store Supplies &gt; Sewing &amp; Tailoring &gt; Sewing Tools</t>
  </si>
  <si>
    <t>https://www.staples.com/Sewing-Tools/cat_CL211398</t>
  </si>
  <si>
    <t>Thread</t>
  </si>
  <si>
    <t>CL212792</t>
  </si>
  <si>
    <t>Retail Store Supplies &gt; Sewing &amp; Tailoring &gt; Thread</t>
  </si>
  <si>
    <t>https://www.staples.com/Thread/cat_CL212792</t>
  </si>
  <si>
    <t>Yarn</t>
  </si>
  <si>
    <t>CL212767</t>
  </si>
  <si>
    <t>Retail Store Supplies &gt; Sewing &amp; Tailoring &gt; Yarn</t>
  </si>
  <si>
    <t>https://www.staples.com/Yarn/cat_CL212767</t>
  </si>
  <si>
    <t>Bath &amp; Body</t>
  </si>
  <si>
    <t>Body Treatments</t>
  </si>
  <si>
    <t>CL214332</t>
  </si>
  <si>
    <t>Retail Store Supplies &gt; Spa &amp; Salon &gt; Bath &amp; Body &gt; Body Treatments</t>
  </si>
  <si>
    <t>https://www.staples.com/Body-Treatments/cat_CL214332</t>
  </si>
  <si>
    <t>Shower Caps</t>
  </si>
  <si>
    <t>CL214207</t>
  </si>
  <si>
    <t>Retail Store Supplies &gt; Spa &amp; Salon &gt; Bath &amp; Body &gt; Shower Caps</t>
  </si>
  <si>
    <t>https://www.staples.com/Shower-Caps/cat_CL214207</t>
  </si>
  <si>
    <t>Cosmetics</t>
  </si>
  <si>
    <t>CL214563</t>
  </si>
  <si>
    <t>Retail Store Supplies &gt; Spa &amp; Salon &gt; Cosmetics</t>
  </si>
  <si>
    <t>https://www.staples.com/Cosmetics/cat_CL214563</t>
  </si>
  <si>
    <t>Hair</t>
  </si>
  <si>
    <t>Brushes, Combs &amp; Piks</t>
  </si>
  <si>
    <t>CL214177</t>
  </si>
  <si>
    <t>Retail Store Supplies &gt; Spa &amp; Salon &gt; Hair &gt; Brushes, Combs &amp; Piks</t>
  </si>
  <si>
    <t>https://www.staples.com/Brushes-Combs-Piks/cat_CL214177</t>
  </si>
  <si>
    <t>Clippers &amp; Buzzers</t>
  </si>
  <si>
    <t>CL214184</t>
  </si>
  <si>
    <t>Retail Store Supplies &gt; Spa &amp; Salon &gt; Hair &gt; Clippers &amp; Buzzers</t>
  </si>
  <si>
    <t>https://www.staples.com/Clippers-Buzzers/cat_CL214184</t>
  </si>
  <si>
    <t>Hair Styling Products</t>
  </si>
  <si>
    <t>CL214181</t>
  </si>
  <si>
    <t>Retail Store Supplies &gt; Spa &amp; Salon &gt; Hair &gt; Hair Styling Products</t>
  </si>
  <si>
    <t>https://www.staples.com/Hair-Styling-Products/cat_CL214181</t>
  </si>
  <si>
    <t>Hair Styling Tools</t>
  </si>
  <si>
    <t>CL166372</t>
  </si>
  <si>
    <t>Retail Store Supplies &gt; Spa &amp; Salon &gt; Hair &gt; Hair Styling Tools</t>
  </si>
  <si>
    <t>https://www.staples.com/Hair-Styling-Tools/cat_CL166372</t>
  </si>
  <si>
    <t>Shampoo &amp; Conditioner</t>
  </si>
  <si>
    <t>CL214180</t>
  </si>
  <si>
    <t>Retail Store Supplies &gt; Spa &amp; Salon &gt; Hair &gt; Shampoo &amp; Conditioner</t>
  </si>
  <si>
    <t>https://www.staples.com/Shampoo-Conditioner/cat_CL214180</t>
  </si>
  <si>
    <t>Nails</t>
  </si>
  <si>
    <t>Artificial Nails &amp; Supplies</t>
  </si>
  <si>
    <t>CL214330</t>
  </si>
  <si>
    <t>Retail Store Supplies &gt; Spa &amp; Salon &gt; Nails &gt; Artificial Nails &amp; Supplies</t>
  </si>
  <si>
    <t>https://www.staples.com/Artificial-Nails-Supplies/cat_CL214330</t>
  </si>
  <si>
    <t>Manicure &amp; Pedicure Supplies</t>
  </si>
  <si>
    <t>CL214185</t>
  </si>
  <si>
    <t>Retail Store Supplies &gt; Spa &amp; Salon &gt; Nails &gt; Manicure &amp; Pedicure Supplies</t>
  </si>
  <si>
    <t>https://www.staples.com/Manicure-Pedicure-Supplies/cat_CL214185</t>
  </si>
  <si>
    <t>Nail Clippers</t>
  </si>
  <si>
    <t>CL214186</t>
  </si>
  <si>
    <t>Retail Store Supplies &gt; Spa &amp; Salon &gt; Nails &gt; Nail Clippers</t>
  </si>
  <si>
    <t>https://www.staples.com/Nail-Clippers/cat_CL214186</t>
  </si>
  <si>
    <t>Nail Treatment &amp; Remover</t>
  </si>
  <si>
    <t>CL214190</t>
  </si>
  <si>
    <t>Retail Store Supplies &gt; Spa &amp; Salon &gt; Nails &gt; Nail Treatment &amp; Remover</t>
  </si>
  <si>
    <t>https://www.staples.com/Nail-Treatment-Remover/cat_CL214190</t>
  </si>
  <si>
    <t>Shaving</t>
  </si>
  <si>
    <t>Aftershave</t>
  </si>
  <si>
    <t>CL168727</t>
  </si>
  <si>
    <t>Retail Store Supplies &gt; Spa &amp; Salon &gt; Shaving &gt; Aftershave</t>
  </si>
  <si>
    <t>https://www.staples.com/Aftershave/cat_CL168727</t>
  </si>
  <si>
    <t>Disposable Razors</t>
  </si>
  <si>
    <t>CL168728</t>
  </si>
  <si>
    <t>Retail Store Supplies &gt; Spa &amp; Salon &gt; Shaving &gt; Disposable Razors</t>
  </si>
  <si>
    <t>https://www.staples.com/Disposable-Razors/cat_CL168728</t>
  </si>
  <si>
    <t>Hair Removal &amp; Shaving Products</t>
  </si>
  <si>
    <t>CL214331</t>
  </si>
  <si>
    <t>Retail Store Supplies &gt; Spa &amp; Salon &gt; Shaving &gt; Hair Removal &amp; Shaving Products</t>
  </si>
  <si>
    <t>https://www.staples.com/Hair-Removal-Shaving-Products/cat_CL214331</t>
  </si>
  <si>
    <t>Heating &amp; Warming Pads</t>
  </si>
  <si>
    <t>CL214210</t>
  </si>
  <si>
    <t>Retail Store Supplies &gt; Spa &amp; Salon &gt; Spa &amp; Massage &gt; Heating &amp; Warming Pads</t>
  </si>
  <si>
    <t>https://www.staples.com/Heating-Warming-Pads/cat_CL214210</t>
  </si>
  <si>
    <t>https://www.staples.com/Massage-Tools/cat_CL214214</t>
  </si>
  <si>
    <t>Massage Stools</t>
  </si>
  <si>
    <t>CL214212</t>
  </si>
  <si>
    <t>Retail Store Supplies &gt; Spa &amp; Salon &gt; Spa &amp; Massage &gt; Massage Stools</t>
  </si>
  <si>
    <t>https://www.staples.com/Massage-Stools/cat_CL214212</t>
  </si>
  <si>
    <t>Massage Tables</t>
  </si>
  <si>
    <t>CL214213</t>
  </si>
  <si>
    <t>Retail Store Supplies &gt; Spa &amp; Salon &gt; Spa &amp; Massage &gt; Massage Tables</t>
  </si>
  <si>
    <t>https://www.staples.com/Massage-Tables/cat_CL214213</t>
  </si>
  <si>
    <t>Oils, Creams, Lotions</t>
  </si>
  <si>
    <t>CL214215</t>
  </si>
  <si>
    <t>Retail Store Supplies &gt; Spa &amp; Salon &gt; Spa &amp; Massage &gt; Oils, Creams, Lotions</t>
  </si>
  <si>
    <t>https://www.staples.com/Oils-Creams-Lotions/cat_CL214215</t>
  </si>
  <si>
    <t>Pillows &amp; Pillow Cover</t>
  </si>
  <si>
    <t>CL214216</t>
  </si>
  <si>
    <t>Retail Store Supplies &gt; Spa &amp; Salon &gt; Spa &amp; Massage &gt; Pillows &amp; Pillow Cover</t>
  </si>
  <si>
    <t>https://www.staples.com/Pillows-Pillow-Cover/cat_CL214216</t>
  </si>
  <si>
    <t>Store Fixtures &amp; Retail Displays</t>
  </si>
  <si>
    <t>Dress Forms</t>
  </si>
  <si>
    <t>CL209129</t>
  </si>
  <si>
    <t>Retail Store Supplies &gt; Store Fixtures &amp; Retail Displays &gt; Dress Forms</t>
  </si>
  <si>
    <t>https://www.staples.com/Dress-Forms/cat_CL209129</t>
  </si>
  <si>
    <t>Floor &amp; Wall Mirrors</t>
  </si>
  <si>
    <t>CL209124</t>
  </si>
  <si>
    <t>Retail Store Supplies &gt; Store Fixtures &amp; Retail Displays &gt; Floor &amp; Wall Mirrors</t>
  </si>
  <si>
    <t>https://www.staples.com/Floor-Wall-Mirrors/cat_CL209124</t>
  </si>
  <si>
    <t>Hangrails &amp; Accessories</t>
  </si>
  <si>
    <t>CL210793</t>
  </si>
  <si>
    <t>Retail Store Supplies &gt; Store Fixtures &amp; Retail Displays &gt; Hangrails &amp; Accessories</t>
  </si>
  <si>
    <t>https://www.staples.com/Hangrails-Accessories/cat_CL210793</t>
  </si>
  <si>
    <t>Mannequins</t>
  </si>
  <si>
    <t>CL209130</t>
  </si>
  <si>
    <t>Retail Store Supplies &gt; Store Fixtures &amp; Retail Displays &gt; Mannequins</t>
  </si>
  <si>
    <t>https://www.staples.com/Mannequins/cat_CL209130</t>
  </si>
  <si>
    <t>Merchandisers</t>
  </si>
  <si>
    <t>CL209126</t>
  </si>
  <si>
    <t>Retail Store Supplies &gt; Store Fixtures &amp; Retail Displays &gt; Merchandisers</t>
  </si>
  <si>
    <t>https://www.staples.com/Merchandisers/cat_CL209126</t>
  </si>
  <si>
    <t>Pegboard &amp; Accessories</t>
  </si>
  <si>
    <t>CL209118</t>
  </si>
  <si>
    <t>Retail Store Supplies &gt; Store Fixtures &amp; Retail Displays &gt; Pegboard &amp; Accessories</t>
  </si>
  <si>
    <t>https://www.staples.com/Pegboard-Accessories/cat_CL209118</t>
  </si>
  <si>
    <t>Retail Displays</t>
  </si>
  <si>
    <t>CL209133</t>
  </si>
  <si>
    <t>Retail Store Supplies &gt; Store Fixtures &amp; Retail Displays &gt; Retail Displays</t>
  </si>
  <si>
    <t>https://www.staples.com/Retail-Displays/cat_CL209133</t>
  </si>
  <si>
    <t>Slat-Grid Panels &amp; Accessories</t>
  </si>
  <si>
    <t>CL209120</t>
  </si>
  <si>
    <t>Retail Store Supplies &gt; Store Fixtures &amp; Retail Displays &gt; Slat-Grid Panels &amp; Accessories</t>
  </si>
  <si>
    <t>https://www.staples.com/Slat-Grid-Panels-Accessories/cat_CL209120</t>
  </si>
  <si>
    <t>Slatwall Panels &amp; Accessories</t>
  </si>
  <si>
    <t>CL163457</t>
  </si>
  <si>
    <t>Retail Store Supplies &gt; Store Fixtures &amp; Retail Displays &gt; Slatwall Panels &amp; Accessories</t>
  </si>
  <si>
    <t>https://www.staples.com/Slatwall-Panels-Accessories/cat_CL163457</t>
  </si>
  <si>
    <t>Wire Grid Panels &amp; Accessories</t>
  </si>
  <si>
    <t>CL163458</t>
  </si>
  <si>
    <t>Retail Store Supplies &gt; Store Fixtures &amp; Retail Displays &gt; Wire Grid Panels &amp; Accessories</t>
  </si>
  <si>
    <t>https://www.staples.com/Wire-Grid-Panels-Accessories/cat_CL163458</t>
  </si>
  <si>
    <t>Store Security &amp; Operations</t>
  </si>
  <si>
    <t>Gift Certificates</t>
  </si>
  <si>
    <t>CL164586</t>
  </si>
  <si>
    <t>Retail Store Supplies &gt; Store Security &amp; Operations &gt; Gift Certificates</t>
  </si>
  <si>
    <t>https://www.staples.com/Gift-Certificates/cat_CL164586</t>
  </si>
  <si>
    <t>Motion Detectors</t>
  </si>
  <si>
    <t>CL209045</t>
  </si>
  <si>
    <t>Retail Store Supplies &gt; Store Security &amp; Operations &gt; Motion Detectors</t>
  </si>
  <si>
    <t>https://www.staples.com/Motion-Detectors/cat_CL209045</t>
  </si>
  <si>
    <t>Name Tags &amp; Badges</t>
  </si>
  <si>
    <t>CL140965</t>
  </si>
  <si>
    <t>Retail Store Supplies &gt; Store Security &amp; Operations &gt; Name Tags &amp; Badges</t>
  </si>
  <si>
    <t>https://www.staples.com/Name-Tags-Badges/cat_CL140965</t>
  </si>
  <si>
    <t>Shopping Baskets &amp; Carts</t>
  </si>
  <si>
    <t>CL209052</t>
  </si>
  <si>
    <t>Retail Store Supplies &gt; Store Security &amp; Operations &gt; Shopping Baskets &amp; Carts</t>
  </si>
  <si>
    <t>https://www.staples.com/Shopping-Baskets-Carts/cat_CL209052</t>
  </si>
  <si>
    <t>Time Clock Cards &amp; Racks</t>
  </si>
  <si>
    <t>CL142193</t>
  </si>
  <si>
    <t>Retail Store Supplies &gt; Time Clock Cards &amp; Racks</t>
  </si>
  <si>
    <t>https://www.staples.com/Time-Clock-Cards-Racks/cat_CL142193</t>
  </si>
  <si>
    <t>Time Clock Ribbons &amp; Batteries</t>
  </si>
  <si>
    <t>CL159773</t>
  </si>
  <si>
    <t>Retail Store Supplies &gt; Time Clock Ribbons &amp; Batteries</t>
  </si>
  <si>
    <t>https://www.staples.com/Time-Clock-Ribbons-Batteries/cat_CL159773</t>
  </si>
  <si>
    <t>Time Clock Systems</t>
  </si>
  <si>
    <t>CL163590</t>
  </si>
  <si>
    <t>Retail Store Supplies &gt; Time Clock Systems</t>
  </si>
  <si>
    <t>https://www.staples.com/Time-Clock-Systems/cat_CL163590</t>
  </si>
  <si>
    <t>Safety Supplies</t>
  </si>
  <si>
    <t>Crowd Control Accessories</t>
  </si>
  <si>
    <t>CL169146</t>
  </si>
  <si>
    <t>Safety Supplies &gt; Crowd Control Accessories</t>
  </si>
  <si>
    <t>https://www.staples.com/Crowd-Control-Accessories/cat_CL169146</t>
  </si>
  <si>
    <t>Fall Protection Kits, Parts &amp; Accessories</t>
  </si>
  <si>
    <t>CL166996</t>
  </si>
  <si>
    <t>Safety Supplies &gt; Fall Protection Kits, Parts &amp; Accessories</t>
  </si>
  <si>
    <t>https://www.staples.com/Fall-Protection-Kits-Parts-Accessories/cat_CL166996</t>
  </si>
  <si>
    <t>Fire Protection</t>
  </si>
  <si>
    <t>Fire Extinguishers</t>
  </si>
  <si>
    <t>CL166489</t>
  </si>
  <si>
    <t>Safety Supplies &gt; Fire Protection &gt; Fire Extinguishers</t>
  </si>
  <si>
    <t>https://www.staples.com/Fire-Extinguishers/cat_CL166489</t>
  </si>
  <si>
    <t>Smoke Alarms &amp; Carbon Monoxide Detectors</t>
  </si>
  <si>
    <t>CL169139</t>
  </si>
  <si>
    <t>Safety Supplies &gt; Fire Protection &gt; Smoke Alarms &amp; Carbon Monoxide Detectors</t>
  </si>
  <si>
    <t>https://www.staples.com/Smoke-Alarms-Carbon-Monoxide-Detectors/cat_CL169139</t>
  </si>
  <si>
    <t>Generators</t>
  </si>
  <si>
    <t>CL211530</t>
  </si>
  <si>
    <t>Safety Supplies &gt; Generators</t>
  </si>
  <si>
    <t>https://www.staples.com/Generators/cat_CL211530</t>
  </si>
  <si>
    <t>Ice Melt</t>
  </si>
  <si>
    <t>CL164825</t>
  </si>
  <si>
    <t>Safety Supplies &gt; Ice Melt</t>
  </si>
  <si>
    <t>https://www.staples.com/Ice-Melt/cat_CL164825</t>
  </si>
  <si>
    <t>Personal Protective Equipment (PPE)</t>
  </si>
  <si>
    <t>Ear Protection</t>
  </si>
  <si>
    <t>CL167051</t>
  </si>
  <si>
    <t>Safety Supplies &gt; Personal Protective Equipment (PPE) &gt; Ear Protection</t>
  </si>
  <si>
    <t>https://www.staples.com/Ear-Protection/cat_CL167051</t>
  </si>
  <si>
    <t>Ergonomic Support</t>
  </si>
  <si>
    <t>CL167043</t>
  </si>
  <si>
    <t>Safety Supplies &gt; Personal Protective Equipment (PPE) &gt; Ergonomic Support</t>
  </si>
  <si>
    <t>https://www.staples.com/Ergonomic-Support/cat_CL167043</t>
  </si>
  <si>
    <t>Eye Protection</t>
  </si>
  <si>
    <t>Eyewash Stations &amp; Showers</t>
  </si>
  <si>
    <t>CL350695</t>
  </si>
  <si>
    <t>Safety Supplies &gt; Personal Protective Equipment (PPE) &gt; Eye Protection &gt; Eyewash Stations &amp; Showers</t>
  </si>
  <si>
    <t>https://www.staples.com/Eyewash-Stations-Showers/cat_CL350695</t>
  </si>
  <si>
    <t>Safety Glasses, Goggles &amp; Accessories</t>
  </si>
  <si>
    <t>CL167003</t>
  </si>
  <si>
    <t>Safety Supplies &gt; Personal Protective Equipment (PPE) &gt; Eye Protection &gt; Safety Glasses, Goggles &amp; Accessories</t>
  </si>
  <si>
    <t>https://www.staples.com/Safety-Glasses-Goggles-Accessories/cat_CL167003</t>
  </si>
  <si>
    <t>Face Masks &amp; Respirators</t>
  </si>
  <si>
    <t>CL167000</t>
  </si>
  <si>
    <t>Safety Supplies &gt; Personal Protective Equipment (PPE) &gt; Face Masks &amp; Respirators</t>
  </si>
  <si>
    <t>https://www.staples.com/Face-Masks-Respirators/cat_CL167000</t>
  </si>
  <si>
    <t>Gloves &amp; Hand Protection</t>
  </si>
  <si>
    <t>Disposable Gloves</t>
  </si>
  <si>
    <t>CL167009</t>
  </si>
  <si>
    <t>Safety Supplies &gt; Personal Protective Equipment (PPE) &gt; Gloves &amp; Hand Protection &gt; Disposable Gloves</t>
  </si>
  <si>
    <t>https://www.staples.com/Disposable-Gloves/cat_CL167009</t>
  </si>
  <si>
    <t>Work Gloves</t>
  </si>
  <si>
    <t>CL354511</t>
  </si>
  <si>
    <t>Safety Supplies &gt; Personal Protective Equipment (PPE) &gt; Gloves &amp; Hand Protection &gt; Work Gloves</t>
  </si>
  <si>
    <t>https://www.staples.com/Work-Gloves/cat_CL354511</t>
  </si>
  <si>
    <t>Head &amp; Face Protection</t>
  </si>
  <si>
    <t>Bandanas, Headbands &amp; Headwear</t>
  </si>
  <si>
    <t>CL167049</t>
  </si>
  <si>
    <t>Safety Supplies &gt; Personal Protective Equipment (PPE) &gt; Head &amp; Face Protection &gt; Bandanas, Headbands &amp; Headwear</t>
  </si>
  <si>
    <t>https://www.staples.com/Bandanas-Headbands-Headwear/cat_CL167049</t>
  </si>
  <si>
    <t>Beard &amp; Hair Nets</t>
  </si>
  <si>
    <t>CL167295</t>
  </si>
  <si>
    <t>Safety Supplies &gt; Personal Protective Equipment (PPE) &gt; Head &amp; Face Protection &gt; Beard &amp; Hair Nets</t>
  </si>
  <si>
    <t>https://www.staples.com/Beard-Hair-Nets/cat_CL167295</t>
  </si>
  <si>
    <t>Face Shields &amp; Visors</t>
  </si>
  <si>
    <t>CL166863</t>
  </si>
  <si>
    <t>Safety Supplies &gt; Personal Protective Equipment (PPE) &gt; Head &amp; Face Protection &gt; Face Shields &amp; Visors</t>
  </si>
  <si>
    <t>https://www.staples.com/Face-Shields-Visors/cat_CL166863</t>
  </si>
  <si>
    <t>Hard Hat &amp; Safety Helmet Accessories</t>
  </si>
  <si>
    <t>CL354516</t>
  </si>
  <si>
    <t>Safety Supplies &gt; Personal Protective Equipment (PPE) &gt; Head &amp; Face Protection &gt; Hard Hat &amp; Safety Helmet Accessories</t>
  </si>
  <si>
    <t>https://www.staples.com/Hard-Hat-Safety-Helmet-Accessories/cat_CL354516</t>
  </si>
  <si>
    <t>Hard Hats &amp; Safety Helmets</t>
  </si>
  <si>
    <t>CL167013</t>
  </si>
  <si>
    <t>Safety Supplies &gt; Personal Protective Equipment (PPE) &gt; Head &amp; Face Protection &gt; Hard Hats &amp; Safety Helmets</t>
  </si>
  <si>
    <t>https://www.staples.com/Hard-Hats-Safety-Helmets/cat_CL167013</t>
  </si>
  <si>
    <t>Personal Protective Equipment (PPE) Kits</t>
  </si>
  <si>
    <t>CL350720</t>
  </si>
  <si>
    <t>Safety Supplies &gt; Personal Protective Equipment (PPE) &gt; Personal Protective Equipment (PPE) Kits</t>
  </si>
  <si>
    <t>https://www.staples.com/Personal-Protective-Equipment-PPE-Kits/cat_CL350720</t>
  </si>
  <si>
    <t>Shoe Covers</t>
  </si>
  <si>
    <t>CL355123</t>
  </si>
  <si>
    <t>Safety Supplies &gt; Personal Protective Equipment (PPE) &gt; Shoe Covers</t>
  </si>
  <si>
    <t>https://www.staples.com/Shoe-Covers/cat_CL355123</t>
  </si>
  <si>
    <t>Shoe Insoles</t>
  </si>
  <si>
    <t>CL355116</t>
  </si>
  <si>
    <t>Safety Supplies &gt; Personal Protective Equipment (PPE) &gt; Shoe Insoles</t>
  </si>
  <si>
    <t>https://www.staples.com/Shoe-Insoles/cat_CL355116</t>
  </si>
  <si>
    <t>Shoe Traction</t>
  </si>
  <si>
    <t>CL167041</t>
  </si>
  <si>
    <t>Safety Supplies &gt; Personal Protective Equipment (PPE) &gt; Shoe Traction</t>
  </si>
  <si>
    <t>https://www.staples.com/Footwear-Covers/cat_CL167041</t>
  </si>
  <si>
    <t>Workwear &amp; Rainwear</t>
  </si>
  <si>
    <t>Coats &amp; Jackets</t>
  </si>
  <si>
    <t>CL167038</t>
  </si>
  <si>
    <t>Safety Supplies &gt; Personal Protective Equipment (PPE) &gt; Workwear &amp; Rainwear &gt; Coats &amp; Jackets</t>
  </si>
  <si>
    <t>https://www.staples.com/Coats-Jackets/cat_CL167038</t>
  </si>
  <si>
    <t>Coveralls &amp; Overalls</t>
  </si>
  <si>
    <t>CL214831</t>
  </si>
  <si>
    <t>Safety Supplies &gt; Personal Protective Equipment (PPE) &gt; Workwear &amp; Rainwear &gt; Coveralls &amp; Overalls</t>
  </si>
  <si>
    <t>https://www.staples.com/Coveralls-Overalls/cat_CL214831</t>
  </si>
  <si>
    <t>Hand Warmers &amp; Pads</t>
  </si>
  <si>
    <t>CL167006</t>
  </si>
  <si>
    <t>Safety Supplies &gt; Personal Protective Equipment (PPE) &gt; Workwear &amp; Rainwear &gt; Hand Warmers &amp; Pads</t>
  </si>
  <si>
    <t>https://www.staples.com/Hand-Warmers-Pads/cat_CL167006</t>
  </si>
  <si>
    <t>Jackets &amp; Vests</t>
  </si>
  <si>
    <t>CL214829</t>
  </si>
  <si>
    <t>Safety Supplies &gt; Personal Protective Equipment (PPE) &gt; Workwear &amp; Rainwear &gt; Jackets &amp; Vests</t>
  </si>
  <si>
    <t>https://www.staples.com/Jackets-Vests/cat_CL214829</t>
  </si>
  <si>
    <t>Pants &amp; Jeans</t>
  </si>
  <si>
    <t>CL214830</t>
  </si>
  <si>
    <t>Safety Supplies &gt; Personal Protective Equipment (PPE) &gt; Workwear &amp; Rainwear &gt; Pants &amp; Jeans</t>
  </si>
  <si>
    <t>https://www.staples.com/Pants-Jeans/cat_CL214830</t>
  </si>
  <si>
    <t>Protective Clothing</t>
  </si>
  <si>
    <t>CL165303</t>
  </si>
  <si>
    <t>Safety Supplies &gt; Personal Protective Equipment (PPE) &gt; Workwear &amp; Rainwear &gt; Protective Clothing</t>
  </si>
  <si>
    <t>https://www.staples.com/Protective-Clothing/cat_CL165303</t>
  </si>
  <si>
    <t>Raincoats &amp; Rainwear</t>
  </si>
  <si>
    <t>CL167039</t>
  </si>
  <si>
    <t>Safety Supplies &gt; Personal Protective Equipment (PPE) &gt; Workwear &amp; Rainwear &gt; Raincoats &amp; Rainwear</t>
  </si>
  <si>
    <t>https://www.staples.com/Raincoats-Rainwear/cat_CL167039</t>
  </si>
  <si>
    <t>Sleeves &amp; Bibs</t>
  </si>
  <si>
    <t>CL167047</t>
  </si>
  <si>
    <t>Safety Supplies &gt; Personal Protective Equipment (PPE) &gt; Workwear &amp; Rainwear &gt; Sleeves &amp; Bibs</t>
  </si>
  <si>
    <t>https://www.staples.com/Sleeves-Bibs/cat_CL167047</t>
  </si>
  <si>
    <t>Winter Hoods &amp; Balaclavas</t>
  </si>
  <si>
    <t>CL167040</t>
  </si>
  <si>
    <t>Safety Supplies &gt; Personal Protective Equipment (PPE) &gt; Workwear &amp; Rainwear &gt; Winter Hoods &amp; Balaclavas</t>
  </si>
  <si>
    <t>https://www.staples.com/Winter-Hoods-Balaclavas/cat_CL167040</t>
  </si>
  <si>
    <t>Workwear Accessories</t>
  </si>
  <si>
    <t>CL215613</t>
  </si>
  <si>
    <t>Safety Supplies &gt; Personal Protective Equipment (PPE) &gt; Workwear &amp; Rainwear &gt; Workwear Accessories</t>
  </si>
  <si>
    <t>https://www.staples.com/Workwear-Accessories/cat_CL215613</t>
  </si>
  <si>
    <t>Safety Harnesses</t>
  </si>
  <si>
    <t>CL166997</t>
  </si>
  <si>
    <t>Safety Supplies &gt; Safety Harnesses</t>
  </si>
  <si>
    <t>https://www.staples.com/Safety-Harnesses/cat_CL166997</t>
  </si>
  <si>
    <t>Safety Lanyards</t>
  </si>
  <si>
    <t>CL166998</t>
  </si>
  <si>
    <t>Safety Supplies &gt; Safety Lanyards</t>
  </si>
  <si>
    <t>https://www.staples.com/Safety-Lanyards/cat_CL166998</t>
  </si>
  <si>
    <t>Safety Storage</t>
  </si>
  <si>
    <t>Safety Cabinets &amp; Shelves</t>
  </si>
  <si>
    <t>CL208109</t>
  </si>
  <si>
    <t>Safety Supplies &gt; Safety Storage &gt; Safety Cabinets &amp; Shelves</t>
  </si>
  <si>
    <t>https://www.staples.com/Safety-Cabinets-Shelves/cat_CL208109</t>
  </si>
  <si>
    <t>Safety Cans &amp; Drums</t>
  </si>
  <si>
    <t>CL167052</t>
  </si>
  <si>
    <t>Safety Supplies &gt; Safety Storage &gt; Safety Cans &amp; Drums</t>
  </si>
  <si>
    <t>https://www.staples.com/Safety-Cans-Drums/cat_CL167052</t>
  </si>
  <si>
    <t>Safety Vests &amp; High Visibility Clothing</t>
  </si>
  <si>
    <t>CL169143</t>
  </si>
  <si>
    <t>Safety Supplies &gt; Safety Vests &amp; High Visibility Clothing</t>
  </si>
  <si>
    <t>https://www.staples.com/Safety-Vests-High-Visibility-Clothing/cat_CL169143</t>
  </si>
  <si>
    <t>Security Mirrors</t>
  </si>
  <si>
    <t>CL140730</t>
  </si>
  <si>
    <t>Safety Supplies &gt; Security Mirrors</t>
  </si>
  <si>
    <t>https://www.staples.com/Security-Mirrors/cat_CL140730</t>
  </si>
  <si>
    <t>Stanchions &amp; Barricades</t>
  </si>
  <si>
    <t>CL354515</t>
  </si>
  <si>
    <t>Safety Supplies &gt; Stanchions &amp; Barricades</t>
  </si>
  <si>
    <t>https://www.staples.com/Stanchions-Barricades/cat_CL354515</t>
  </si>
  <si>
    <t>Test Instruments, Meters &amp; Precision Tools</t>
  </si>
  <si>
    <t>CL215419</t>
  </si>
  <si>
    <t>Safety Supplies &gt; Test Instruments, Meters &amp; Precision Tools</t>
  </si>
  <si>
    <t>https://www.staples.com/Test-Instruments-Meters-Precision-Tools/cat_CL215419</t>
  </si>
  <si>
    <t>Traffic Cones</t>
  </si>
  <si>
    <t>CL354521</t>
  </si>
  <si>
    <t>Safety Supplies &gt; Traffic Cones</t>
  </si>
  <si>
    <t>https://www.staples.com/Traffic-Cones/cat_CL354521</t>
  </si>
  <si>
    <t>Traffic Signs</t>
  </si>
  <si>
    <t>CL169144</t>
  </si>
  <si>
    <t>Safety Supplies &gt; Traffic Signs</t>
  </si>
  <si>
    <t>https://www.staples.com/Traffic-Signs/cat_CL169144</t>
  </si>
  <si>
    <t>Elementary School Supplies</t>
  </si>
  <si>
    <t>Display Boards</t>
  </si>
  <si>
    <t>CL140934</t>
  </si>
  <si>
    <t>School Supplies &gt; Elementary School Supplies &gt; Display Boards</t>
  </si>
  <si>
    <t>https://www.staples.com/Display-Boards/cat_CL140934</t>
  </si>
  <si>
    <t>Learning at Home</t>
  </si>
  <si>
    <t>Board &amp; Card Games</t>
  </si>
  <si>
    <t>CL166715</t>
  </si>
  <si>
    <t>School Supplies &gt; Learning at Home &gt; Board &amp; Card Games</t>
  </si>
  <si>
    <t>https://www.staples.com/Board-Card-Games/cat_CL166715</t>
  </si>
  <si>
    <t>Building Sets</t>
  </si>
  <si>
    <t>CL354847</t>
  </si>
  <si>
    <t>School Supplies &gt; Learning at Home &gt; Building Sets</t>
  </si>
  <si>
    <t>https://www.staples.com/Building-Sets/cat_CL354847</t>
  </si>
  <si>
    <t>Educational &amp; STEM Toys</t>
  </si>
  <si>
    <t>CL212812</t>
  </si>
  <si>
    <t>School Supplies &gt; Learning at Home &gt; Educational &amp; STEM Toys</t>
  </si>
  <si>
    <t>https://www.staples.com/Educational-STEM-Toys/cat_CL212812</t>
  </si>
  <si>
    <t>Learning &amp; Development Toys</t>
  </si>
  <si>
    <t>CL214686</t>
  </si>
  <si>
    <t>School Supplies &gt; Learning at Home &gt; Learning &amp; Development Toys</t>
  </si>
  <si>
    <t>https://www.staples.com/Learning-Development-Toys/cat_CL214686</t>
  </si>
  <si>
    <t>Learning Games</t>
  </si>
  <si>
    <t>CL213128</t>
  </si>
  <si>
    <t>School Supplies &gt; Learning at Home &gt; Learning Games</t>
  </si>
  <si>
    <t>https://www.staples.com/Learning-Games/cat_CL213128</t>
  </si>
  <si>
    <t>Musical Instruments</t>
  </si>
  <si>
    <t>CL207326</t>
  </si>
  <si>
    <t>School Supplies &gt; Learning at Home &gt; Musical Instruments</t>
  </si>
  <si>
    <t>https://www.staples.com/Musical-Instruments/cat_CL207326</t>
  </si>
  <si>
    <t>Pretend Play</t>
  </si>
  <si>
    <t>Dolls &amp; Dollhouses</t>
  </si>
  <si>
    <t>CL212627</t>
  </si>
  <si>
    <t>School Supplies &gt; Learning at Home &gt; Pretend Play &gt; Dolls &amp; Dollhouses</t>
  </si>
  <si>
    <t>https://www.staples.com/Dolls-Dollhouses/cat_CL212627</t>
  </si>
  <si>
    <t>Stuffed Animals &amp; Puppets</t>
  </si>
  <si>
    <t>CL206872</t>
  </si>
  <si>
    <t>School Supplies &gt; Learning at Home &gt; Pretend Play &gt; Stuffed Animals &amp; Puppets</t>
  </si>
  <si>
    <t>https://www.staples.com/Stuffed-Animals-Puppets/cat_CL206872</t>
  </si>
  <si>
    <t>Toy Vehicles</t>
  </si>
  <si>
    <t>CL212673</t>
  </si>
  <si>
    <t>School Supplies &gt; Learning at Home &gt; Pretend Play &gt; Toy Vehicles</t>
  </si>
  <si>
    <t>https://www.staples.com/Toy-Vehicles/cat_CL212673</t>
  </si>
  <si>
    <t>Puzzles</t>
  </si>
  <si>
    <t>CL350795</t>
  </si>
  <si>
    <t>School Supplies &gt; Learning at Home &gt; Puzzles</t>
  </si>
  <si>
    <t>https://www.staples.com/Puzzles/cat_CL350795</t>
  </si>
  <si>
    <t>Preschool Supplies</t>
  </si>
  <si>
    <t>Classroom Posters &amp; Charts</t>
  </si>
  <si>
    <t>CL166104</t>
  </si>
  <si>
    <t>School Supplies &gt; Preschool Supplies &gt; Classroom Posters &amp; Charts</t>
  </si>
  <si>
    <t>https://www.staples.com/Classroom-Posters-Charts/cat_CL166104</t>
  </si>
  <si>
    <t>Pretend Play &amp; Dress Up</t>
  </si>
  <si>
    <t>CL206883</t>
  </si>
  <si>
    <t>School Supplies &gt; Preschool Supplies &gt; Pretend Play &amp; Dress Up</t>
  </si>
  <si>
    <t>https://www.staples.com/Pretend-Play-Dress-Up/cat_CL206883</t>
  </si>
  <si>
    <t>School Art Supplies</t>
  </si>
  <si>
    <t>Art &amp; School Markers</t>
  </si>
  <si>
    <t>CL221591</t>
  </si>
  <si>
    <t>School Supplies &gt; School Art Supplies &gt; Art &amp; School Markers</t>
  </si>
  <si>
    <t>https://www.staples.com/Art-School-Markers/cat_CL221591</t>
  </si>
  <si>
    <t>School Bags &amp; Lunch Boxes</t>
  </si>
  <si>
    <t>CG350602</t>
  </si>
  <si>
    <t>School Supplies &gt; School Bags &amp; Lunch Boxes</t>
  </si>
  <si>
    <t>https://www.staples.com/school-bags-lunch-boxes/cat_CG350602</t>
  </si>
  <si>
    <t>Classroom Books &amp; Digital Media</t>
  </si>
  <si>
    <t>CDs &amp; DVDs</t>
  </si>
  <si>
    <t>CL207320</t>
  </si>
  <si>
    <t>School Supplies &gt; Teacher Supplies &gt; Classroom Books &amp; Digital Media &gt; CDs &amp; DVDs</t>
  </si>
  <si>
    <t>https://www.staples.com/CDs-DVDs/cat_CL207320</t>
  </si>
  <si>
    <t>Classroom Books</t>
  </si>
  <si>
    <t>CL350830</t>
  </si>
  <si>
    <t>School Supplies &gt; Teacher Supplies &gt; Classroom Books &amp; Digital Media &gt; Classroom Books</t>
  </si>
  <si>
    <t>https://www.staples.com/Classroom-Books/cat_CL350830</t>
  </si>
  <si>
    <t>Borders &amp; Trims</t>
  </si>
  <si>
    <t>CL168929</t>
  </si>
  <si>
    <t>School Supplies &gt; Teacher Supplies &gt; Classroom Decorations &gt; Borders &amp; Trims</t>
  </si>
  <si>
    <t>https://www.staples.com/Borders-Trims/cat_CL168929</t>
  </si>
  <si>
    <t>Classroom Name Plates &amp; Name Tags</t>
  </si>
  <si>
    <t>CL168928</t>
  </si>
  <si>
    <t>School Supplies &gt; Teacher Supplies &gt; Classroom Decorations &gt; Classroom Name Plates &amp; Name Tags</t>
  </si>
  <si>
    <t>https://www.staples.com/Classroom-Name-Plates-Name-Tags/cat_CL168928</t>
  </si>
  <si>
    <t>Flags</t>
  </si>
  <si>
    <t>CL350780</t>
  </si>
  <si>
    <t>School Supplies &gt; Teacher Supplies &gt; Classroom Decorations &gt; Flags</t>
  </si>
  <si>
    <t>https://www.staples.com/Flags/cat_CL350780</t>
  </si>
  <si>
    <t>Letters &amp; Numbers</t>
  </si>
  <si>
    <t>CL207283</t>
  </si>
  <si>
    <t>School Supplies &gt; Teacher Supplies &gt; Classroom Decorations &gt; Letters &amp; Numbers</t>
  </si>
  <si>
    <t>https://www.staples.com/Letters-Numbers/cat_CL207283</t>
  </si>
  <si>
    <t>https://www.staples.com/Classroom-Storage-Organization/cat_CL207294</t>
  </si>
  <si>
    <t>Locker Accessories</t>
  </si>
  <si>
    <t>CL350826</t>
  </si>
  <si>
    <t>School Supplies &gt; Teacher Supplies &gt; Locker Accessories</t>
  </si>
  <si>
    <t>https://www.staples.com/Locker-Accessories/cat_CL350826</t>
  </si>
  <si>
    <t>Bicycles, Tricycles &amp; Accessories</t>
  </si>
  <si>
    <t>CL212887</t>
  </si>
  <si>
    <t>School Supplies &gt; Teacher Supplies &gt; Physical Education &amp; Recreation &gt; Bicycles, Tricycles &amp; Accessories</t>
  </si>
  <si>
    <t>https://www.staples.com/Bicycles-Tricycles-Accessories/cat_CL212887</t>
  </si>
  <si>
    <t>Physical Education Equipment</t>
  </si>
  <si>
    <t>CL207334</t>
  </si>
  <si>
    <t>School Supplies &gt; Teacher Supplies &gt; Physical Education &amp; Recreation &gt; Physical Education Equipment</t>
  </si>
  <si>
    <t>https://www.staples.com/Physical-Education-Equipment/cat_CL207334</t>
  </si>
  <si>
    <t>Playground Equipment</t>
  </si>
  <si>
    <t>CL207331</t>
  </si>
  <si>
    <t>School Supplies &gt; Teacher Supplies &gt; Physical Education &amp; Recreation &gt; Playground Equipment</t>
  </si>
  <si>
    <t>https://www.staples.com/Playground-Equipment/cat_CL207331</t>
  </si>
  <si>
    <t>Riding Toys &amp; Wagons</t>
  </si>
  <si>
    <t>CL207333</t>
  </si>
  <si>
    <t>School Supplies &gt; Teacher Supplies &gt; Physical Education &amp; Recreation &gt; Riding Toys &amp; Wagons</t>
  </si>
  <si>
    <t>https://www.staples.com/Riding-Toys-Wagons/cat_CL207333</t>
  </si>
  <si>
    <t>Sporting Goods</t>
  </si>
  <si>
    <t>CL212585</t>
  </si>
  <si>
    <t>School Supplies &gt; Teacher Supplies &gt; Physical Education &amp; Recreation &gt; Sporting Goods</t>
  </si>
  <si>
    <t>https://www.staples.com/Sporting-Goods/cat_CL212585</t>
  </si>
  <si>
    <t>Teacher Resources</t>
  </si>
  <si>
    <t>Bookmarks</t>
  </si>
  <si>
    <t>CL204517</t>
  </si>
  <si>
    <t>School Supplies &gt; Teacher Supplies &gt; Teacher Resources &gt; Bookmarks</t>
  </si>
  <si>
    <t>https://www.staples.com/Bookmarks/cat_CL204517</t>
  </si>
  <si>
    <t>Flash Cards</t>
  </si>
  <si>
    <t>CL207266</t>
  </si>
  <si>
    <t>School Supplies &gt; Teacher Supplies &gt; Teacher Resources &gt; Flash Cards</t>
  </si>
  <si>
    <t>https://www.staples.com/Flash-Cards/cat_CL207266</t>
  </si>
  <si>
    <t>Hall Passes &amp; Library Cards</t>
  </si>
  <si>
    <t>CL207507</t>
  </si>
  <si>
    <t>School Supplies &gt; Teacher Supplies &gt; Teacher Resources &gt; Hall Passes &amp; Library Cards</t>
  </si>
  <si>
    <t>https://www.staples.com/Hall-Passes-Library-Cards/cat_CL207507</t>
  </si>
  <si>
    <t>Lesson Plans &amp; Grade Books</t>
  </si>
  <si>
    <t>CL207302</t>
  </si>
  <si>
    <t>School Supplies &gt; Teacher Supplies &gt; Teacher Resources &gt; Lesson Plans &amp; Grade Books</t>
  </si>
  <si>
    <t>https://www.staples.com/Lesson-Plans-Grade-Books/cat_CL207302</t>
  </si>
  <si>
    <t>Maps &amp; Globes</t>
  </si>
  <si>
    <t>CL211434</t>
  </si>
  <si>
    <t>School Supplies &gt; Teacher Supplies &gt; Teacher Resources &gt; Maps &amp; Globes</t>
  </si>
  <si>
    <t>https://www.staples.com/Maps-Globes/cat_CL211434</t>
  </si>
  <si>
    <t>Rewards &amp; Incentives</t>
  </si>
  <si>
    <t>CL207287</t>
  </si>
  <si>
    <t>School Supplies &gt; Teacher Supplies &gt; Teacher Resources &gt; Rewards &amp; Incentives</t>
  </si>
  <si>
    <t>https://www.staples.com/Rewards-Incentives/cat_CL207287</t>
  </si>
  <si>
    <t>Teaching Resources</t>
  </si>
  <si>
    <t>CL167759</t>
  </si>
  <si>
    <t>School Supplies &gt; Teacher Supplies &gt; Teacher Resources &gt; Teaching Resources</t>
  </si>
  <si>
    <t>https://www.staples.com/Teaching-Resources/cat_CL167759</t>
  </si>
  <si>
    <t>Timers &amp; Buzzers</t>
  </si>
  <si>
    <t>CL219246</t>
  </si>
  <si>
    <t>School Supplies &gt; Teacher Supplies &gt; Teacher Resources &gt; Timers &amp; Buzzers</t>
  </si>
  <si>
    <t>https://www.staples.com/Timers-Buzzers/cat_CL219246</t>
  </si>
  <si>
    <t>Security, Banking &amp; Cash</t>
  </si>
  <si>
    <t>Call Bells</t>
  </si>
  <si>
    <t>CL142096</t>
  </si>
  <si>
    <t>Security, Banking &amp; Cash &gt; Call Bells</t>
  </si>
  <si>
    <t>https://www.staples.com/Call-Bells/cat_CL142096</t>
  </si>
  <si>
    <t>Shredders &amp; Accessories</t>
  </si>
  <si>
    <t>Shredder Accessories</t>
  </si>
  <si>
    <t>CL158967</t>
  </si>
  <si>
    <t>Security, Banking &amp; Cash &gt; Shredders &amp; Accessories &gt; Shredder Accessories</t>
  </si>
  <si>
    <t>https://www.staples.com/Shredder-Accessories/cat_CL158967</t>
  </si>
  <si>
    <t>Shredders</t>
  </si>
  <si>
    <t>CL141980</t>
  </si>
  <si>
    <t>Security, Banking &amp; Cash &gt; Shredders &amp; Accessories &gt; Shredders</t>
  </si>
  <si>
    <t>https://www.staples.com/Shredders/cat_CL141980</t>
  </si>
  <si>
    <t>Tickets &amp; Tags</t>
  </si>
  <si>
    <t>CL206119</t>
  </si>
  <si>
    <t>Security, Banking &amp; Cash &gt; Tickets &amp; Tags</t>
  </si>
  <si>
    <t>https://www.staples.com/Tickets-Tags/cat_CL206119</t>
  </si>
  <si>
    <t>Letter Openers</t>
  </si>
  <si>
    <t>CL10500</t>
  </si>
  <si>
    <t>Shipping, Packing &amp; Mailing Supplies &gt; Mailing Supplies &gt; Letter Openers</t>
  </si>
  <si>
    <t>https://www.staples.com/Letter-Openers/cat_CL10500</t>
  </si>
  <si>
    <t>Literature &amp; Mail Sorters</t>
  </si>
  <si>
    <t>CL141866</t>
  </si>
  <si>
    <t>Shipping, Packing &amp; Mailing Supplies &gt; Mailing Supplies &gt; Literature &amp; Mail Sorters</t>
  </si>
  <si>
    <t>https://www.staples.com/Literature-Mail-Sorters/cat_CL141866</t>
  </si>
  <si>
    <t>Mailing Tubes</t>
  </si>
  <si>
    <t>CL141868</t>
  </si>
  <si>
    <t>Shipping, Packing &amp; Mailing Supplies &gt; Mailing Supplies &gt; Mailing Tubes &gt; Mailing Tubes</t>
  </si>
  <si>
    <t>https://www.staples.com/Mailing-Tubes/cat_CL141868</t>
  </si>
  <si>
    <t>Paper Folding Machines &amp; Joggers</t>
  </si>
  <si>
    <t>CL140639</t>
  </si>
  <si>
    <t>Shipping, Packing &amp; Mailing Supplies &gt; Mailing Supplies &gt; Paper Folding Machines &amp; Joggers</t>
  </si>
  <si>
    <t>https://www.staples.com/Paper-Folding-Machines-Joggers/cat_CL140639</t>
  </si>
  <si>
    <t>Postage Stamps</t>
  </si>
  <si>
    <t>CL354846</t>
  </si>
  <si>
    <t>Shipping, Packing &amp; Mailing Supplies &gt; Mailing Supplies &gt; Postage Stamps</t>
  </si>
  <si>
    <t>https://www.staples.com/Postage-Stamps/cat_CL354846</t>
  </si>
  <si>
    <t>Postal Scales &amp; Meters</t>
  </si>
  <si>
    <t>CL141867</t>
  </si>
  <si>
    <t>Shipping, Packing &amp; Mailing Supplies &gt; Mailing Supplies &gt; Postal Scales &amp; Meters</t>
  </si>
  <si>
    <t>https://www.staples.com/Postal-Scales-Meters/cat_CL141867</t>
  </si>
  <si>
    <t>Shipping Supplies</t>
  </si>
  <si>
    <t>Corrugated Boxes &amp; Pads</t>
  </si>
  <si>
    <t>Corrugated Mailers</t>
  </si>
  <si>
    <t>CL141997</t>
  </si>
  <si>
    <t>Shipping, Packing &amp; Mailing Supplies &gt; Shipping Supplies &gt; Corrugated Boxes &amp; Pads &gt; Corrugated Mailers</t>
  </si>
  <si>
    <t>https://www.staples.com/Corrugated-Mailers/cat_CL141997</t>
  </si>
  <si>
    <t>Layer Pads</t>
  </si>
  <si>
    <t>CL350281</t>
  </si>
  <si>
    <t>Shipping, Packing &amp; Mailing Supplies &gt; Shipping Supplies &gt; Corrugated Boxes &amp; Pads &gt; Layer Pads</t>
  </si>
  <si>
    <t>https://www.staples.com/Layer-Pads/cat_CL350281</t>
  </si>
  <si>
    <t>Shippers</t>
  </si>
  <si>
    <t>CL350280</t>
  </si>
  <si>
    <t>Shipping, Packing &amp; Mailing Supplies &gt; Shipping Supplies &gt; Corrugated Boxes &amp; Pads &gt; Shippers</t>
  </si>
  <si>
    <t>https://www.staples.com/Shippers/cat_CL350280</t>
  </si>
  <si>
    <t>Shipping Boxes</t>
  </si>
  <si>
    <t>CL213835</t>
  </si>
  <si>
    <t>Shipping, Packing &amp; Mailing Supplies &gt; Shipping Supplies &gt; Corrugated Boxes &amp; Pads &gt; Shipping Boxes</t>
  </si>
  <si>
    <t>https://www.staples.com/Shipping-Boxes/cat_CL213835</t>
  </si>
  <si>
    <t>Cushioning &amp; Void Fill</t>
  </si>
  <si>
    <t>Air Pillows &amp; Inflatable Packaging</t>
  </si>
  <si>
    <t>CL350317</t>
  </si>
  <si>
    <t>Shipping, Packing &amp; Mailing Supplies &gt; Shipping Supplies &gt; Cushioning &amp; Void Fill &gt; Air Pillows &amp; Inflatable Packaging</t>
  </si>
  <si>
    <t>https://www.staples.com/Air-Pillows-Inflatable-Packaging/cat_CL350317</t>
  </si>
  <si>
    <t>Bubble Rolls</t>
  </si>
  <si>
    <t>CL350310</t>
  </si>
  <si>
    <t>Shipping, Packing &amp; Mailing Supplies &gt; Shipping Supplies &gt; Cushioning &amp; Void Fill &gt; Bubble Rolls</t>
  </si>
  <si>
    <t>https://www.staples.com/Bubble-Rolls/cat_CL350310</t>
  </si>
  <si>
    <t>Cushioning Bags &amp; Sleeves</t>
  </si>
  <si>
    <t>CL350313</t>
  </si>
  <si>
    <t>Shipping, Packing &amp; Mailing Supplies &gt; Shipping Supplies &gt; Cushioning &amp; Void Fill &gt; Cushioning Bags &amp; Sleeves</t>
  </si>
  <si>
    <t>https://www.staples.com/Cushioning-Bags-Sleeves/cat_CL350313</t>
  </si>
  <si>
    <t>Cushioning Sheets</t>
  </si>
  <si>
    <t>CL350312</t>
  </si>
  <si>
    <t>Shipping, Packing &amp; Mailing Supplies &gt; Shipping Supplies &gt; Cushioning &amp; Void Fill &gt; Cushioning Sheets</t>
  </si>
  <si>
    <t>https://www.staples.com/Cushioning-Sheets/cat_CL350312</t>
  </si>
  <si>
    <t>Foam Rolls</t>
  </si>
  <si>
    <t>CL350311</t>
  </si>
  <si>
    <t>Shipping, Packing &amp; Mailing Supplies &gt; Shipping Supplies &gt; Cushioning &amp; Void Fill &gt; Foam Rolls</t>
  </si>
  <si>
    <t>https://www.staples.com/Foam-Rolls/cat_CL350311</t>
  </si>
  <si>
    <t>Packing Paper Rolls</t>
  </si>
  <si>
    <t>CL350314</t>
  </si>
  <si>
    <t>Shipping, Packing &amp; Mailing Supplies &gt; Shipping Supplies &gt; Cushioning &amp; Void Fill &gt; Packing Paper Rolls</t>
  </si>
  <si>
    <t>https://www.staples.com/Packing-Paper-Rolls/cat_CL350314</t>
  </si>
  <si>
    <t>Packing Paper Sheets</t>
  </si>
  <si>
    <t>CL350315</t>
  </si>
  <si>
    <t>Shipping, Packing &amp; Mailing Supplies &gt; Shipping Supplies &gt; Cushioning &amp; Void Fill &gt; Packing Paper Sheets</t>
  </si>
  <si>
    <t>https://www.staples.com/Packing-Paper-Sheets/cat_CL350315</t>
  </si>
  <si>
    <t>Desiccants &amp; Cold Packs</t>
  </si>
  <si>
    <t>Desiccants</t>
  </si>
  <si>
    <t>CL167816</t>
  </si>
  <si>
    <t>Shipping, Packing &amp; Mailing Supplies &gt; Shipping Supplies &gt; Desiccants &amp; Cold Packs &gt; Desiccants</t>
  </si>
  <si>
    <t>https://www.staples.com/Desiccants/cat_CL167816</t>
  </si>
  <si>
    <t>Shipping Cold Packs</t>
  </si>
  <si>
    <t>CL350680</t>
  </si>
  <si>
    <t>Shipping, Packing &amp; Mailing Supplies &gt; Shipping Supplies &gt; Desiccants &amp; Cold Packs &gt; Shipping Cold Packs</t>
  </si>
  <si>
    <t>https://www.staples.com/Shipping-Cold-Packs/cat_CL350680</t>
  </si>
  <si>
    <t>Moving Supplies</t>
  </si>
  <si>
    <t>CL221465</t>
  </si>
  <si>
    <t>Shipping, Packing &amp; Mailing Supplies &gt; Shipping Supplies &gt; Moving Supplies</t>
  </si>
  <si>
    <t>https://www.staples.com/Moving-Supplies/cat_CL221465</t>
  </si>
  <si>
    <t>Package Identification &amp; Indicators</t>
  </si>
  <si>
    <t>Damage Indicators</t>
  </si>
  <si>
    <t>CL350290</t>
  </si>
  <si>
    <t>Shipping, Packing &amp; Mailing Supplies &gt; Shipping Supplies &gt; Package Identification &amp; Indicators &gt; Damage Indicators</t>
  </si>
  <si>
    <t>https://www.staples.com/Damage-Indicators/cat_CL350290</t>
  </si>
  <si>
    <t>Packing List Envelopes</t>
  </si>
  <si>
    <t>CL141896</t>
  </si>
  <si>
    <t>Shipping, Packing &amp; Mailing Supplies &gt; Shipping Supplies &gt; Package Identification &amp; Indicators &gt; Packing List Envelopes</t>
  </si>
  <si>
    <t>https://www.staples.com/Packing-List-Envelopes/cat_CL141896</t>
  </si>
  <si>
    <t>Shipping Tags &amp; Seals</t>
  </si>
  <si>
    <t>CL167807</t>
  </si>
  <si>
    <t>Shipping, Packing &amp; Mailing Supplies &gt; Shipping Supplies &gt; Package Identification &amp; Indicators &gt; Shipping Tags &amp; Seals</t>
  </si>
  <si>
    <t>https://www.staples.com/Shipping-Tags-Seals/cat_CL167807</t>
  </si>
  <si>
    <t>Packing Peanuts</t>
  </si>
  <si>
    <t>CL141645</t>
  </si>
  <si>
    <t>Shipping, Packing &amp; Mailing Supplies &gt; Shipping Supplies &gt; Packing Peanuts</t>
  </si>
  <si>
    <t>https://www.staples.com/Packing-Peanuts/cat_CL141645</t>
  </si>
  <si>
    <t>Packing Tape &amp; Dispensers</t>
  </si>
  <si>
    <t>Packing Tape Dispensers</t>
  </si>
  <si>
    <t>CL350620</t>
  </si>
  <si>
    <t>Shipping, Packing &amp; Mailing Supplies &gt; Shipping Supplies &gt; Packing Tape &amp; Dispensers &gt; Packing Tape Dispensers</t>
  </si>
  <si>
    <t>https://www.staples.com/Packing-Tape-Dispensers/cat_CL350620</t>
  </si>
  <si>
    <t>Poly Bags &amp; Tubing</t>
  </si>
  <si>
    <t>Impulse Sealers</t>
  </si>
  <si>
    <t>CL350304</t>
  </si>
  <si>
    <t>Shipping, Packing &amp; Mailing Supplies &gt; Shipping Supplies &gt; Poly Bags &amp; Tubing &gt; Impulse Sealers</t>
  </si>
  <si>
    <t>https://www.staples.com/Impulse-Sealers/cat_CL350304</t>
  </si>
  <si>
    <t>Pallet Covers &amp; Sheeting</t>
  </si>
  <si>
    <t>CL215790</t>
  </si>
  <si>
    <t>Shipping, Packing &amp; Mailing Supplies &gt; Shipping Supplies &gt; Poly Bags &amp; Tubing &gt; Pallet Covers &amp; Sheeting</t>
  </si>
  <si>
    <t>https://www.staples.com/Pallet-Covers-Sheeting/cat_CL215790</t>
  </si>
  <si>
    <t>Poly Bags</t>
  </si>
  <si>
    <t>CL350297</t>
  </si>
  <si>
    <t>Shipping, Packing &amp; Mailing Supplies &gt; Shipping Supplies &gt; Poly Bags &amp; Tubing &gt; Poly Bags</t>
  </si>
  <si>
    <t>https://www.staples.com/Poly-Bags/cat_CL350297</t>
  </si>
  <si>
    <t>Poly Tubing</t>
  </si>
  <si>
    <t>CL141805</t>
  </si>
  <si>
    <t>Shipping, Packing &amp; Mailing Supplies &gt; Shipping Supplies &gt; Poly Bags &amp; Tubing &gt; Poly Tubing</t>
  </si>
  <si>
    <t>https://www.staples.com/Poly-Tubing/cat_CL141805</t>
  </si>
  <si>
    <t>Twist Ties &amp; Bag Tape</t>
  </si>
  <si>
    <t>CL350305</t>
  </si>
  <si>
    <t>Shipping, Packing &amp; Mailing Supplies &gt; Shipping Supplies &gt; Poly Bags &amp; Tubing &gt; Twist Ties &amp; Bag Tape</t>
  </si>
  <si>
    <t>https://www.staples.com/Twist-Ties-Bag-Tape/cat_CL350305</t>
  </si>
  <si>
    <t>Shipping &amp; Packing Dispensers</t>
  </si>
  <si>
    <t>CL350319</t>
  </si>
  <si>
    <t>Shipping, Packing &amp; Mailing Supplies &gt; Shipping Supplies &gt; Shipping &amp; Packing Dispensers</t>
  </si>
  <si>
    <t>https://www.staples.com/Shipping-Packing-Dispensers/cat_CL350319</t>
  </si>
  <si>
    <t>Strapping &amp; Strapping Equipment</t>
  </si>
  <si>
    <t>Edge Protectors</t>
  </si>
  <si>
    <t>CL218877</t>
  </si>
  <si>
    <t>Shipping, Packing &amp; Mailing Supplies &gt; Shipping Supplies &gt; Strapping &amp; Strapping Equipment &gt; Edge Protectors</t>
  </si>
  <si>
    <t>https://www.staples.com/Edge-Protectors/cat_CL218877</t>
  </si>
  <si>
    <t>Rope, String &amp; Twine</t>
  </si>
  <si>
    <t>CL141640</t>
  </si>
  <si>
    <t>Shipping, Packing &amp; Mailing Supplies &gt; Shipping Supplies &gt; Strapping &amp; Strapping Equipment &gt; Rope, String &amp; Twine</t>
  </si>
  <si>
    <t>https://www.staples.com/Rope-String-Twine/cat_CL141640</t>
  </si>
  <si>
    <t>Seals &amp; Buckles</t>
  </si>
  <si>
    <t>CL350282</t>
  </si>
  <si>
    <t>Shipping, Packing &amp; Mailing Supplies &gt; Shipping Supplies &gt; Strapping &amp; Strapping Equipment &gt; Seals &amp; Buckles</t>
  </si>
  <si>
    <t>https://www.staples.com/Seals-Buckles/cat_CL350282</t>
  </si>
  <si>
    <t>Strapping</t>
  </si>
  <si>
    <t>CL350293</t>
  </si>
  <si>
    <t>Shipping, Packing &amp; Mailing Supplies &gt; Shipping Supplies &gt; Strapping &amp; Strapping Equipment &gt; Strapping</t>
  </si>
  <si>
    <t>https://www.staples.com/Strapping/cat_CL350293</t>
  </si>
  <si>
    <t>Strapping Tools</t>
  </si>
  <si>
    <t>CL350294</t>
  </si>
  <si>
    <t>Shipping, Packing &amp; Mailing Supplies &gt; Shipping Supplies &gt; Strapping &amp; Strapping Equipment &gt; Strapping Tools</t>
  </si>
  <si>
    <t>https://www.staples.com/Strapping-Tools/cat_CL350294</t>
  </si>
  <si>
    <t>Stretch &amp; Shrink Film</t>
  </si>
  <si>
    <t>Shrink Film</t>
  </si>
  <si>
    <t>CL350306</t>
  </si>
  <si>
    <t>Shipping, Packing &amp; Mailing Supplies &gt; Shipping Supplies &gt; Stretch &amp; Shrink Film &gt; Shrink Film</t>
  </si>
  <si>
    <t>https://www.staples.com/Shrink-Film/cat_CL350306</t>
  </si>
  <si>
    <t>Stretch Wrap</t>
  </si>
  <si>
    <t>CL215789</t>
  </si>
  <si>
    <t>Shipping, Packing &amp; Mailing Supplies &gt; Shipping Supplies &gt; Stretch &amp; Shrink Film &gt; Stretch Wrap</t>
  </si>
  <si>
    <t>https://www.staples.com/Stretch-Wrap/cat_CL215789</t>
  </si>
  <si>
    <t>Shredders, Projectors &amp; Office Machines</t>
  </si>
  <si>
    <t>Binding Equipment</t>
  </si>
  <si>
    <t>Binding Combs &amp; Spines</t>
  </si>
  <si>
    <t>CL159938</t>
  </si>
  <si>
    <t>Shredders, Projectors &amp; Office Machines &gt; Binding Equipment &gt; Binding Combs &amp; Spines</t>
  </si>
  <si>
    <t>https://www.staples.com/Binding-Combs-Spines/cat_CL159938</t>
  </si>
  <si>
    <t>Binding Covers &amp; Accessories</t>
  </si>
  <si>
    <t>CL140547</t>
  </si>
  <si>
    <t>Shredders, Projectors &amp; Office Machines &gt; Binding Equipment &gt; Binding Covers &amp; Accessories</t>
  </si>
  <si>
    <t>https://www.staples.com/Binding-Covers-Accessories/cat_CL140547</t>
  </si>
  <si>
    <t>Binding Machines</t>
  </si>
  <si>
    <t>CL161082</t>
  </si>
  <si>
    <t>Shredders, Projectors &amp; Office Machines &gt; Binding Equipment &gt; Binding Machines</t>
  </si>
  <si>
    <t>https://www.staples.com/Binding-Machines/cat_CL161082</t>
  </si>
  <si>
    <t>Calculators</t>
  </si>
  <si>
    <t>Basic Calculators</t>
  </si>
  <si>
    <t>CL90000</t>
  </si>
  <si>
    <t>Shredders, Projectors &amp; Office Machines &gt; Calculators &gt; Basic Calculators</t>
  </si>
  <si>
    <t>https://www.staples.com/Basic-Calculators/cat_CL90000</t>
  </si>
  <si>
    <t>Calculator Accessories</t>
  </si>
  <si>
    <t>CL30100</t>
  </si>
  <si>
    <t>Shredders, Projectors &amp; Office Machines &gt; Calculators &gt; Calculator Accessories</t>
  </si>
  <si>
    <t>https://www.staples.com/Calculator-Accessories/cat_CL30100</t>
  </si>
  <si>
    <t>Financial Calculators</t>
  </si>
  <si>
    <t>CL140514</t>
  </si>
  <si>
    <t>Shredders, Projectors &amp; Office Machines &gt; Calculators &gt; Financial Calculators</t>
  </si>
  <si>
    <t>https://www.staples.com/Financial-Calculators/cat_CL140514</t>
  </si>
  <si>
    <t>Graphing Calculators</t>
  </si>
  <si>
    <t>CL90003</t>
  </si>
  <si>
    <t>Shredders, Projectors &amp; Office Machines &gt; Calculators &gt; Graphing Calculators</t>
  </si>
  <si>
    <t>https://www.staples.com/Graphing-Calculators/cat_CL90003</t>
  </si>
  <si>
    <t>Industry Specific Calculators</t>
  </si>
  <si>
    <t>CL215227</t>
  </si>
  <si>
    <t>Shredders, Projectors &amp; Office Machines &gt; Calculators &gt; Industry Specific Calculators</t>
  </si>
  <si>
    <t>https://www.staples.com/Industry-Specific-Calculators/cat_CL215227</t>
  </si>
  <si>
    <t>Printing Calculators</t>
  </si>
  <si>
    <t>CL90001</t>
  </si>
  <si>
    <t>Shredders, Projectors &amp; Office Machines &gt; Calculators &gt; Printing Calculators</t>
  </si>
  <si>
    <t>https://www.staples.com/Printing-Calculators/cat_CL90001</t>
  </si>
  <si>
    <t>Scientific Calculators</t>
  </si>
  <si>
    <t>CL90002</t>
  </si>
  <si>
    <t>Shredders, Projectors &amp; Office Machines &gt; Calculators &gt; Scientific Calculators</t>
  </si>
  <si>
    <t>https://www.staples.com/Scientific-Calculators/cat_CL90002</t>
  </si>
  <si>
    <t>Fax Machines</t>
  </si>
  <si>
    <t>CL165742</t>
  </si>
  <si>
    <t>Shredders, Projectors &amp; Office Machines &gt; Fax Machines</t>
  </si>
  <si>
    <t>https://www.staples.com/Fax-Machines/cat_CL165742</t>
  </si>
  <si>
    <t>Projectors &amp; Accessories</t>
  </si>
  <si>
    <t>Document Cameras</t>
  </si>
  <si>
    <t>CL169123</t>
  </si>
  <si>
    <t>Shredders, Projectors &amp; Office Machines &gt; Projectors &amp; Accessories &gt; Document Cameras</t>
  </si>
  <si>
    <t>https://www.staples.com/Document-Cameras/cat_CL169123</t>
  </si>
  <si>
    <t>Laser Pointers &amp; Remotes</t>
  </si>
  <si>
    <t>CL140540</t>
  </si>
  <si>
    <t>Shredders, Projectors &amp; Office Machines &gt; Projectors &amp; Accessories &gt; Laser Pointers &amp; Remotes</t>
  </si>
  <si>
    <t>https://www.staples.com/Laser-Pointers-Remotes/cat_CL140540</t>
  </si>
  <si>
    <t>Projector Parts &amp; Accessories</t>
  </si>
  <si>
    <t>CL140550</t>
  </si>
  <si>
    <t>Shredders, Projectors &amp; Office Machines &gt; Projectors &amp; Accessories &gt; Projector Parts &amp; Accessories</t>
  </si>
  <si>
    <t>https://www.staples.com/Projector-Parts-Accessories/cat_CL140550</t>
  </si>
  <si>
    <t>Projector Screens</t>
  </si>
  <si>
    <t>CL141762</t>
  </si>
  <si>
    <t>Shredders, Projectors &amp; Office Machines &gt; Projectors &amp; Accessories &gt; Projector Screens</t>
  </si>
  <si>
    <t>https://www.staples.com/Projector-Screens/cat_CL141762</t>
  </si>
  <si>
    <t>Projectors</t>
  </si>
  <si>
    <t>CL140542</t>
  </si>
  <si>
    <t>Shredders, Projectors &amp; Office Machines &gt; Projectors &amp; Accessories &gt; Projectors</t>
  </si>
  <si>
    <t>https://www.staples.com/Projectors/cat_CL140542</t>
  </si>
  <si>
    <t>Typewriters &amp; Typewriter Supplies</t>
  </si>
  <si>
    <t>CL90800</t>
  </si>
  <si>
    <t>Shredders, Projectors &amp; Office Machines &gt; Typewriters &amp; Typewriter Supplies</t>
  </si>
  <si>
    <t>https://www.staples.com/Typewriters-Typewriter-Supplies/cat_CL90800</t>
  </si>
  <si>
    <t>Smart Home &amp; Security</t>
  </si>
  <si>
    <t>Security Cameras &amp; Systems</t>
  </si>
  <si>
    <t>CL160405</t>
  </si>
  <si>
    <t>Smart Home &amp; Security &gt; Security Cameras &amp; Systems</t>
  </si>
  <si>
    <t>https://www.staples.com/Security-Cameras-Systems/cat_CL160405</t>
  </si>
  <si>
    <t>Security System Accessories</t>
  </si>
  <si>
    <t>CL163142</t>
  </si>
  <si>
    <t>Smart Home &amp; Security &gt; Security System Accessories</t>
  </si>
  <si>
    <t>https://www.staples.com/Security-System-Accessories/cat_CL163142</t>
  </si>
  <si>
    <t>Smart Bulbs</t>
  </si>
  <si>
    <t>CL353947</t>
  </si>
  <si>
    <t>Smart Home &amp; Security &gt; Smart Bulbs</t>
  </si>
  <si>
    <t>https://www.staples.com/Smart-Bulbs/cat_CL353947</t>
  </si>
  <si>
    <t>Smart Doorbells</t>
  </si>
  <si>
    <t>CL353945</t>
  </si>
  <si>
    <t>Smart Home &amp; Security &gt; Smart Doorbells</t>
  </si>
  <si>
    <t>https://www.staples.com/Smart-Doorbells/cat_CL353945</t>
  </si>
  <si>
    <t>Smart Light Switches &amp; Dimmers</t>
  </si>
  <si>
    <t>CL353946</t>
  </si>
  <si>
    <t>Smart Home &amp; Security &gt; Smart Light Switches &amp; Dimmers</t>
  </si>
  <si>
    <t>https://www.staples.com/Smart-Light-Switches-Dimmers/cat_CL353946</t>
  </si>
  <si>
    <t>Smart Locks</t>
  </si>
  <si>
    <t>CL216607</t>
  </si>
  <si>
    <t>Smart Home &amp; Security &gt; Smart Locks</t>
  </si>
  <si>
    <t>https://www.staples.com/Smart-Locks/cat_CL216607</t>
  </si>
  <si>
    <t>Smart Plugs &amp; Outlets</t>
  </si>
  <si>
    <t>CL211550</t>
  </si>
  <si>
    <t>Smart Home &amp; Security &gt; Smart Plugs &amp; Outlets</t>
  </si>
  <si>
    <t>https://www.staples.com/Smart-Plugs-Outlets/cat_CL211550</t>
  </si>
  <si>
    <t>Smart Sensors</t>
  </si>
  <si>
    <t>CL211416</t>
  </si>
  <si>
    <t>Smart Home &amp; Security &gt; Smart Sensors</t>
  </si>
  <si>
    <t>https://www.staples.com/Smart-Sensors/cat_CL211416</t>
  </si>
  <si>
    <t>Smart Speakers &amp; Displays</t>
  </si>
  <si>
    <t>CL216608</t>
  </si>
  <si>
    <t>Smart Home &amp; Security &gt; Smart Speakers &amp; Displays</t>
  </si>
  <si>
    <t>https://www.staples.com/Smart-Speakers-Displays/cat_CL216608</t>
  </si>
  <si>
    <t>Smart Thermostats</t>
  </si>
  <si>
    <t>CL211415</t>
  </si>
  <si>
    <t>Smart Home &amp; Security &gt; Smart Thermostats</t>
  </si>
  <si>
    <t>https://www.staples.com/Smart-Thermostats/cat_CL211415</t>
  </si>
  <si>
    <t>TV &amp; Streaming Media</t>
  </si>
  <si>
    <t>DJ Equipment &amp; Musical Instruments</t>
  </si>
  <si>
    <t>Equalizers &amp; Mixers</t>
  </si>
  <si>
    <t>CL168301</t>
  </si>
  <si>
    <t>TV &amp; Streaming Media &gt; DJ Equipment &amp; Musical Instruments &gt; Equalizers &amp; Mixers</t>
  </si>
  <si>
    <t>https://www.staples.com/Equalizers-Mixers/cat_CL168301</t>
  </si>
  <si>
    <t>Karaoke Machines</t>
  </si>
  <si>
    <t>CL215631</t>
  </si>
  <si>
    <t>TV &amp; Streaming Media &gt; DJ Equipment &amp; Musical Instruments &gt; Karaoke Machines</t>
  </si>
  <si>
    <t>https://www.staples.com/Karaoke-Machines/cat_CL215631</t>
  </si>
  <si>
    <t>Stage Equipment</t>
  </si>
  <si>
    <t>CL219247</t>
  </si>
  <si>
    <t>TV &amp; Streaming Media &gt; DJ Equipment &amp; Musical Instruments &gt; Stage Equipment</t>
  </si>
  <si>
    <t>https://www.staples.com/Stage-Equipment/cat_CL219247</t>
  </si>
  <si>
    <t>Turn Tables &amp; DJ Equipment</t>
  </si>
  <si>
    <t>CL168298</t>
  </si>
  <si>
    <t>TV &amp; Streaming Media &gt; DJ Equipment &amp; Musical Instruments &gt; Turn Tables &amp; DJ Equipment</t>
  </si>
  <si>
    <t>https://www.staples.com/Turn-Tables-DJ-Equipment/cat_CL168298</t>
  </si>
  <si>
    <t>Streaming Media Players</t>
  </si>
  <si>
    <t>CL160115</t>
  </si>
  <si>
    <t>TV &amp; Streaming Media &gt; Streaming Media Players &gt; Streaming Media Players</t>
  </si>
  <si>
    <t>https://www.staples.com/Streaming-Media-Players/cat_CL160115</t>
  </si>
  <si>
    <t>TV &amp; Video</t>
  </si>
  <si>
    <t>Car CD Players &amp; Monitors</t>
  </si>
  <si>
    <t>CL168300</t>
  </si>
  <si>
    <t>TV &amp; Streaming Media &gt; TV &amp; Video &gt; Car CD Players &amp; Monitors</t>
  </si>
  <si>
    <t>https://www.staples.com/Car-CD-Players-Monitors/cat_CL168300</t>
  </si>
  <si>
    <t>DVD &amp; Blu-Ray Players</t>
  </si>
  <si>
    <t>CL141768</t>
  </si>
  <si>
    <t>TV &amp; Streaming Media &gt; TV &amp; Video &gt; DVD &amp; Blu-Ray Players</t>
  </si>
  <si>
    <t>https://www.staples.com/DVD-Blu-Ray-Players/cat_CL141768</t>
  </si>
  <si>
    <t>Digital Signage</t>
  </si>
  <si>
    <t>CL168890</t>
  </si>
  <si>
    <t>TV &amp; Streaming Media &gt; TV &amp; Video &gt; Digital Signage</t>
  </si>
  <si>
    <t>https://www.staples.com/Digital-Signage/cat_CL168890</t>
  </si>
  <si>
    <t>Smart Boards</t>
  </si>
  <si>
    <t>CL355009</t>
  </si>
  <si>
    <t>TV &amp; Streaming Media &gt; TV &amp; Video &gt; Smart Boards</t>
  </si>
  <si>
    <t>https://www.staples.com/Smart-Boards/cat_CL355009</t>
  </si>
  <si>
    <t>TV Accessories</t>
  </si>
  <si>
    <t>CL168253</t>
  </si>
  <si>
    <t>TV &amp; Streaming Media &gt; TV &amp; Video &gt; TV Accessories</t>
  </si>
  <si>
    <t>https://www.staples.com/TV-Accessories/cat_CL168253</t>
  </si>
  <si>
    <t>TV Wall Mounts</t>
  </si>
  <si>
    <t>CL142753</t>
  </si>
  <si>
    <t>TV &amp; Streaming Media &gt; TV &amp; Video &gt; TV Wall Mounts</t>
  </si>
  <si>
    <t>https://www.staples.com/TV-Wall-Mounts/cat_CL142753</t>
  </si>
  <si>
    <t>TVs</t>
  </si>
  <si>
    <t>CL164870</t>
  </si>
  <si>
    <t>TV &amp; Streaming Media &gt; TV &amp; Video &gt; TVs</t>
  </si>
  <si>
    <t>https://www.staples.com/TVs/cat_CL164870</t>
  </si>
  <si>
    <t>Tablets &amp; iPads</t>
  </si>
  <si>
    <t>Digital Notebooks &amp; Accessories</t>
  </si>
  <si>
    <t>CL354964</t>
  </si>
  <si>
    <t>Tablets &amp; iPads &gt; Digital Notebooks &amp; Accessories</t>
  </si>
  <si>
    <t>https://www.staples.com/Digital-Notebooks-Accessories/cat_CL354964</t>
  </si>
  <si>
    <t>E-Readers</t>
  </si>
  <si>
    <t>CL164364</t>
  </si>
  <si>
    <t>Tablets &amp; iPads &gt; E-Readers</t>
  </si>
  <si>
    <t>https://www.staples.com/E-Readers/cat_CL164364</t>
  </si>
  <si>
    <t>Tablet &amp; iPad Cases, Covers &amp; Keyboards</t>
  </si>
  <si>
    <t>CL166405</t>
  </si>
  <si>
    <t>Tablets &amp; iPads &gt; Tablet &amp; iPad Cases, Covers &amp; Keyboards</t>
  </si>
  <si>
    <t>https://www.staples.com/Tablet-iPad-Cases-Covers-Keyboards/cat_CL166405</t>
  </si>
  <si>
    <t>Tablet Screen Protectors</t>
  </si>
  <si>
    <t>CL166407</t>
  </si>
  <si>
    <t>Tablets &amp; iPads &gt; Tablet Screen Protectors</t>
  </si>
  <si>
    <t>https://www.staples.com/Tablet-Screen-Protectors/cat_CL166407</t>
  </si>
  <si>
    <t>Tablet Stands &amp; Mounts</t>
  </si>
  <si>
    <t>CL166415</t>
  </si>
  <si>
    <t>Tablets &amp; iPads &gt; Tablet Stands &amp; Mounts</t>
  </si>
  <si>
    <t>https://www.staples.com/Tablet-Stands-Mounts/cat_CL166415</t>
  </si>
  <si>
    <t>CL204449</t>
  </si>
  <si>
    <t>Tablets &amp; iPads &gt; Tablets &amp; iPads</t>
  </si>
  <si>
    <t>https://www.staples.com/Tablets-iPads/cat_CL204449</t>
  </si>
  <si>
    <t>Tech Services</t>
  </si>
  <si>
    <t>Data Backup</t>
  </si>
  <si>
    <t>CL218593</t>
  </si>
  <si>
    <t>Tech Services &gt; Data Backup</t>
  </si>
  <si>
    <t>https://www.staples.com/Data-Backup/cat_CL218593</t>
  </si>
  <si>
    <t>Data Recovery</t>
  </si>
  <si>
    <t>CL218594</t>
  </si>
  <si>
    <t>Tech Services &gt; Data Recovery</t>
  </si>
  <si>
    <t>https://www.staples.com/Data-Recovery/cat_CL218594</t>
  </si>
  <si>
    <t>Mail-In Recycling Services</t>
  </si>
  <si>
    <t>CL354593</t>
  </si>
  <si>
    <t>Tech Services &gt; Mail-In Recycling Services</t>
  </si>
  <si>
    <t>https://www.staples.com/Mail-In-Recycling-Services/cat_CL354593</t>
  </si>
  <si>
    <t>PC &amp; Memory Upgrade</t>
  </si>
  <si>
    <t>CL218589</t>
  </si>
  <si>
    <t>Tech Services &gt; PC &amp; Memory Upgrade</t>
  </si>
  <si>
    <t>https://www.staples.com/PC-Memory-Upgrade/cat_CL218589</t>
  </si>
  <si>
    <t>PC Tune-Up</t>
  </si>
  <si>
    <t>CL218586</t>
  </si>
  <si>
    <t>Tech Services &gt; PC Tune-Up</t>
  </si>
  <si>
    <t>https://www.staples.com/PC-Tune-Up/cat_CL218586</t>
  </si>
  <si>
    <t>Set Up My Device</t>
  </si>
  <si>
    <t>CL218587</t>
  </si>
  <si>
    <t>Tech Services &gt; Set Up My Device</t>
  </si>
  <si>
    <t>https://www.staples.com/Set-Up-My-Device/cat_CL218587</t>
  </si>
  <si>
    <t>Software Installation</t>
  </si>
  <si>
    <t>CL218590</t>
  </si>
  <si>
    <t>Tech Services &gt; Software Installation</t>
  </si>
  <si>
    <t>https://www.staples.com/Software-Installation/cat_CL218590</t>
  </si>
  <si>
    <t>Tech Support</t>
  </si>
  <si>
    <t>CL218591</t>
  </si>
  <si>
    <t>Tech Services &gt; Tech Support</t>
  </si>
  <si>
    <t>https://www.staples.com/Tech-Support/cat_CL218591</t>
  </si>
  <si>
    <t>Virus Protection</t>
  </si>
  <si>
    <t>CL218585</t>
  </si>
  <si>
    <t>Tech Services &gt; Virus Protection</t>
  </si>
  <si>
    <t>https://www.staples.com/Virus-Protection/cat_CL218585</t>
  </si>
  <si>
    <t>Virus Removal</t>
  </si>
  <si>
    <t>CL218584</t>
  </si>
  <si>
    <t>Tech Services &gt; Virus Removal</t>
  </si>
  <si>
    <t>https://www.staples.com/Virus-Removal/cat_CL218584</t>
  </si>
  <si>
    <t>Wireless Networking Setup &amp; Repair</t>
  </si>
  <si>
    <t>CL218588</t>
  </si>
  <si>
    <t>Tech Services &gt; Wireless Networking Setup &amp; Repair</t>
  </si>
  <si>
    <t>https://www.staples.com/Wireless-Networking-Setup-Repair/cat_CL218588</t>
  </si>
  <si>
    <t>Tools, Parts &amp; Supplies</t>
  </si>
  <si>
    <t>Anchors: Screw &amp; Wedge</t>
  </si>
  <si>
    <t>CL167128</t>
  </si>
  <si>
    <t>Tools, Parts &amp; Supplies &gt; Anchors: Screw &amp; Wedge</t>
  </si>
  <si>
    <t>https://www.staples.com/Anchors-Screw-Wedge/cat_CL167128</t>
  </si>
  <si>
    <t>Automotive</t>
  </si>
  <si>
    <t>Auto &amp; Auto Part Cleaners</t>
  </si>
  <si>
    <t>CL204562</t>
  </si>
  <si>
    <t>Tools, Parts &amp; Supplies &gt; Automotive &gt; Auto &amp; Auto Part Cleaners</t>
  </si>
  <si>
    <t>https://www.staples.com/Auto-Auto-Part-Cleaners/cat_CL204562</t>
  </si>
  <si>
    <t>Automotive Accessories</t>
  </si>
  <si>
    <t>CL168936</t>
  </si>
  <si>
    <t>Tools, Parts &amp; Supplies &gt; Automotive &gt; Automotive Accessories</t>
  </si>
  <si>
    <t>https://www.staples.com/Automotive-Accessories/cat_CL168936</t>
  </si>
  <si>
    <t>Booster Cables, Battery Clamps &amp; Chargers</t>
  </si>
  <si>
    <t>CL167111</t>
  </si>
  <si>
    <t>Tools, Parts &amp; Supplies &gt; Automotive &gt; Booster Cables, Battery Clamps &amp; Chargers</t>
  </si>
  <si>
    <t>https://www.staples.com/Booster-Cables-Battery-Clamps-Chargers/cat_CL167111</t>
  </si>
  <si>
    <t>Jack &amp; Jack Stands</t>
  </si>
  <si>
    <t>CL167067</t>
  </si>
  <si>
    <t>Tools, Parts &amp; Supplies &gt; Automotive &gt; Jack &amp; Jack Stands</t>
  </si>
  <si>
    <t>https://www.staples.com/Jack-Stands/cat_CL167067</t>
  </si>
  <si>
    <t>Roadside Emergency Tool Kit</t>
  </si>
  <si>
    <t>CL162791</t>
  </si>
  <si>
    <t>Tools, Parts &amp; Supplies &gt; Automotive &gt; Roadside Emergency Tool Kit</t>
  </si>
  <si>
    <t>https://www.staples.com/Roadside-Emergency-Tool-Kit/cat_CL162791</t>
  </si>
  <si>
    <t>Tarps &amp; Plastic Sheeting</t>
  </si>
  <si>
    <t>CL167116</t>
  </si>
  <si>
    <t>Tools, Parts &amp; Supplies &gt; Automotive &gt; Tarps &amp; Plastic Sheeting</t>
  </si>
  <si>
    <t>https://www.staples.com/Tarps-Plastic-Sheeting/cat_CL167116</t>
  </si>
  <si>
    <t>Windshield Wiper Fluid</t>
  </si>
  <si>
    <t>CL210858</t>
  </si>
  <si>
    <t>Tools, Parts &amp; Supplies &gt; Automotive &gt; Windshield Wiper Fluid</t>
  </si>
  <si>
    <t>https://www.staples.com/Windshield-Wiper-Fluid/cat_CL210858</t>
  </si>
  <si>
    <t>Buckles, Bands &amp; Straps</t>
  </si>
  <si>
    <t>CL167129</t>
  </si>
  <si>
    <t>Tools, Parts &amp; Supplies &gt; Buckles, Bands &amp; Straps</t>
  </si>
  <si>
    <t>https://www.staples.com/Buckles-Bands-Straps/cat_CL167129</t>
  </si>
  <si>
    <t>Cable Ties &amp; Tie Guns</t>
  </si>
  <si>
    <t>CL167229</t>
  </si>
  <si>
    <t>Tools, Parts &amp; Supplies &gt; Cable Ties &amp; Tie Guns</t>
  </si>
  <si>
    <t>https://www.staples.com/Cable-Ties-Tie-Guns/cat_CL167229</t>
  </si>
  <si>
    <t>Chalk Reels &amp; Marking Tools</t>
  </si>
  <si>
    <t>Chalk Line Reels &amp; Marking Chalk</t>
  </si>
  <si>
    <t>CL167118</t>
  </si>
  <si>
    <t>Tools, Parts &amp; Supplies &gt; Chalk Reels &amp; Marking Tools &gt; Chalk Line Reels &amp; Marking Chalk</t>
  </si>
  <si>
    <t>https://www.staples.com/Chalk-Line-Reels-Marking-Chalk/cat_CL167118</t>
  </si>
  <si>
    <t>Crayons: Lumber, Paint, Marking</t>
  </si>
  <si>
    <t>CL167119</t>
  </si>
  <si>
    <t>Tools, Parts &amp; Supplies &gt; Chalk Reels &amp; Marking Tools &gt; Crayons: Lumber, Paint, Marking</t>
  </si>
  <si>
    <t>https://www.staples.com/Crayons-Lumber-Paint-Marking/cat_CL167119</t>
  </si>
  <si>
    <t>Labeling Tool Ribbons</t>
  </si>
  <si>
    <t>CL167120</t>
  </si>
  <si>
    <t>Tools, Parts &amp; Supplies &gt; Chalk Reels &amp; Marking Tools &gt; Labeling Tool Ribbons</t>
  </si>
  <si>
    <t>https://www.staples.com/Labeling-Tool-Ribbons/cat_CL167120</t>
  </si>
  <si>
    <t>Markers: Metal, Paint, China</t>
  </si>
  <si>
    <t>CL167121</t>
  </si>
  <si>
    <t>Tools, Parts &amp; Supplies &gt; Chalk Reels &amp; Marking Tools &gt; Markers: Metal, Paint, China</t>
  </si>
  <si>
    <t>https://www.staples.com/Markers-Metal-Paint-China/cat_CL167121</t>
  </si>
  <si>
    <t>Pencils: Welders, Carpenters, Art</t>
  </si>
  <si>
    <t>CL167122</t>
  </si>
  <si>
    <t>Tools, Parts &amp; Supplies &gt; Chalk Reels &amp; Marking Tools &gt; Pencils: Welders, Carpenters, Art</t>
  </si>
  <si>
    <t>https://www.staples.com/Pencils-Welders-Carpenters-Art/cat_CL167122</t>
  </si>
  <si>
    <t>Soapstones &amp; Holders</t>
  </si>
  <si>
    <t>CL167123</t>
  </si>
  <si>
    <t>Tools, Parts &amp; Supplies &gt; Chalk Reels &amp; Marking Tools &gt; Soapstones &amp; Holders</t>
  </si>
  <si>
    <t>https://www.staples.com/Soapstones-Holders/cat_CL167123</t>
  </si>
  <si>
    <t>Stencil Sets</t>
  </si>
  <si>
    <t>CL167125</t>
  </si>
  <si>
    <t>Tools, Parts &amp; Supplies &gt; Chalk Reels &amp; Marking Tools &gt; Stencil Sets</t>
  </si>
  <si>
    <t>https://www.staples.com/Stencil-Sets/cat_CL167125</t>
  </si>
  <si>
    <t>Chemicals, Lubricants &amp; Paints</t>
  </si>
  <si>
    <t>Grease Guns &amp; Fittings</t>
  </si>
  <si>
    <t>CL167209</t>
  </si>
  <si>
    <t>Tools, Parts &amp; Supplies &gt; Chemicals, Lubricants &amp; Paints &gt; Grease Guns &amp; Fittings</t>
  </si>
  <si>
    <t>https://www.staples.com/Grease-Guns-Fittings/cat_CL167209</t>
  </si>
  <si>
    <t>Lubricants</t>
  </si>
  <si>
    <t>CL167167</t>
  </si>
  <si>
    <t>Tools, Parts &amp; Supplies &gt; Chemicals, Lubricants &amp; Paints &gt; Lubricants</t>
  </si>
  <si>
    <t>https://www.staples.com/Lubricants/cat_CL167167</t>
  </si>
  <si>
    <t>Clips, Rings &amp; Pins</t>
  </si>
  <si>
    <t>CL167130</t>
  </si>
  <si>
    <t>Tools, Parts &amp; Supplies &gt; Clips, Rings &amp; Pins</t>
  </si>
  <si>
    <t>https://www.staples.com/Clips-Rings-Pins/cat_CL167130</t>
  </si>
  <si>
    <t>Coated Disc Abrasives</t>
  </si>
  <si>
    <t>CL167148</t>
  </si>
  <si>
    <t>Tools, Parts &amp; Supplies &gt; Coated Disc Abrasives</t>
  </si>
  <si>
    <t>https://www.staples.com/Coated-Disc-Abrasives/cat_CL167148</t>
  </si>
  <si>
    <t>Coated Flap Disc Abrasives</t>
  </si>
  <si>
    <t>CL167149</t>
  </si>
  <si>
    <t>Tools, Parts &amp; Supplies &gt; Coated Flap Disc Abrasives</t>
  </si>
  <si>
    <t>https://www.staples.com/Coated-Flap-Disc-Abrasives/cat_CL167149</t>
  </si>
  <si>
    <t>Coated Flap Wheel Abrasives</t>
  </si>
  <si>
    <t>CL167150</t>
  </si>
  <si>
    <t>Tools, Parts &amp; Supplies &gt; Coated Flap Wheel Abrasives</t>
  </si>
  <si>
    <t>https://www.staples.com/Coated-Flap-Wheel-Abrasives/cat_CL167150</t>
  </si>
  <si>
    <t>Coated Roll Abrasives</t>
  </si>
  <si>
    <t>CL167250</t>
  </si>
  <si>
    <t>Tools, Parts &amp; Supplies &gt; Coated Roll Abrasives</t>
  </si>
  <si>
    <t>https://www.staples.com/Coated-Roll-Abrasives/cat_CL167250</t>
  </si>
  <si>
    <t>End Brushes</t>
  </si>
  <si>
    <t>CL167152</t>
  </si>
  <si>
    <t>Tools, Parts &amp; Supplies &gt; End Brushes</t>
  </si>
  <si>
    <t>https://www.staples.com/End-Brushes/cat_CL167152</t>
  </si>
  <si>
    <t>Fittings</t>
  </si>
  <si>
    <t>CL167211</t>
  </si>
  <si>
    <t>Tools, Parts &amp; Supplies &gt; Fittings</t>
  </si>
  <si>
    <t>https://www.staples.com/Fittings/cat_CL167211</t>
  </si>
  <si>
    <t>All Hand Tools</t>
  </si>
  <si>
    <t>CL213520</t>
  </si>
  <si>
    <t>Tools, Parts &amp; Supplies &gt; Hand Tools &gt; All Hand Tools</t>
  </si>
  <si>
    <t>https://www.staples.com/All-Hand-Tools/cat_CL213520</t>
  </si>
  <si>
    <t>Chisels, Punches &amp; Pins</t>
  </si>
  <si>
    <t>CL166888</t>
  </si>
  <si>
    <t>Tools, Parts &amp; Supplies &gt; Hand Tools &gt; Chisels, Punches &amp; Pins</t>
  </si>
  <si>
    <t>https://www.staples.com/Chisels-Punches-Pins/cat_CL166888</t>
  </si>
  <si>
    <t>Concrete &amp; Masonry Tools</t>
  </si>
  <si>
    <t>CL166890</t>
  </si>
  <si>
    <t>Tools, Parts &amp; Supplies &gt; Hand Tools &gt; Concrete &amp; Masonry Tools</t>
  </si>
  <si>
    <t>https://www.staples.com/Concrete-Masonry-Tools/cat_CL166890</t>
  </si>
  <si>
    <t>Cutters &amp; Cutter Wheels</t>
  </si>
  <si>
    <t>CL166892</t>
  </si>
  <si>
    <t>Tools, Parts &amp; Supplies &gt; Hand Tools &gt; Cutters &amp; Cutter Wheels</t>
  </si>
  <si>
    <t>https://www.staples.com/Cutters-Cutter-Wheels/cat_CL166892</t>
  </si>
  <si>
    <t>Files &amp; Handles</t>
  </si>
  <si>
    <t>CL166894</t>
  </si>
  <si>
    <t>Tools, Parts &amp; Supplies &gt; Hand Tools &gt; Files &amp; Handles</t>
  </si>
  <si>
    <t>https://www.staples.com/Files-Handles/cat_CL166894</t>
  </si>
  <si>
    <t>Magnetic Pickups &amp; Retrieving Tools</t>
  </si>
  <si>
    <t>CL166899</t>
  </si>
  <si>
    <t>Tools, Parts &amp; Supplies &gt; Hand Tools &gt; Magnetic Pickups &amp; Retrieving Tools</t>
  </si>
  <si>
    <t>https://www.staples.com/Magnetic-Pickups-Retrieving-Tools/cat_CL166899</t>
  </si>
  <si>
    <t>Putty Knives &amp; Scrapers</t>
  </si>
  <si>
    <t>CL166902</t>
  </si>
  <si>
    <t>Tools, Parts &amp; Supplies &gt; Hand Tools &gt; Putty Knives &amp; Scrapers</t>
  </si>
  <si>
    <t>https://www.staples.com/Putty-Knives-Scrapers/cat_CL166902</t>
  </si>
  <si>
    <t>Scribers &amp; Scratch Awls</t>
  </si>
  <si>
    <t>CL166905</t>
  </si>
  <si>
    <t>Tools, Parts &amp; Supplies &gt; Hand Tools &gt; Scribers &amp; Scratch Awls</t>
  </si>
  <si>
    <t>https://www.staples.com/Scribers-Scratch-Awls/cat_CL166905</t>
  </si>
  <si>
    <t>Sockets &amp; Accessories</t>
  </si>
  <si>
    <t>CL166907</t>
  </si>
  <si>
    <t>Tools, Parts &amp; Supplies &gt; Hand Tools &gt; Sockets &amp; Accessories</t>
  </si>
  <si>
    <t>https://www.staples.com/Sockets-Accessories/cat_CL166907</t>
  </si>
  <si>
    <t>Staplers &amp; Riveters</t>
  </si>
  <si>
    <t>CL166908</t>
  </si>
  <si>
    <t>Tools, Parts &amp; Supplies &gt; Hand Tools &gt; Staplers &amp; Riveters</t>
  </si>
  <si>
    <t>https://www.staples.com/Staplers-Riveters/cat_CL166908</t>
  </si>
  <si>
    <t>Tap Wrenches &amp; Dies</t>
  </si>
  <si>
    <t>CL166989</t>
  </si>
  <si>
    <t>Tools, Parts &amp; Supplies &gt; Hand Tools &gt; Tap Wrenches &amp; Dies</t>
  </si>
  <si>
    <t>https://www.staples.com/Tap-Wrenches-Dies/cat_CL166989</t>
  </si>
  <si>
    <t>Wedges</t>
  </si>
  <si>
    <t>CL166911</t>
  </si>
  <si>
    <t>Tools, Parts &amp; Supplies &gt; Hand Tools &gt; Wedges</t>
  </si>
  <si>
    <t>https://www.staples.com/Wedges/cat_CL166911</t>
  </si>
  <si>
    <t>CL213514</t>
  </si>
  <si>
    <t>Tools, Parts &amp; Supplies &gt; Hardware</t>
  </si>
  <si>
    <t>https://www.staples.com/Hardware/cat_CL213514</t>
  </si>
  <si>
    <t>Hose Clamps</t>
  </si>
  <si>
    <t>CL167131</t>
  </si>
  <si>
    <t>Tools, Parts &amp; Supplies &gt; Hose Clamps</t>
  </si>
  <si>
    <t>https://www.staples.com/Hose-Clamps/cat_CL167131</t>
  </si>
  <si>
    <t>Keystocks, Shims &amp; Valves</t>
  </si>
  <si>
    <t>CL167112</t>
  </si>
  <si>
    <t>Tools, Parts &amp; Supplies &gt; Keystocks, Shims &amp; Valves</t>
  </si>
  <si>
    <t>https://www.staples.com/Keystocks-Shims-Valves/cat_CL167112</t>
  </si>
  <si>
    <t>Measuring &amp; Leveling Tools</t>
  </si>
  <si>
    <t>Compasses, Protractors and Markers</t>
  </si>
  <si>
    <t>CL167135</t>
  </si>
  <si>
    <t>Tools, Parts &amp; Supplies &gt; Measuring &amp; Leveling Tools &gt; Compasses, Protractors and Markers</t>
  </si>
  <si>
    <t>https://www.staples.com/Compasses-Protractors-and-Markers/cat_CL167135</t>
  </si>
  <si>
    <t>Flange Pins</t>
  </si>
  <si>
    <t>CL167240</t>
  </si>
  <si>
    <t>Tools, Parts &amp; Supplies &gt; Measuring &amp; Leveling Tools &gt; Flange Pins</t>
  </si>
  <si>
    <t>https://www.staples.com/Flange-Pins/cat_CL167240</t>
  </si>
  <si>
    <t>Gauges / Gages</t>
  </si>
  <si>
    <t>CL166964</t>
  </si>
  <si>
    <t>Tools, Parts &amp; Supplies &gt; Measuring &amp; Leveling Tools &gt; Gauges / Gages</t>
  </si>
  <si>
    <t>https://www.staples.com/Gauges-Gages/cat_CL166964</t>
  </si>
  <si>
    <t>Industrial Tape</t>
  </si>
  <si>
    <t>CL166976</t>
  </si>
  <si>
    <t>Tools, Parts &amp; Supplies &gt; Measuring &amp; Leveling Tools &gt; Industrial Tape</t>
  </si>
  <si>
    <t>https://www.staples.com/Industrial-Tape/cat_CL166976</t>
  </si>
  <si>
    <t>Medical Thermometers</t>
  </si>
  <si>
    <t>CL167138</t>
  </si>
  <si>
    <t>Tools, Parts &amp; Supplies &gt; Measuring &amp; Leveling Tools &gt; Medical Thermometers</t>
  </si>
  <si>
    <t>https://www.staples.com/Medical-Thermometers/cat_CL167138</t>
  </si>
  <si>
    <t>Ruler</t>
  </si>
  <si>
    <t>CL167136</t>
  </si>
  <si>
    <t>Tools, Parts &amp; Supplies &gt; Measuring &amp; Leveling Tools &gt; Ruler</t>
  </si>
  <si>
    <t>https://www.staples.com/Ruler/cat_CL167136</t>
  </si>
  <si>
    <t>Non Woven Disc Abrasives</t>
  </si>
  <si>
    <t>CL167153</t>
  </si>
  <si>
    <t>Tools, Parts &amp; Supplies &gt; Non Woven Disc Abrasives</t>
  </si>
  <si>
    <t>https://www.staples.com/Non-Woven-Disc-Abrasives/cat_CL167153</t>
  </si>
  <si>
    <t>Non Woven Pad Abrasives</t>
  </si>
  <si>
    <t>CL167154</t>
  </si>
  <si>
    <t>Tools, Parts &amp; Supplies &gt; Non Woven Pad Abrasives</t>
  </si>
  <si>
    <t>https://www.staples.com/Non-Woven-Pad-Abrasives/cat_CL167154</t>
  </si>
  <si>
    <t>Non Woven Wheel Abrasives</t>
  </si>
  <si>
    <t>CL167253</t>
  </si>
  <si>
    <t>Tools, Parts &amp; Supplies &gt; Non Woven Wheel Abrasives</t>
  </si>
  <si>
    <t>https://www.staples.com/Non-Woven-Wheel-Abrasives/cat_CL167253</t>
  </si>
  <si>
    <t>Heat Guns &amp; Torches</t>
  </si>
  <si>
    <t>CL167142</t>
  </si>
  <si>
    <t>Tools, Parts &amp; Supplies &gt; Power Tools &gt; Heat Guns &amp; Torches</t>
  </si>
  <si>
    <t>https://www.staples.com/Heat-Guns-Torches/cat_CL167142</t>
  </si>
  <si>
    <t>Metal Detectors</t>
  </si>
  <si>
    <t>CL211074</t>
  </si>
  <si>
    <t>Tools, Parts &amp; Supplies &gt; Power Tools &gt; Metal Detectors</t>
  </si>
  <si>
    <t>https://www.staples.com/Metal-Detectors/cat_CL211074</t>
  </si>
  <si>
    <t>Sanders &amp; Accessories</t>
  </si>
  <si>
    <t>CL167247</t>
  </si>
  <si>
    <t>Tools, Parts &amp; Supplies &gt; Power Tools &gt; Sanders &amp; Accessories</t>
  </si>
  <si>
    <t>https://www.staples.com/Sanders-Accessories/cat_CL167247</t>
  </si>
  <si>
    <t>Soldering Guns &amp; Irons</t>
  </si>
  <si>
    <t>CL167147</t>
  </si>
  <si>
    <t>Tools, Parts &amp; Supplies &gt; Power Tools &gt; Soldering Guns &amp; Irons</t>
  </si>
  <si>
    <t>https://www.staples.com/Soldering-Guns-Irons/cat_CL167147</t>
  </si>
  <si>
    <t>Resin Bonded Abrasives</t>
  </si>
  <si>
    <t>CL167155</t>
  </si>
  <si>
    <t>Tools, Parts &amp; Supplies &gt; Resin Bonded Abrasives</t>
  </si>
  <si>
    <t>https://www.staples.com/Resin-Bonded-Abrasives/cat_CL167155</t>
  </si>
  <si>
    <t>Scratch Brushes</t>
  </si>
  <si>
    <t>CL167156</t>
  </si>
  <si>
    <t>Tools, Parts &amp; Supplies &gt; Scratch Brushes</t>
  </si>
  <si>
    <t>https://www.staples.com/Scratch-Brushes/cat_CL167156</t>
  </si>
  <si>
    <t>Tool &amp; Garage Organization</t>
  </si>
  <si>
    <t>Garage Storage Equipment</t>
  </si>
  <si>
    <t>CL213519</t>
  </si>
  <si>
    <t>Tools, Parts &amp; Supplies &gt; Tool &amp; Garage Organization &gt; Garage Storage Equipment</t>
  </si>
  <si>
    <t>https://www.staples.com/Garage-Storage-Equipment/cat_CL213519</t>
  </si>
  <si>
    <t>Tube Brushes</t>
  </si>
  <si>
    <t>CL167158</t>
  </si>
  <si>
    <t>Tools, Parts &amp; Supplies &gt; Tube Brushes</t>
  </si>
  <si>
    <t>https://www.staples.com/Tube-Brushes/cat_CL167158</t>
  </si>
  <si>
    <t>Vitrified Abrasives</t>
  </si>
  <si>
    <t>CL167159</t>
  </si>
  <si>
    <t>Tools, Parts &amp; Supplies &gt; Vitrified Abrasives</t>
  </si>
  <si>
    <t>https://www.staples.com/Vitrified-Abrasives/cat_CL167159</t>
  </si>
  <si>
    <t>Wheel Brushes</t>
  </si>
  <si>
    <t>CL167160</t>
  </si>
  <si>
    <t>Tools, Parts &amp; Supplies &gt; Wheel Brushes</t>
  </si>
  <si>
    <t>https://www.staples.com/Wheel-Brushes/cat_CL167160</t>
  </si>
  <si>
    <t>Warranties &amp; Protection Plans</t>
  </si>
  <si>
    <t>Protection Plans</t>
  </si>
  <si>
    <t>CL350656</t>
  </si>
  <si>
    <t>Warranties &amp; Protection Plans &gt; Protection Plans</t>
  </si>
  <si>
    <t>https://www.staples.com/Protection-Plans/cat_CL350656</t>
  </si>
  <si>
    <t>Wearable Technology</t>
  </si>
  <si>
    <t>Action Cameras</t>
  </si>
  <si>
    <t>CL213905</t>
  </si>
  <si>
    <t>Wearable Technology &gt; Action Cameras</t>
  </si>
  <si>
    <t>https://www.staples.com/Action-Cameras/cat_CL213905</t>
  </si>
  <si>
    <t>Camera Glasses</t>
  </si>
  <si>
    <t>CL213903</t>
  </si>
  <si>
    <t>Wearable Technology &gt; Camera Glasses</t>
  </si>
  <si>
    <t>https://www.staples.com/Camera-Glasses/cat_CL213903</t>
  </si>
  <si>
    <t>Heart Rate Monitors</t>
  </si>
  <si>
    <t>CL211900</t>
  </si>
  <si>
    <t>Wearable Technology &gt; Heart Rate Monitors</t>
  </si>
  <si>
    <t>https://www.staples.com/Heart-Rate-Monitors/cat_CL211900</t>
  </si>
  <si>
    <t>Pedometers &amp; Fitness Trackers</t>
  </si>
  <si>
    <t>CL211981</t>
  </si>
  <si>
    <t>Wearable Technology &gt; Pedometers &amp; Fitness Trackers</t>
  </si>
  <si>
    <t>https://www.staples.com/Pedometers-Fitness-Trackers/cat_CL211981</t>
  </si>
  <si>
    <t>Smart Rings</t>
  </si>
  <si>
    <t>CL354959</t>
  </si>
  <si>
    <t>Wearable Technology &gt; Smart Rings</t>
  </si>
  <si>
    <t>https://www.staples.com/Smart-Rings/cat_CL354959</t>
  </si>
  <si>
    <t>Smart Watches</t>
  </si>
  <si>
    <t>CL211894</t>
  </si>
  <si>
    <t>Wearable Technology &gt; Smart Watches</t>
  </si>
  <si>
    <t>https://www.staples.com/Smart-Watches/cat_CL211894</t>
  </si>
  <si>
    <t>Sports &amp; Handheld GPS</t>
  </si>
  <si>
    <t>CL213901</t>
  </si>
  <si>
    <t>Wearable Technology &gt; Sports &amp; Handheld GPS</t>
  </si>
  <si>
    <t>https://www.staples.com/Sports-Handheld-GPS/cat_CL213901</t>
  </si>
  <si>
    <t>Workwear</t>
  </si>
  <si>
    <t>Occupational Workwear</t>
  </si>
  <si>
    <t>Healthcare Apparel</t>
  </si>
  <si>
    <t>Lab Coats</t>
  </si>
  <si>
    <t>CL214870</t>
  </si>
  <si>
    <t>Workwear &gt; Occupational Workwear &gt; Healthcare Apparel &gt; Lab Coats</t>
  </si>
  <si>
    <t>https://www.staples.com/Lab-Coats/cat_CL214870</t>
  </si>
  <si>
    <t>Medical Gowns &amp; Aprons</t>
  </si>
  <si>
    <t>CL161994</t>
  </si>
  <si>
    <t>Workwear &gt; Occupational Workwear &gt; Healthcare Apparel &gt; Medical Gowns &amp; Aprons</t>
  </si>
  <si>
    <t>https://www.staples.com/Medical-Gowns-Aprons/cat_CL161994</t>
  </si>
  <si>
    <t>Patient Apparel</t>
  </si>
  <si>
    <t>CL168222</t>
  </si>
  <si>
    <t>Workwear &gt; Occupational Workwear &gt; Healthcare Apparel &gt; Patient Apparel</t>
  </si>
  <si>
    <t>https://www.staples.com/Patient-Apparel/cat_CL168222</t>
  </si>
  <si>
    <t>Scrubs &amp; Medical Staff Apparel</t>
  </si>
  <si>
    <t>CL168217</t>
  </si>
  <si>
    <t>Workwear &gt; Occupational Workwear &gt; Healthcare Apparel &gt; Scrubs &amp; Medical Staff Apparel</t>
  </si>
  <si>
    <t>https://www.staples.com/Scrubs-Medical-Staff-Apparel/cat_CL168217</t>
  </si>
  <si>
    <t>Probable Hero · BUILD</t>
  </si>
  <si>
    <t>Non-Hero · EXPLORE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</si>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</sst>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Calibri"/>
      <family val="2"/>
      <scheme val="minor"/>
    </font>
    <font>
      <b/>
      <sz val="16"/>
      <color rgb="FF1F3864"/>
      <name val="Arial"/>
      <family val="2"/>
    </font>
    <font>
      <i/>
      <sz val="10"/>
      <color rgb="FF595959"/>
      <name val="Arial"/>
      <family val="2"/>
    </font>
    <font>
      <b/>
      <sz val="12"/>
      <color rgb="FF2E75B6"/>
      <name val="Arial"/>
      <family val="2"/>
    </font>
    <font>
      <b/>
      <sz val="10"/>
      <color rgb="FFFFFFFF"/>
      <name val="Arial"/>
      <family val="2"/>
    </font>
    <font>
      <b/>
      <sz val="10"/>
      <name val="Arial"/>
      <family val="2"/>
    </font>
    <font>
      <sz val="10"/>
      <name val="Arial"/>
      <family val="2"/>
    </font>
    <font>
      <sz val="10"/>
      <color rgb="FF0000FF"/>
      <name val="Arial"/>
      <family val="2"/>
    </font>
    <font>
      <sz val="8"/>
      <color rgb="FF808080"/>
      <name val="Arial"/>
      <family val="2"/>
    </font>
  </fonts>
  <fills count="11">
    <fill>
      <patternFill patternType="none"/>
    </fill>
    <fill>
      <patternFill patternType="gray125"/>
    </fill>
    <fill>
      <patternFill patternType="solid">
        <fgColor rgb="FF1F3864"/>
      </patternFill>
    </fill>
    <fill>
      <patternFill patternType="solid">
        <fgColor rgb="FFFFF2CC"/>
      </patternFill>
    </fill>
    <fill>
      <patternFill patternType="solid">
        <fgColor rgb="FFBDD7EE"/>
      </patternFill>
    </fill>
    <fill>
      <patternFill patternType="solid">
        <fgColor rgb="FFFCE4D6"/>
      </patternFill>
    </fill>
    <fill>
      <patternFill patternType="solid">
        <fgColor rgb="FFEDEDED"/>
      </patternFill>
    </fill>
    <fill>
      <patternFill patternType="solid">
        <fgColor rgb="FFC6EFCE"/>
      </patternFill>
    </fill>
    <fill>
      <patternFill patternType="solid">
        <fgColor rgb="FFF8CBAD"/>
      </patternFill>
    </fill>
    <fill>
      <patternFill patternType="solid">
        <fgColor rgb="FFFFEB9C"/>
      </patternFill>
    </fill>
    <fill>
      <patternFill patternType="solid">
        <fgColor rgb="FFFFFF00"/>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5" fillId="0" borderId="0" xfId="0" applyFont="1"/>
    <xf numFmtId="0" fontId="3" fillId="0" borderId="0" xfId="0" applyFont="1"/>
    <xf numFmtId="0" fontId="4" fillId="2" borderId="1" xfId="0" applyFont="1" applyFill="1" applyBorder="1" applyAlignment="1">
      <alignment horizontal="center" vertical="top" wrapText="1"/>
    </xf>
    <xf numFmtId="0" fontId="6" fillId="0" borderId="1" xfId="0" applyFont="1" applyBorder="1" applyAlignment="1">
      <alignment horizontal="center" vertical="top" wrapText="1"/>
    </xf>
    <xf numFmtId="0" fontId="5" fillId="4" borderId="1" xfId="0" applyFont="1" applyFill="1" applyBorder="1" applyAlignment="1">
      <alignment horizontal="center" vertical="top" wrapText="1"/>
    </xf>
    <xf numFmtId="0" fontId="5" fillId="0" borderId="1" xfId="0" applyFont="1" applyBorder="1" applyAlignment="1">
      <alignment vertical="top" wrapText="1"/>
    </xf>
    <xf numFmtId="164" fontId="6" fillId="0" borderId="1" xfId="0" applyNumberFormat="1" applyFont="1" applyBorder="1" applyAlignment="1">
      <alignment horizontal="center" vertical="top" wrapText="1"/>
    </xf>
    <xf numFmtId="0" fontId="6" fillId="0" borderId="1" xfId="0" applyFont="1" applyBorder="1" applyAlignment="1">
      <alignment vertical="top" wrapText="1"/>
    </xf>
    <xf numFmtId="0" fontId="5"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0" borderId="0" xfId="0" applyFont="1"/>
    <xf numFmtId="0" fontId="5" fillId="0" borderId="1" xfId="0" applyFont="1" applyBorder="1" applyAlignment="1">
      <alignment horizontal="center" vertical="top" wrapText="1"/>
    </xf>
    <xf numFmtId="3" fontId="6" fillId="0" borderId="1" xfId="0" applyNumberFormat="1" applyFont="1" applyBorder="1" applyAlignment="1">
      <alignment horizontal="center"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7" fillId="3" borderId="1" xfId="0" applyFont="1" applyFill="1" applyBorder="1" applyAlignment="1">
      <alignment horizontal="center"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164" fontId="5" fillId="0" borderId="1" xfId="0" applyNumberFormat="1" applyFont="1" applyBorder="1" applyAlignment="1">
      <alignment horizontal="center" vertical="top" wrapText="1"/>
    </xf>
    <xf numFmtId="165" fontId="8" fillId="0" borderId="0" xfId="0" applyNumberFormat="1" applyFont="1"/>
    <xf numFmtId="1" fontId="5" fillId="0" borderId="1" xfId="0" applyNumberFormat="1" applyFont="1" applyBorder="1" applyAlignment="1">
      <alignment horizontal="center" vertical="top" wrapText="1"/>
    </xf>
    <xf numFmtId="1" fontId="8" fillId="0" borderId="0" xfId="0" applyNumberFormat="1" applyFont="1"/>
    <xf numFmtId="0" fontId="6" fillId="7"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6" fillId="0" borderId="0" xfId="0" applyFont="1"/>
    <xf numFmtId="0" fontId="0" fillId="0" borderId="0" xfId="0"/>
    <xf numFmtId="0" fontId="6" fillId="0" borderId="0" xfId="0" applyFont="1" applyAlignment="1">
      <alignment vertical="top" wrapText="1"/>
    </xf>
    <xf numFmtId="0" fontId="5" fillId="0" borderId="0" xfId="0" applyFont="1"/>
    <xf numFmtId="0" fontId="6" fillId="0" borderId="1" xfId="0" applyFont="1" applyBorder="1" applyAlignment="1">
      <alignment vertical="top" wrapText="1"/>
    </xf>
    <xf numFmtId="0" fontId="0" fillId="0" borderId="2" xfId="0" applyBorder="1"/>
    <xf numFmtId="0" fontId="0" fillId="0" borderId="3" xfId="0" applyBorder="1"/>
    <xf numFmtId="0" fontId="4" fillId="2" borderId="1" xfId="0" applyFont="1" applyFill="1" applyBorder="1" applyAlignment="1">
      <alignment horizontal="center"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5" fillId="10" borderId="1" xfId="0" applyFont="1" applyFill="1" applyBorder="1" applyAlignment="1">
      <alignment vertical="top" wrapText="1"/>
    </xf>
  </cellXfs>
  <cellStyles count="1">
    <cellStyle name="Normal" xfId="0" builtinId="0"/>
  </cellStyles>
  <dxfs count="52">
    <dxf>
      <fill>
        <patternFill patternType="solid">
          <fgColor rgb="FFFFC7CE"/>
        </patternFill>
      </fill>
    </dxf>
    <dxf>
      <fill>
        <patternFill patternType="solid">
          <fgColor rgb="FFDDEBF7"/>
        </patternFill>
      </fill>
    </dxf>
    <dxf>
      <fill>
        <patternFill patternType="solid">
          <fgColor rgb="FFE7E6E6"/>
        </patternFill>
      </fill>
    </dxf>
    <dxf>
      <fill>
        <patternFill patternType="solid">
          <fgColor rgb="FFFFEB9C"/>
        </patternFill>
      </fill>
    </dxf>
    <dxf>
      <fill>
        <patternFill patternType="solid">
          <fgColor rgb="FFC6EFCE"/>
        </patternFill>
      </fill>
    </dxf>
    <dxf>
      <fill>
        <patternFill patternType="solid">
          <fgColor rgb="FFEDEDED"/>
        </patternFill>
      </fill>
    </dxf>
    <dxf>
      <fill>
        <patternFill patternType="solid">
          <fgColor rgb="FFFCE4D6"/>
        </patternFill>
      </fill>
    </dxf>
    <dxf>
      <fill>
        <patternFill patternType="solid">
          <fgColor rgb="FFBDD7EE"/>
        </patternFill>
      </fill>
    </dxf>
    <dxf>
      <fill>
        <patternFill patternType="solid">
          <fgColor rgb="FFFCE4D6"/>
        </patternFill>
      </fill>
    </dxf>
    <dxf>
      <fill>
        <patternFill patternType="solid">
          <fgColor rgb="FFC6EFCE"/>
        </patternFill>
      </fill>
    </dxf>
    <dxf>
      <fill>
        <patternFill patternType="solid">
          <fgColor rgb="FFFCE4D6"/>
        </patternFill>
      </fill>
    </dxf>
    <dxf>
      <fill>
        <patternFill patternType="solid">
          <fgColor rgb="FFC6EFCE"/>
        </patternFill>
      </fill>
    </dxf>
    <dxf>
      <fill>
        <patternFill patternType="solid">
          <fgColor rgb="FFFFC7CE"/>
        </patternFill>
      </fill>
    </dxf>
    <dxf>
      <fill>
        <patternFill patternType="solid">
          <fgColor rgb="FFDDEBF7"/>
        </patternFill>
      </fill>
    </dxf>
    <dxf>
      <fill>
        <patternFill patternType="solid">
          <fgColor rgb="FFE7E6E6"/>
        </patternFill>
      </fill>
    </dxf>
    <dxf>
      <fill>
        <patternFill patternType="solid">
          <fgColor rgb="FFFFEB9C"/>
        </patternFill>
      </fill>
    </dxf>
    <dxf>
      <fill>
        <patternFill patternType="solid">
          <fgColor rgb="FFC6EFCE"/>
        </patternFill>
      </fill>
    </dxf>
    <dxf>
      <fill>
        <patternFill patternType="solid">
          <fgColor rgb="FFEDEDED"/>
        </patternFill>
      </fill>
    </dxf>
    <dxf>
      <fill>
        <patternFill patternType="solid">
          <fgColor rgb="FFFCE4D6"/>
        </patternFill>
      </fill>
    </dxf>
    <dxf>
      <fill>
        <patternFill patternType="solid">
          <fgColor rgb="FFBDD7EE"/>
        </patternFill>
      </fill>
    </dxf>
    <dxf>
      <fill>
        <patternFill patternType="solid">
          <fgColor rgb="FFFFC7CE"/>
        </patternFill>
      </fill>
    </dxf>
    <dxf>
      <fill>
        <patternFill patternType="solid">
          <fgColor rgb="FFDDEBF7"/>
        </patternFill>
      </fill>
    </dxf>
    <dxf>
      <fill>
        <patternFill patternType="solid">
          <fgColor rgb="FFE7E6E6"/>
        </patternFill>
      </fill>
    </dxf>
    <dxf>
      <fill>
        <patternFill patternType="solid">
          <fgColor rgb="FFFFEB9C"/>
        </patternFill>
      </fill>
    </dxf>
    <dxf>
      <fill>
        <patternFill patternType="solid">
          <fgColor rgb="FFC6EFCE"/>
        </patternFill>
      </fill>
    </dxf>
    <dxf>
      <fill>
        <patternFill patternType="solid">
          <fgColor rgb="FFEDEDED"/>
        </patternFill>
      </fill>
    </dxf>
    <dxf>
      <fill>
        <patternFill patternType="solid">
          <fgColor rgb="FFFCE4D6"/>
        </patternFill>
      </fill>
    </dxf>
    <dxf>
      <fill>
        <patternFill patternType="solid">
          <fgColor rgb="FFBDD7EE"/>
        </patternFill>
      </fill>
    </dxf>
    <dxf>
      <fill>
        <patternFill patternType="solid">
          <fgColor rgb="FFFFC7CE"/>
        </patternFill>
      </fill>
    </dxf>
    <dxf>
      <fill>
        <patternFill patternType="solid">
          <fgColor rgb="FFDDEBF7"/>
        </patternFill>
      </fill>
    </dxf>
    <dxf>
      <fill>
        <patternFill patternType="solid">
          <fgColor rgb="FFE7E6E6"/>
        </patternFill>
      </fill>
    </dxf>
    <dxf>
      <fill>
        <patternFill patternType="solid">
          <fgColor rgb="FFFFEB9C"/>
        </patternFill>
      </fill>
    </dxf>
    <dxf>
      <fill>
        <patternFill patternType="solid">
          <fgColor rgb="FFC6EFCE"/>
        </patternFill>
      </fill>
    </dxf>
    <dxf>
      <fill>
        <patternFill patternType="solid">
          <fgColor rgb="FFEDEDED"/>
        </patternFill>
      </fill>
    </dxf>
    <dxf>
      <fill>
        <patternFill patternType="solid">
          <fgColor rgb="FFFCE4D6"/>
        </patternFill>
      </fill>
    </dxf>
    <dxf>
      <fill>
        <patternFill patternType="solid">
          <fgColor rgb="FFBDD7EE"/>
        </patternFill>
      </fill>
    </dxf>
    <dxf>
      <fill>
        <patternFill patternType="solid">
          <fgColor rgb="FFFFC7CE"/>
        </patternFill>
      </fill>
    </dxf>
    <dxf>
      <fill>
        <patternFill patternType="solid">
          <fgColor rgb="FFDDEBF7"/>
        </patternFill>
      </fill>
    </dxf>
    <dxf>
      <fill>
        <patternFill patternType="solid">
          <fgColor rgb="FFE7E6E6"/>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DDEBF7"/>
        </patternFill>
      </fill>
    </dxf>
    <dxf>
      <fill>
        <patternFill patternType="solid">
          <fgColor rgb="FFE7E6E6"/>
        </patternFill>
      </fill>
    </dxf>
    <dxf>
      <fill>
        <patternFill patternType="solid">
          <fgColor rgb="FFFFEB9C"/>
        </patternFill>
      </fill>
    </dxf>
    <dxf>
      <fill>
        <patternFill patternType="solid">
          <fgColor rgb="FFC6EFCE"/>
        </patternFill>
      </fill>
    </dxf>
    <dxf>
      <fill>
        <patternFill patternType="solid">
          <fgColor rgb="FFEDEDED"/>
        </patternFill>
      </fill>
    </dxf>
    <dxf>
      <fill>
        <patternFill patternType="solid">
          <fgColor rgb="FFFCE4D6"/>
        </patternFill>
      </fill>
    </dxf>
    <dxf>
      <fill>
        <patternFill patternType="solid">
          <fgColor rgb="FFBDD7EE"/>
        </patternFill>
      </fill>
    </dxf>
    <dxf>
      <fill>
        <patternFill patternType="solid">
          <fgColor rgb="FFEDEDED"/>
        </patternFill>
      </fill>
    </dxf>
    <dxf>
      <fill>
        <patternFill patternType="solid">
          <fgColor rgb="FFFCE4D6"/>
        </patternFill>
      </fill>
    </dxf>
    <dxf>
      <fill>
        <patternFill patternType="solid">
          <fgColor rgb="FFBDD7E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Live segment map (updates with inputs)</a:t>
            </a:r>
          </a:p>
        </c:rich>
      </c:tx>
      <c:overlay val="0"/>
    </c:title>
    <c:autoTitleDeleted val="0"/>
    <c:plotArea>
      <c:layout/>
      <c:scatterChart>
        <c:scatterStyle val="lineMarker"/>
        <c:varyColors val="1"/>
        <c:ser>
          <c:idx val="0"/>
          <c:order val="0"/>
          <c:tx>
            <c:v>Hero</c:v>
          </c:tx>
          <c:spPr>
            <a:ln>
              <a:noFill/>
              <a:prstDash val="solid"/>
            </a:ln>
          </c:spPr>
          <c:marker>
            <c:symbol val="circle"/>
            <c:size val="8"/>
            <c:spPr>
              <a:solidFill>
                <a:srgbClr val="2A78D6"/>
              </a:solidFill>
              <a:ln>
                <a:solidFill>
                  <a:srgbClr val="FFFFFF"/>
                </a:solidFill>
                <a:prstDash val="solid"/>
              </a:ln>
            </c:spPr>
          </c:marker>
          <c:xVal>
            <c:numRef>
              <c:f>'Hero Segmentation'!$V$5:$V$80</c:f>
              <c:numCache>
                <c:formatCode>0</c:formatCode>
                <c:ptCount val="76"/>
                <c:pt idx="0">
                  <c:v>100</c:v>
                </c:pt>
                <c:pt idx="1">
                  <c:v>83</c:v>
                </c:pt>
                <c:pt idx="2">
                  <c:v>#N/A</c:v>
                </c:pt>
                <c:pt idx="3">
                  <c:v>#N/A</c:v>
                </c:pt>
                <c:pt idx="4">
                  <c:v>#N/A</c:v>
                </c:pt>
                <c:pt idx="5">
                  <c:v>#N/A</c:v>
                </c:pt>
                <c:pt idx="6">
                  <c:v>74</c:v>
                </c:pt>
                <c:pt idx="7">
                  <c:v>#N/A</c:v>
                </c:pt>
                <c:pt idx="8">
                  <c:v>83</c:v>
                </c:pt>
                <c:pt idx="9">
                  <c:v>#N/A</c:v>
                </c:pt>
                <c:pt idx="10">
                  <c:v>#N/A</c:v>
                </c:pt>
                <c:pt idx="11">
                  <c:v>#N/A</c:v>
                </c:pt>
                <c:pt idx="12">
                  <c:v>95</c:v>
                </c:pt>
                <c:pt idx="13">
                  <c:v>#N/A</c:v>
                </c:pt>
                <c:pt idx="14">
                  <c:v>#N/A</c:v>
                </c:pt>
                <c:pt idx="15">
                  <c:v>#N/A</c:v>
                </c:pt>
                <c:pt idx="16">
                  <c:v>#N/A</c:v>
                </c:pt>
                <c:pt idx="17">
                  <c:v>#N/A</c:v>
                </c:pt>
                <c:pt idx="18">
                  <c:v>77</c:v>
                </c:pt>
                <c:pt idx="19">
                  <c:v>#N/A</c:v>
                </c:pt>
                <c:pt idx="20">
                  <c:v>#N/A</c:v>
                </c:pt>
                <c:pt idx="21">
                  <c:v>#N/A</c:v>
                </c:pt>
                <c:pt idx="22">
                  <c:v>#N/A</c:v>
                </c:pt>
                <c:pt idx="23">
                  <c:v>#N/A</c:v>
                </c:pt>
                <c:pt idx="24">
                  <c:v>#N/A</c:v>
                </c:pt>
                <c:pt idx="25">
                  <c:v>#N/A</c:v>
                </c:pt>
                <c:pt idx="26">
                  <c:v>77</c:v>
                </c:pt>
                <c:pt idx="27">
                  <c:v>#N/A</c:v>
                </c:pt>
                <c:pt idx="28">
                  <c:v>95</c:v>
                </c:pt>
                <c:pt idx="29">
                  <c:v>#N/A</c:v>
                </c:pt>
                <c:pt idx="30">
                  <c:v>#N/A</c:v>
                </c:pt>
                <c:pt idx="31">
                  <c:v>66</c:v>
                </c:pt>
                <c:pt idx="32">
                  <c:v>83</c:v>
                </c:pt>
                <c:pt idx="33">
                  <c:v>72</c:v>
                </c:pt>
                <c:pt idx="34">
                  <c:v>#N/A</c:v>
                </c:pt>
                <c:pt idx="35">
                  <c:v>#N/A</c:v>
                </c:pt>
                <c:pt idx="36">
                  <c:v>#N/A</c:v>
                </c:pt>
                <c:pt idx="37">
                  <c:v>#N/A</c:v>
                </c:pt>
                <c:pt idx="38">
                  <c:v>#N/A</c:v>
                </c:pt>
                <c:pt idx="39">
                  <c:v>100</c:v>
                </c:pt>
                <c:pt idx="40">
                  <c:v>#N/A</c:v>
                </c:pt>
                <c:pt idx="41">
                  <c:v>#N/A</c:v>
                </c:pt>
                <c:pt idx="42">
                  <c:v>78</c:v>
                </c:pt>
                <c:pt idx="43">
                  <c:v>#N/A</c:v>
                </c:pt>
                <c:pt idx="44">
                  <c:v>78</c:v>
                </c:pt>
                <c:pt idx="45">
                  <c:v>66</c:v>
                </c:pt>
                <c:pt idx="46">
                  <c:v>#N/A</c:v>
                </c:pt>
                <c:pt idx="47">
                  <c:v>#N/A</c:v>
                </c:pt>
                <c:pt idx="48">
                  <c:v>#N/A</c:v>
                </c:pt>
                <c:pt idx="49">
                  <c:v>83</c:v>
                </c:pt>
                <c:pt idx="50">
                  <c:v>#N/A</c:v>
                </c:pt>
                <c:pt idx="51">
                  <c:v>#N/A</c:v>
                </c:pt>
                <c:pt idx="52">
                  <c:v>#N/A</c:v>
                </c:pt>
                <c:pt idx="53">
                  <c:v>100</c:v>
                </c:pt>
                <c:pt idx="54">
                  <c:v>#N/A</c:v>
                </c:pt>
                <c:pt idx="55">
                  <c:v>#N/A</c:v>
                </c:pt>
                <c:pt idx="56">
                  <c:v>#N/A</c:v>
                </c:pt>
                <c:pt idx="57">
                  <c:v>#N/A</c:v>
                </c:pt>
                <c:pt idx="58">
                  <c:v>#N/A</c:v>
                </c:pt>
                <c:pt idx="59">
                  <c:v>78</c:v>
                </c:pt>
                <c:pt idx="60">
                  <c:v>#N/A</c:v>
                </c:pt>
                <c:pt idx="61">
                  <c:v>89</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numCache>
            </c:numRef>
          </c:xVal>
          <c:yVal>
            <c:numRef>
              <c:f>'Hero Segmentation'!$W$5:$W$80</c:f>
              <c:numCache>
                <c:formatCode>0</c:formatCode>
                <c:ptCount val="76"/>
                <c:pt idx="0">
                  <c:v>95</c:v>
                </c:pt>
                <c:pt idx="1">
                  <c:v>88</c:v>
                </c:pt>
                <c:pt idx="2">
                  <c:v>#N/A</c:v>
                </c:pt>
                <c:pt idx="3">
                  <c:v>#N/A</c:v>
                </c:pt>
                <c:pt idx="4">
                  <c:v>#N/A</c:v>
                </c:pt>
                <c:pt idx="5">
                  <c:v>#N/A</c:v>
                </c:pt>
                <c:pt idx="6">
                  <c:v>93</c:v>
                </c:pt>
                <c:pt idx="7">
                  <c:v>#N/A</c:v>
                </c:pt>
                <c:pt idx="8">
                  <c:v>83</c:v>
                </c:pt>
                <c:pt idx="9">
                  <c:v>#N/A</c:v>
                </c:pt>
                <c:pt idx="10">
                  <c:v>#N/A</c:v>
                </c:pt>
                <c:pt idx="11">
                  <c:v>#N/A</c:v>
                </c:pt>
                <c:pt idx="12">
                  <c:v>78</c:v>
                </c:pt>
                <c:pt idx="13">
                  <c:v>#N/A</c:v>
                </c:pt>
                <c:pt idx="14">
                  <c:v>#N/A</c:v>
                </c:pt>
                <c:pt idx="15">
                  <c:v>#N/A</c:v>
                </c:pt>
                <c:pt idx="16">
                  <c:v>#N/A</c:v>
                </c:pt>
                <c:pt idx="17">
                  <c:v>#N/A</c:v>
                </c:pt>
                <c:pt idx="18">
                  <c:v>68</c:v>
                </c:pt>
                <c:pt idx="19">
                  <c:v>#N/A</c:v>
                </c:pt>
                <c:pt idx="20">
                  <c:v>#N/A</c:v>
                </c:pt>
                <c:pt idx="21">
                  <c:v>#N/A</c:v>
                </c:pt>
                <c:pt idx="22">
                  <c:v>#N/A</c:v>
                </c:pt>
                <c:pt idx="23">
                  <c:v>#N/A</c:v>
                </c:pt>
                <c:pt idx="24">
                  <c:v>#N/A</c:v>
                </c:pt>
                <c:pt idx="25">
                  <c:v>#N/A</c:v>
                </c:pt>
                <c:pt idx="26">
                  <c:v>75</c:v>
                </c:pt>
                <c:pt idx="27">
                  <c:v>#N/A</c:v>
                </c:pt>
                <c:pt idx="28">
                  <c:v>76</c:v>
                </c:pt>
                <c:pt idx="29">
                  <c:v>#N/A</c:v>
                </c:pt>
                <c:pt idx="30">
                  <c:v>#N/A</c:v>
                </c:pt>
                <c:pt idx="31">
                  <c:v>72</c:v>
                </c:pt>
                <c:pt idx="32">
                  <c:v>75</c:v>
                </c:pt>
                <c:pt idx="33">
                  <c:v>81</c:v>
                </c:pt>
                <c:pt idx="34">
                  <c:v>#N/A</c:v>
                </c:pt>
                <c:pt idx="35">
                  <c:v>#N/A</c:v>
                </c:pt>
                <c:pt idx="36">
                  <c:v>#N/A</c:v>
                </c:pt>
                <c:pt idx="37">
                  <c:v>#N/A</c:v>
                </c:pt>
                <c:pt idx="38">
                  <c:v>#N/A</c:v>
                </c:pt>
                <c:pt idx="39">
                  <c:v>78</c:v>
                </c:pt>
                <c:pt idx="40">
                  <c:v>#N/A</c:v>
                </c:pt>
                <c:pt idx="41">
                  <c:v>#N/A</c:v>
                </c:pt>
                <c:pt idx="42">
                  <c:v>65</c:v>
                </c:pt>
                <c:pt idx="43">
                  <c:v>#N/A</c:v>
                </c:pt>
                <c:pt idx="44">
                  <c:v>60</c:v>
                </c:pt>
                <c:pt idx="45">
                  <c:v>56.000000000000007</c:v>
                </c:pt>
                <c:pt idx="46">
                  <c:v>#N/A</c:v>
                </c:pt>
                <c:pt idx="47">
                  <c:v>#N/A</c:v>
                </c:pt>
                <c:pt idx="48">
                  <c:v>#N/A</c:v>
                </c:pt>
                <c:pt idx="49">
                  <c:v>65</c:v>
                </c:pt>
                <c:pt idx="50">
                  <c:v>#N/A</c:v>
                </c:pt>
                <c:pt idx="51">
                  <c:v>#N/A</c:v>
                </c:pt>
                <c:pt idx="52">
                  <c:v>#N/A</c:v>
                </c:pt>
                <c:pt idx="53">
                  <c:v>78</c:v>
                </c:pt>
                <c:pt idx="54">
                  <c:v>#N/A</c:v>
                </c:pt>
                <c:pt idx="55">
                  <c:v>#N/A</c:v>
                </c:pt>
                <c:pt idx="56">
                  <c:v>#N/A</c:v>
                </c:pt>
                <c:pt idx="57">
                  <c:v>#N/A</c:v>
                </c:pt>
                <c:pt idx="58">
                  <c:v>#N/A</c:v>
                </c:pt>
                <c:pt idx="59">
                  <c:v>50</c:v>
                </c:pt>
                <c:pt idx="60">
                  <c:v>#N/A</c:v>
                </c:pt>
                <c:pt idx="61">
                  <c:v>57.999999999999993</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numCache>
            </c:numRef>
          </c:yVal>
          <c:smooth val="1"/>
          <c:extLst>
            <c:ext xmlns:c16="http://schemas.microsoft.com/office/drawing/2014/chart" uri="{C3380CC4-5D6E-409C-BE32-E72D297353CC}">
              <c16:uniqueId val="{00000000-A355-4DE6-A38F-D6824A7F2714}"/>
            </c:ext>
          </c:extLst>
        </c:ser>
        <c:ser>
          <c:idx val="1"/>
          <c:order val="1"/>
          <c:tx>
            <c:v>Probable Hero</c:v>
          </c:tx>
          <c:spPr>
            <a:ln>
              <a:noFill/>
              <a:prstDash val="solid"/>
            </a:ln>
          </c:spPr>
          <c:marker>
            <c:symbol val="circle"/>
            <c:size val="8"/>
            <c:spPr>
              <a:solidFill>
                <a:srgbClr val="EB6834"/>
              </a:solidFill>
              <a:ln>
                <a:solidFill>
                  <a:srgbClr val="FFFFFF"/>
                </a:solidFill>
                <a:prstDash val="solid"/>
              </a:ln>
            </c:spPr>
          </c:marker>
          <c:xVal>
            <c:numRef>
              <c:f>'Hero Segmentation'!$X$5:$X$80</c:f>
              <c:numCache>
                <c:formatCode>0</c:formatCode>
                <c:ptCount val="76"/>
                <c:pt idx="0">
                  <c:v>#N/A</c:v>
                </c:pt>
                <c:pt idx="1">
                  <c:v>#N/A</c:v>
                </c:pt>
                <c:pt idx="2">
                  <c:v>60</c:v>
                </c:pt>
                <c:pt idx="3">
                  <c:v>55.000000000000007</c:v>
                </c:pt>
                <c:pt idx="4">
                  <c:v>61</c:v>
                </c:pt>
                <c:pt idx="5">
                  <c:v>60</c:v>
                </c:pt>
                <c:pt idx="6">
                  <c:v>#N/A</c:v>
                </c:pt>
                <c:pt idx="7">
                  <c:v>56.999999999999993</c:v>
                </c:pt>
                <c:pt idx="8">
                  <c:v>#N/A</c:v>
                </c:pt>
                <c:pt idx="9">
                  <c:v>44</c:v>
                </c:pt>
                <c:pt idx="10">
                  <c:v>63</c:v>
                </c:pt>
                <c:pt idx="11">
                  <c:v>40</c:v>
                </c:pt>
                <c:pt idx="12">
                  <c:v>#N/A</c:v>
                </c:pt>
                <c:pt idx="13">
                  <c:v>60</c:v>
                </c:pt>
                <c:pt idx="14">
                  <c:v>55.000000000000007</c:v>
                </c:pt>
                <c:pt idx="15">
                  <c:v>32</c:v>
                </c:pt>
                <c:pt idx="16">
                  <c:v>35</c:v>
                </c:pt>
                <c:pt idx="17">
                  <c:v>61</c:v>
                </c:pt>
                <c:pt idx="18">
                  <c:v>#N/A</c:v>
                </c:pt>
                <c:pt idx="19">
                  <c:v>#N/A</c:v>
                </c:pt>
                <c:pt idx="20">
                  <c:v>61</c:v>
                </c:pt>
                <c:pt idx="21">
                  <c:v>46</c:v>
                </c:pt>
                <c:pt idx="22">
                  <c:v>#N/A</c:v>
                </c:pt>
                <c:pt idx="23">
                  <c:v>61</c:v>
                </c:pt>
                <c:pt idx="24">
                  <c:v>43</c:v>
                </c:pt>
                <c:pt idx="25">
                  <c:v>44</c:v>
                </c:pt>
                <c:pt idx="26">
                  <c:v>#N/A</c:v>
                </c:pt>
                <c:pt idx="27">
                  <c:v>55.000000000000007</c:v>
                </c:pt>
                <c:pt idx="28">
                  <c:v>#N/A</c:v>
                </c:pt>
                <c:pt idx="29">
                  <c:v>61</c:v>
                </c:pt>
                <c:pt idx="30">
                  <c:v>38</c:v>
                </c:pt>
                <c:pt idx="31">
                  <c:v>#N/A</c:v>
                </c:pt>
                <c:pt idx="32">
                  <c:v>#N/A</c:v>
                </c:pt>
                <c:pt idx="33">
                  <c:v>#N/A</c:v>
                </c:pt>
                <c:pt idx="34">
                  <c:v>60</c:v>
                </c:pt>
                <c:pt idx="35">
                  <c:v>#N/A</c:v>
                </c:pt>
                <c:pt idx="36">
                  <c:v>32</c:v>
                </c:pt>
                <c:pt idx="37">
                  <c:v>32</c:v>
                </c:pt>
                <c:pt idx="38">
                  <c:v>#N/A</c:v>
                </c:pt>
                <c:pt idx="39">
                  <c:v>#N/A</c:v>
                </c:pt>
                <c:pt idx="40">
                  <c:v>63</c:v>
                </c:pt>
                <c:pt idx="41">
                  <c:v>32</c:v>
                </c:pt>
                <c:pt idx="42">
                  <c:v>#N/A</c:v>
                </c:pt>
                <c:pt idx="43">
                  <c:v>#N/A</c:v>
                </c:pt>
                <c:pt idx="44">
                  <c:v>#N/A</c:v>
                </c:pt>
                <c:pt idx="45">
                  <c:v>#N/A</c:v>
                </c:pt>
                <c:pt idx="46">
                  <c:v>23</c:v>
                </c:pt>
                <c:pt idx="47">
                  <c:v>#N/A</c:v>
                </c:pt>
                <c:pt idx="48">
                  <c:v>#N/A</c:v>
                </c:pt>
                <c:pt idx="49">
                  <c:v>#N/A</c:v>
                </c:pt>
                <c:pt idx="50">
                  <c:v>23</c:v>
                </c:pt>
                <c:pt idx="51">
                  <c:v>#N/A</c:v>
                </c:pt>
                <c:pt idx="52">
                  <c:v>35</c:v>
                </c:pt>
                <c:pt idx="53">
                  <c:v>#N/A</c:v>
                </c:pt>
                <c:pt idx="54">
                  <c:v>55.000000000000007</c:v>
                </c:pt>
                <c:pt idx="55">
                  <c:v>46</c:v>
                </c:pt>
                <c:pt idx="56">
                  <c:v>#N/A</c:v>
                </c:pt>
                <c:pt idx="57">
                  <c:v>#N/A</c:v>
                </c:pt>
                <c:pt idx="58">
                  <c:v>#N/A</c:v>
                </c:pt>
                <c:pt idx="59">
                  <c:v>#N/A</c:v>
                </c:pt>
                <c:pt idx="60">
                  <c:v>60</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numCache>
            </c:numRef>
          </c:xVal>
          <c:yVal>
            <c:numRef>
              <c:f>'Hero Segmentation'!$Y$5:$Y$80</c:f>
              <c:numCache>
                <c:formatCode>0</c:formatCode>
                <c:ptCount val="76"/>
                <c:pt idx="0">
                  <c:v>#N/A</c:v>
                </c:pt>
                <c:pt idx="1">
                  <c:v>#N/A</c:v>
                </c:pt>
                <c:pt idx="2">
                  <c:v>97</c:v>
                </c:pt>
                <c:pt idx="3">
                  <c:v>82</c:v>
                </c:pt>
                <c:pt idx="4">
                  <c:v>82</c:v>
                </c:pt>
                <c:pt idx="5">
                  <c:v>90</c:v>
                </c:pt>
                <c:pt idx="6">
                  <c:v>#N/A</c:v>
                </c:pt>
                <c:pt idx="7">
                  <c:v>95</c:v>
                </c:pt>
                <c:pt idx="8">
                  <c:v>#N/A</c:v>
                </c:pt>
                <c:pt idx="9">
                  <c:v>88</c:v>
                </c:pt>
                <c:pt idx="10">
                  <c:v>73</c:v>
                </c:pt>
                <c:pt idx="11">
                  <c:v>65</c:v>
                </c:pt>
                <c:pt idx="12">
                  <c:v>#N/A</c:v>
                </c:pt>
                <c:pt idx="13">
                  <c:v>87</c:v>
                </c:pt>
                <c:pt idx="14">
                  <c:v>82</c:v>
                </c:pt>
                <c:pt idx="15">
                  <c:v>72</c:v>
                </c:pt>
                <c:pt idx="16">
                  <c:v>70</c:v>
                </c:pt>
                <c:pt idx="17">
                  <c:v>72</c:v>
                </c:pt>
                <c:pt idx="18">
                  <c:v>#N/A</c:v>
                </c:pt>
                <c:pt idx="19">
                  <c:v>#N/A</c:v>
                </c:pt>
                <c:pt idx="20">
                  <c:v>75</c:v>
                </c:pt>
                <c:pt idx="21">
                  <c:v>65</c:v>
                </c:pt>
                <c:pt idx="22">
                  <c:v>#N/A</c:v>
                </c:pt>
                <c:pt idx="23">
                  <c:v>72</c:v>
                </c:pt>
                <c:pt idx="24">
                  <c:v>67</c:v>
                </c:pt>
                <c:pt idx="25">
                  <c:v>67</c:v>
                </c:pt>
                <c:pt idx="26">
                  <c:v>#N/A</c:v>
                </c:pt>
                <c:pt idx="27">
                  <c:v>72</c:v>
                </c:pt>
                <c:pt idx="28">
                  <c:v>#N/A</c:v>
                </c:pt>
                <c:pt idx="29">
                  <c:v>72</c:v>
                </c:pt>
                <c:pt idx="30">
                  <c:v>67</c:v>
                </c:pt>
                <c:pt idx="31">
                  <c:v>#N/A</c:v>
                </c:pt>
                <c:pt idx="32">
                  <c:v>#N/A</c:v>
                </c:pt>
                <c:pt idx="33">
                  <c:v>#N/A</c:v>
                </c:pt>
                <c:pt idx="34">
                  <c:v>65</c:v>
                </c:pt>
                <c:pt idx="35">
                  <c:v>#N/A</c:v>
                </c:pt>
                <c:pt idx="36">
                  <c:v>72</c:v>
                </c:pt>
                <c:pt idx="37">
                  <c:v>67</c:v>
                </c:pt>
                <c:pt idx="38">
                  <c:v>#N/A</c:v>
                </c:pt>
                <c:pt idx="39">
                  <c:v>#N/A</c:v>
                </c:pt>
                <c:pt idx="40">
                  <c:v>90</c:v>
                </c:pt>
                <c:pt idx="41">
                  <c:v>70</c:v>
                </c:pt>
                <c:pt idx="42">
                  <c:v>#N/A</c:v>
                </c:pt>
                <c:pt idx="43">
                  <c:v>#N/A</c:v>
                </c:pt>
                <c:pt idx="44">
                  <c:v>#N/A</c:v>
                </c:pt>
                <c:pt idx="45">
                  <c:v>#N/A</c:v>
                </c:pt>
                <c:pt idx="46">
                  <c:v>75</c:v>
                </c:pt>
                <c:pt idx="47">
                  <c:v>#N/A</c:v>
                </c:pt>
                <c:pt idx="48">
                  <c:v>#N/A</c:v>
                </c:pt>
                <c:pt idx="49">
                  <c:v>#N/A</c:v>
                </c:pt>
                <c:pt idx="50">
                  <c:v>72</c:v>
                </c:pt>
                <c:pt idx="51">
                  <c:v>#N/A</c:v>
                </c:pt>
                <c:pt idx="52">
                  <c:v>70</c:v>
                </c:pt>
                <c:pt idx="53">
                  <c:v>#N/A</c:v>
                </c:pt>
                <c:pt idx="54">
                  <c:v>82</c:v>
                </c:pt>
                <c:pt idx="55">
                  <c:v>75</c:v>
                </c:pt>
                <c:pt idx="56">
                  <c:v>#N/A</c:v>
                </c:pt>
                <c:pt idx="57">
                  <c:v>#N/A</c:v>
                </c:pt>
                <c:pt idx="58">
                  <c:v>#N/A</c:v>
                </c:pt>
                <c:pt idx="59">
                  <c:v>#N/A</c:v>
                </c:pt>
                <c:pt idx="60">
                  <c:v>67</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numCache>
            </c:numRef>
          </c:yVal>
          <c:smooth val="1"/>
          <c:extLst>
            <c:ext xmlns:c16="http://schemas.microsoft.com/office/drawing/2014/chart" uri="{C3380CC4-5D6E-409C-BE32-E72D297353CC}">
              <c16:uniqueId val="{00000001-A355-4DE6-A38F-D6824A7F2714}"/>
            </c:ext>
          </c:extLst>
        </c:ser>
        <c:ser>
          <c:idx val="2"/>
          <c:order val="2"/>
          <c:tx>
            <c:v>Non-Hero</c:v>
          </c:tx>
          <c:spPr>
            <a:ln>
              <a:noFill/>
              <a:prstDash val="solid"/>
            </a:ln>
          </c:spPr>
          <c:marker>
            <c:symbol val="circle"/>
            <c:size val="8"/>
            <c:spPr>
              <a:solidFill>
                <a:srgbClr val="9E9D98"/>
              </a:solidFill>
              <a:ln>
                <a:solidFill>
                  <a:srgbClr val="FFFFFF"/>
                </a:solidFill>
                <a:prstDash val="solid"/>
              </a:ln>
            </c:spPr>
          </c:marker>
          <c:xVal>
            <c:numRef>
              <c:f>'Hero Segmentation'!$Z$5:$Z$80</c:f>
              <c:numCache>
                <c:formatCode>0</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50</c:v>
                </c:pt>
                <c:pt idx="20">
                  <c:v>#N/A</c:v>
                </c:pt>
                <c:pt idx="21">
                  <c:v>#N/A</c:v>
                </c:pt>
                <c:pt idx="22">
                  <c:v>55.000000000000007</c:v>
                </c:pt>
                <c:pt idx="23">
                  <c:v>#N/A</c:v>
                </c:pt>
                <c:pt idx="24">
                  <c:v>#N/A</c:v>
                </c:pt>
                <c:pt idx="25">
                  <c:v>#N/A</c:v>
                </c:pt>
                <c:pt idx="26">
                  <c:v>#N/A</c:v>
                </c:pt>
                <c:pt idx="27">
                  <c:v>#N/A</c:v>
                </c:pt>
                <c:pt idx="28">
                  <c:v>#N/A</c:v>
                </c:pt>
                <c:pt idx="29">
                  <c:v>#N/A</c:v>
                </c:pt>
                <c:pt idx="30">
                  <c:v>#N/A</c:v>
                </c:pt>
                <c:pt idx="31">
                  <c:v>#N/A</c:v>
                </c:pt>
                <c:pt idx="32">
                  <c:v>#N/A</c:v>
                </c:pt>
                <c:pt idx="33">
                  <c:v>#N/A</c:v>
                </c:pt>
                <c:pt idx="34">
                  <c:v>#N/A</c:v>
                </c:pt>
                <c:pt idx="35">
                  <c:v>43</c:v>
                </c:pt>
                <c:pt idx="36">
                  <c:v>#N/A</c:v>
                </c:pt>
                <c:pt idx="37">
                  <c:v>#N/A</c:v>
                </c:pt>
                <c:pt idx="38">
                  <c:v>60</c:v>
                </c:pt>
                <c:pt idx="39">
                  <c:v>#N/A</c:v>
                </c:pt>
                <c:pt idx="40">
                  <c:v>#N/A</c:v>
                </c:pt>
                <c:pt idx="41">
                  <c:v>#N/A</c:v>
                </c:pt>
                <c:pt idx="42">
                  <c:v>#N/A</c:v>
                </c:pt>
                <c:pt idx="43">
                  <c:v>60</c:v>
                </c:pt>
                <c:pt idx="44">
                  <c:v>#N/A</c:v>
                </c:pt>
                <c:pt idx="45">
                  <c:v>#N/A</c:v>
                </c:pt>
                <c:pt idx="46">
                  <c:v>#N/A</c:v>
                </c:pt>
                <c:pt idx="47">
                  <c:v>43</c:v>
                </c:pt>
                <c:pt idx="48">
                  <c:v>32</c:v>
                </c:pt>
                <c:pt idx="49">
                  <c:v>#N/A</c:v>
                </c:pt>
                <c:pt idx="50">
                  <c:v>#N/A</c:v>
                </c:pt>
                <c:pt idx="51">
                  <c:v>44</c:v>
                </c:pt>
                <c:pt idx="52">
                  <c:v>#N/A</c:v>
                </c:pt>
                <c:pt idx="53">
                  <c:v>#N/A</c:v>
                </c:pt>
                <c:pt idx="54">
                  <c:v>#N/A</c:v>
                </c:pt>
                <c:pt idx="55">
                  <c:v>#N/A</c:v>
                </c:pt>
                <c:pt idx="56">
                  <c:v>44</c:v>
                </c:pt>
                <c:pt idx="57">
                  <c:v>23</c:v>
                </c:pt>
                <c:pt idx="58">
                  <c:v>38</c:v>
                </c:pt>
                <c:pt idx="59">
                  <c:v>#N/A</c:v>
                </c:pt>
                <c:pt idx="60">
                  <c:v>#N/A</c:v>
                </c:pt>
                <c:pt idx="61">
                  <c:v>#N/A</c:v>
                </c:pt>
                <c:pt idx="62">
                  <c:v>49</c:v>
                </c:pt>
                <c:pt idx="63">
                  <c:v>32</c:v>
                </c:pt>
                <c:pt idx="64">
                  <c:v>49</c:v>
                </c:pt>
                <c:pt idx="65">
                  <c:v>55.000000000000007</c:v>
                </c:pt>
                <c:pt idx="66">
                  <c:v>49</c:v>
                </c:pt>
                <c:pt idx="67">
                  <c:v>#N/A</c:v>
                </c:pt>
                <c:pt idx="68">
                  <c:v>#N/A</c:v>
                </c:pt>
                <c:pt idx="69">
                  <c:v>#N/A</c:v>
                </c:pt>
                <c:pt idx="70">
                  <c:v>#N/A</c:v>
                </c:pt>
                <c:pt idx="71">
                  <c:v>#N/A</c:v>
                </c:pt>
                <c:pt idx="72">
                  <c:v>#N/A</c:v>
                </c:pt>
                <c:pt idx="73">
                  <c:v>#N/A</c:v>
                </c:pt>
                <c:pt idx="74">
                  <c:v>#N/A</c:v>
                </c:pt>
                <c:pt idx="75">
                  <c:v>#N/A</c:v>
                </c:pt>
              </c:numCache>
            </c:numRef>
          </c:xVal>
          <c:yVal>
            <c:numRef>
              <c:f>'Hero Segmentation'!$AA$5:$AA$80</c:f>
              <c:numCache>
                <c:formatCode>0</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60</c:v>
                </c:pt>
                <c:pt idx="20">
                  <c:v>#N/A</c:v>
                </c:pt>
                <c:pt idx="21">
                  <c:v>#N/A</c:v>
                </c:pt>
                <c:pt idx="22">
                  <c:v>62</c:v>
                </c:pt>
                <c:pt idx="23">
                  <c:v>#N/A</c:v>
                </c:pt>
                <c:pt idx="24">
                  <c:v>#N/A</c:v>
                </c:pt>
                <c:pt idx="25">
                  <c:v>#N/A</c:v>
                </c:pt>
                <c:pt idx="26">
                  <c:v>#N/A</c:v>
                </c:pt>
                <c:pt idx="27">
                  <c:v>#N/A</c:v>
                </c:pt>
                <c:pt idx="28">
                  <c:v>#N/A</c:v>
                </c:pt>
                <c:pt idx="29">
                  <c:v>#N/A</c:v>
                </c:pt>
                <c:pt idx="30">
                  <c:v>#N/A</c:v>
                </c:pt>
                <c:pt idx="31">
                  <c:v>#N/A</c:v>
                </c:pt>
                <c:pt idx="32">
                  <c:v>#N/A</c:v>
                </c:pt>
                <c:pt idx="33">
                  <c:v>#N/A</c:v>
                </c:pt>
                <c:pt idx="34">
                  <c:v>#N/A</c:v>
                </c:pt>
                <c:pt idx="35">
                  <c:v>52</c:v>
                </c:pt>
                <c:pt idx="36">
                  <c:v>#N/A</c:v>
                </c:pt>
                <c:pt idx="37">
                  <c:v>#N/A</c:v>
                </c:pt>
                <c:pt idx="38">
                  <c:v>55.000000000000007</c:v>
                </c:pt>
                <c:pt idx="39">
                  <c:v>#N/A</c:v>
                </c:pt>
                <c:pt idx="40">
                  <c:v>#N/A</c:v>
                </c:pt>
                <c:pt idx="41">
                  <c:v>#N/A</c:v>
                </c:pt>
                <c:pt idx="42">
                  <c:v>#N/A</c:v>
                </c:pt>
                <c:pt idx="43">
                  <c:v>60</c:v>
                </c:pt>
                <c:pt idx="44">
                  <c:v>#N/A</c:v>
                </c:pt>
                <c:pt idx="45">
                  <c:v>#N/A</c:v>
                </c:pt>
                <c:pt idx="46">
                  <c:v>#N/A</c:v>
                </c:pt>
                <c:pt idx="47">
                  <c:v>62</c:v>
                </c:pt>
                <c:pt idx="48">
                  <c:v>62</c:v>
                </c:pt>
                <c:pt idx="49">
                  <c:v>#N/A</c:v>
                </c:pt>
                <c:pt idx="50">
                  <c:v>#N/A</c:v>
                </c:pt>
                <c:pt idx="51">
                  <c:v>60</c:v>
                </c:pt>
                <c:pt idx="52">
                  <c:v>#N/A</c:v>
                </c:pt>
                <c:pt idx="53">
                  <c:v>#N/A</c:v>
                </c:pt>
                <c:pt idx="54">
                  <c:v>#N/A</c:v>
                </c:pt>
                <c:pt idx="55">
                  <c:v>#N/A</c:v>
                </c:pt>
                <c:pt idx="56">
                  <c:v>60</c:v>
                </c:pt>
                <c:pt idx="57">
                  <c:v>50</c:v>
                </c:pt>
                <c:pt idx="58">
                  <c:v>50</c:v>
                </c:pt>
                <c:pt idx="59">
                  <c:v>#N/A</c:v>
                </c:pt>
                <c:pt idx="60">
                  <c:v>#N/A</c:v>
                </c:pt>
                <c:pt idx="61">
                  <c:v>#N/A</c:v>
                </c:pt>
                <c:pt idx="62">
                  <c:v>51</c:v>
                </c:pt>
                <c:pt idx="63">
                  <c:v>50</c:v>
                </c:pt>
                <c:pt idx="64">
                  <c:v>62</c:v>
                </c:pt>
                <c:pt idx="65">
                  <c:v>28.000000000000004</c:v>
                </c:pt>
                <c:pt idx="66">
                  <c:v>62</c:v>
                </c:pt>
                <c:pt idx="67">
                  <c:v>#N/A</c:v>
                </c:pt>
                <c:pt idx="68">
                  <c:v>#N/A</c:v>
                </c:pt>
                <c:pt idx="69">
                  <c:v>#N/A</c:v>
                </c:pt>
                <c:pt idx="70">
                  <c:v>#N/A</c:v>
                </c:pt>
                <c:pt idx="71">
                  <c:v>#N/A</c:v>
                </c:pt>
                <c:pt idx="72">
                  <c:v>#N/A</c:v>
                </c:pt>
                <c:pt idx="73">
                  <c:v>#N/A</c:v>
                </c:pt>
                <c:pt idx="74">
                  <c:v>#N/A</c:v>
                </c:pt>
                <c:pt idx="75">
                  <c:v>#N/A</c:v>
                </c:pt>
              </c:numCache>
            </c:numRef>
          </c:yVal>
          <c:smooth val="1"/>
          <c:extLst>
            <c:ext xmlns:c16="http://schemas.microsoft.com/office/drawing/2014/chart" uri="{C3380CC4-5D6E-409C-BE32-E72D297353CC}">
              <c16:uniqueId val="{00000002-A355-4DE6-A38F-D6824A7F2714}"/>
            </c:ext>
          </c:extLst>
        </c:ser>
        <c:dLbls>
          <c:showLegendKey val="0"/>
          <c:showVal val="0"/>
          <c:showCatName val="0"/>
          <c:showSerName val="0"/>
          <c:showPercent val="0"/>
          <c:showBubbleSize val="0"/>
        </c:dLbls>
        <c:axId val="10"/>
        <c:axId val="20"/>
      </c:scatterChart>
      <c:valAx>
        <c:axId val="10"/>
        <c:scaling>
          <c:orientation val="minMax"/>
          <c:max val="100"/>
          <c:min val="15"/>
        </c:scaling>
        <c:delete val="0"/>
        <c:axPos val="b"/>
        <c:title>
          <c:tx>
            <c:rich>
              <a:bodyPr/>
              <a:lstStyle/>
              <a:p>
                <a:pPr>
                  <a:defRPr/>
                </a:pPr>
                <a:r>
                  <a:t>Staples Strength Index (SSI)</a:t>
                </a:r>
              </a:p>
            </c:rich>
          </c:tx>
          <c:overlay val="0"/>
        </c:title>
        <c:numFmt formatCode="0" sourceLinked="1"/>
        <c:majorTickMark val="none"/>
        <c:minorTickMark val="none"/>
        <c:tickLblPos val="nextTo"/>
        <c:crossAx val="20"/>
        <c:crosses val="autoZero"/>
        <c:crossBetween val="midCat"/>
      </c:valAx>
      <c:valAx>
        <c:axId val="20"/>
        <c:scaling>
          <c:orientation val="minMax"/>
          <c:max val="100"/>
          <c:min val="20"/>
        </c:scaling>
        <c:delete val="0"/>
        <c:axPos val="l"/>
        <c:majorGridlines>
          <c:spPr>
            <a:ln>
              <a:solidFill>
                <a:srgbClr val="E5E4DF"/>
              </a:solidFill>
              <a:prstDash val="solid"/>
            </a:ln>
          </c:spPr>
        </c:majorGridlines>
        <c:title>
          <c:tx>
            <c:rich>
              <a:bodyPr/>
              <a:lstStyle/>
              <a:p>
                <a:pPr>
                  <a:defRPr/>
                </a:pPr>
                <a:r>
                  <a:t>Market Attractiveness Index (MAI)</a:t>
                </a:r>
              </a:p>
            </c:rich>
          </c:tx>
          <c:overlay val="0"/>
        </c:title>
        <c:numFmt formatCode="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53</xdr:row>
      <xdr:rowOff>0</xdr:rowOff>
    </xdr:from>
    <xdr:ext cx="8640000" cy="43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3</xdr:row>
      <xdr:rowOff>0</xdr:rowOff>
    </xdr:from>
    <xdr:ext cx="11144250" cy="814387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615F7-610E-4E27-980D-E1D6005B00C7}">
  <dimension ref="B2:L14"/>
  <sheetViews>
    <sheetView tabSelected="1" workbookViewId="0">
      <selection activeCell="E19" sqref="E19"/>
    </sheetView>
  </sheetViews>
  <sheetFormatPr defaultRowHeight="14.4" x14ac:dyDescent="0.3"/>
  <cols>
    <col min="2" max="2" width="3" bestFit="1" customWidth="1"/>
    <col min="3" max="3" width="15.21875" bestFit="1" customWidth="1"/>
    <col min="4" max="4" width="40.33203125" bestFit="1" customWidth="1"/>
    <col min="5" max="5" width="6.109375" bestFit="1" customWidth="1"/>
    <col min="6" max="7" width="9.6640625" bestFit="1" customWidth="1"/>
    <col min="8" max="8" width="13" bestFit="1" customWidth="1"/>
    <col min="9" max="9" width="13.77734375" bestFit="1" customWidth="1"/>
    <col min="10" max="10" width="40.5546875" customWidth="1"/>
    <col min="11" max="11" width="32.77734375" bestFit="1" customWidth="1"/>
    <col min="12" max="12" width="13.6640625" customWidth="1"/>
  </cols>
  <sheetData>
    <row r="2" spans="2:12" ht="26.4" x14ac:dyDescent="0.3">
      <c r="B2" s="5" t="s">
        <v>10</v>
      </c>
      <c r="C2" s="5" t="s">
        <v>11</v>
      </c>
      <c r="D2" s="5" t="s">
        <v>12</v>
      </c>
      <c r="E2" s="5" t="s">
        <v>13</v>
      </c>
      <c r="F2" s="5" t="s">
        <v>14</v>
      </c>
      <c r="G2" s="5" t="s">
        <v>15</v>
      </c>
      <c r="H2" s="5" t="s">
        <v>16</v>
      </c>
      <c r="I2" s="5" t="s">
        <v>17</v>
      </c>
      <c r="J2" s="5" t="s">
        <v>18</v>
      </c>
      <c r="K2" s="5" t="s">
        <v>19</v>
      </c>
      <c r="L2" s="5" t="s">
        <v>20</v>
      </c>
    </row>
    <row r="3" spans="2:12" ht="39.6" x14ac:dyDescent="0.3">
      <c r="B3" s="6">
        <v>1</v>
      </c>
      <c r="C3" s="7" t="str">
        <f>INDEX('Path Scorecard'!$Q$5:$Q$80,MATCH("CL166388",'Path Scorecard'!$H$5:$H$80,0))&amp;" · "&amp;INDEX('Path Scorecard'!$AC$5:$AC$80,MATCH("CL166388",'Path Scorecard'!$H$5:$H$80,0))</f>
        <v>Hero · EXTEND</v>
      </c>
      <c r="D3" s="39" t="s">
        <v>21</v>
      </c>
      <c r="E3" s="9">
        <f>INDEX('Path Scorecard'!$Z$5:$Z$80,MATCH("CL166388",'Path Scorecard'!$H$5:$H$80,0))</f>
        <v>95</v>
      </c>
      <c r="F3" s="8" t="str">
        <f>INDEX('Path Scorecard'!$AE$5:$AE$80,MATCH("CL166388",'Path Scorecard'!$H$5:$H$80,0))</f>
        <v>Amazon</v>
      </c>
      <c r="G3" s="10" t="str">
        <f>INDEX('Path Scorecard'!$AF$5:$AF$80,MATCH("CL166388",'Path Scorecard'!$H$5:$H$80,0))</f>
        <v>Target</v>
      </c>
      <c r="H3" s="8" t="str">
        <f>INDEX('Path Scorecard'!$AG$5:$AG$80,MATCH("CL166388",'Path Scorecard'!$H$5:$H$80,0))</f>
        <v>Erin Condren</v>
      </c>
      <c r="I3" s="10" t="str">
        <f>INDEX('Path Scorecard'!$AH$5:$AH$80,MATCH("CL166388",'Path Scorecard'!$H$5:$H$80,0))</f>
        <v>Michaels</v>
      </c>
      <c r="J3" s="10" t="s">
        <v>22</v>
      </c>
      <c r="K3" s="10" t="s">
        <v>23</v>
      </c>
      <c r="L3" s="6" t="str">
        <f>INDEX('Path Scorecard'!$AD$5:$AD$80,MATCH("CL166388",'Path Scorecard'!$H$5:$H$80,0))</f>
        <v>Yes</v>
      </c>
    </row>
    <row r="4" spans="2:12" ht="39.6" x14ac:dyDescent="0.3">
      <c r="B4" s="6">
        <v>2</v>
      </c>
      <c r="C4" s="7" t="str">
        <f>INDEX('Path Scorecard'!$Q$5:$Q$80,MATCH("CL140991",'Path Scorecard'!$H$5:$H$80,0))&amp;" · "&amp;INDEX('Path Scorecard'!$AC$5:$AC$80,MATCH("CL140991",'Path Scorecard'!$H$5:$H$80,0))</f>
        <v>Hero · EXTEND</v>
      </c>
      <c r="D4" s="39" t="s">
        <v>24</v>
      </c>
      <c r="E4" s="9">
        <f>INDEX('Path Scorecard'!$Z$5:$Z$80,MATCH("CL140991",'Path Scorecard'!$H$5:$H$80,0))</f>
        <v>91</v>
      </c>
      <c r="F4" s="8" t="str">
        <f>INDEX('Path Scorecard'!$AE$5:$AE$80,MATCH("CL140991",'Path Scorecard'!$H$5:$H$80,0))</f>
        <v>Target</v>
      </c>
      <c r="G4" s="10" t="str">
        <f>INDEX('Path Scorecard'!$AF$5:$AF$80,MATCH("CL140991",'Path Scorecard'!$H$5:$H$80,0))</f>
        <v>Amazon</v>
      </c>
      <c r="H4" s="8" t="str">
        <f>INDEX('Path Scorecard'!$AG$5:$AG$80,MATCH("CL140991",'Path Scorecard'!$H$5:$H$80,0))</f>
        <v>Grovemade</v>
      </c>
      <c r="I4" s="10" t="str">
        <f>INDEX('Path Scorecard'!$AH$5:$AH$80,MATCH("CL140991",'Path Scorecard'!$H$5:$H$80,0))</f>
        <v>The Container Store</v>
      </c>
      <c r="J4" s="10" t="s">
        <v>25</v>
      </c>
      <c r="K4" s="10" t="s">
        <v>26</v>
      </c>
      <c r="L4" s="6" t="str">
        <f>INDEX('Path Scorecard'!$AD$5:$AD$80,MATCH("CL140991",'Path Scorecard'!$H$5:$H$80,0))</f>
        <v/>
      </c>
    </row>
    <row r="5" spans="2:12" ht="26.4" x14ac:dyDescent="0.3">
      <c r="B5" s="6">
        <v>3</v>
      </c>
      <c r="C5" s="7" t="str">
        <f>INDEX('Path Scorecard'!$Q$5:$Q$80,MATCH("CL142745",'Path Scorecard'!$H$5:$H$80,0))&amp;" · "&amp;INDEX('Path Scorecard'!$AC$5:$AC$80,MATCH("CL142745",'Path Scorecard'!$H$5:$H$80,0))</f>
        <v>Hero · EXTEND</v>
      </c>
      <c r="D5" s="39" t="s">
        <v>30</v>
      </c>
      <c r="E5" s="9">
        <f>INDEX('Path Scorecard'!$Z$5:$Z$80,MATCH("CL142745",'Path Scorecard'!$H$5:$H$80,0))</f>
        <v>86</v>
      </c>
      <c r="F5" s="8" t="str">
        <f>INDEX('Path Scorecard'!$AE$5:$AE$80,MATCH("CL142745",'Path Scorecard'!$H$5:$H$80,0))</f>
        <v>Amazon</v>
      </c>
      <c r="G5" s="10" t="str">
        <f>INDEX('Path Scorecard'!$AF$5:$AF$80,MATCH("CL142745",'Path Scorecard'!$H$5:$H$80,0))</f>
        <v>Target</v>
      </c>
      <c r="H5" s="8" t="str">
        <f>INDEX('Path Scorecard'!$AG$5:$AG$80,MATCH("CL142745",'Path Scorecard'!$H$5:$H$80,0))</f>
        <v>Bellroy</v>
      </c>
      <c r="I5" s="10" t="str">
        <f>INDEX('Path Scorecard'!$AH$5:$AH$80,MATCH("CL142745",'Path Scorecard'!$H$5:$H$80,0))</f>
        <v>Urban Outfitters</v>
      </c>
      <c r="J5" s="10" t="s">
        <v>31</v>
      </c>
      <c r="K5" s="10" t="s">
        <v>32</v>
      </c>
      <c r="L5" s="6" t="str">
        <f>INDEX('Path Scorecard'!$AD$5:$AD$80,MATCH("CL142745",'Path Scorecard'!$H$5:$H$80,0))</f>
        <v>Yes</v>
      </c>
    </row>
    <row r="6" spans="2:12" ht="26.4" x14ac:dyDescent="0.3">
      <c r="B6" s="6">
        <v>4</v>
      </c>
      <c r="C6" s="7" t="str">
        <f>INDEX('Path Scorecard'!$Q$5:$Q$80,MATCH("CL210795",'Path Scorecard'!$H$5:$H$80,0))&amp;" · "&amp;INDEX('Path Scorecard'!$AC$5:$AC$80,MATCH("CL210795",'Path Scorecard'!$H$5:$H$80,0))</f>
        <v>Hero · EXTEND</v>
      </c>
      <c r="D6" s="39" t="s">
        <v>33</v>
      </c>
      <c r="E6" s="9">
        <f>INDEX('Path Scorecard'!$Z$5:$Z$80,MATCH("CL210795",'Path Scorecard'!$H$5:$H$80,0))</f>
        <v>81</v>
      </c>
      <c r="F6" s="8" t="str">
        <f>INDEX('Path Scorecard'!$AE$5:$AE$80,MATCH("CL210795",'Path Scorecard'!$H$5:$H$80,0))</f>
        <v>Wayfair</v>
      </c>
      <c r="G6" s="10" t="str">
        <f>INDEX('Path Scorecard'!$AF$5:$AF$80,MATCH("CL210795",'Path Scorecard'!$H$5:$H$80,0))</f>
        <v>Amazon</v>
      </c>
      <c r="H6" s="8" t="str">
        <f>INDEX('Path Scorecard'!$AG$5:$AG$80,MATCH("CL210795",'Path Scorecard'!$H$5:$H$80,0))</f>
        <v>Design Within Reach</v>
      </c>
      <c r="I6" s="10" t="str">
        <f>INDEX('Path Scorecard'!$AH$5:$AH$80,MATCH("CL210795",'Path Scorecard'!$H$5:$H$80,0))</f>
        <v>West Elm</v>
      </c>
      <c r="J6" s="10" t="s">
        <v>34</v>
      </c>
      <c r="K6" s="10" t="s">
        <v>35</v>
      </c>
      <c r="L6" s="6" t="str">
        <f>INDEX('Path Scorecard'!$AD$5:$AD$80,MATCH("CL210795",'Path Scorecard'!$H$5:$H$80,0))</f>
        <v>Yes</v>
      </c>
    </row>
    <row r="7" spans="2:12" ht="39.6" x14ac:dyDescent="0.3">
      <c r="B7" s="6">
        <v>5</v>
      </c>
      <c r="C7" s="11" t="str">
        <f>INDEX('Path Scorecard'!$Q$5:$Q$80,MATCH("CL354650",'Path Scorecard'!$H$5:$H$80,0))&amp;" · "&amp;INDEX('Path Scorecard'!$AC$5:$AC$80,MATCH("CL354650",'Path Scorecard'!$H$5:$H$80,0))</f>
        <v>Probable Hero · BUILD</v>
      </c>
      <c r="D7" s="39" t="s">
        <v>42</v>
      </c>
      <c r="E7" s="9">
        <f>INDEX('Path Scorecard'!$Z$5:$Z$80,MATCH("CL354650",'Path Scorecard'!$H$5:$H$80,0))</f>
        <v>91</v>
      </c>
      <c r="F7" s="8" t="str">
        <f>INDEX('Path Scorecard'!$AE$5:$AE$80,MATCH("CL354650",'Path Scorecard'!$H$5:$H$80,0))</f>
        <v>Dick's Sporting Goods</v>
      </c>
      <c r="G7" s="10" t="str">
        <f>INDEX('Path Scorecard'!$AF$5:$AF$80,MATCH("CL354650",'Path Scorecard'!$H$5:$H$80,0))</f>
        <v>Target</v>
      </c>
      <c r="H7" s="8" t="str">
        <f>INDEX('Path Scorecard'!$AG$5:$AG$80,MATCH("CL354650",'Path Scorecard'!$H$5:$H$80,0))</f>
        <v>Scheels</v>
      </c>
      <c r="I7" s="10" t="str">
        <f>INDEX('Path Scorecard'!$AH$5:$AH$80,MATCH("CL354650",'Path Scorecard'!$H$5:$H$80,0))</f>
        <v>YETI</v>
      </c>
      <c r="J7" s="10" t="s">
        <v>43</v>
      </c>
      <c r="K7" s="10" t="s">
        <v>44</v>
      </c>
      <c r="L7" s="6" t="str">
        <f>INDEX('Path Scorecard'!$AD$5:$AD$80,MATCH("CL354650",'Path Scorecard'!$H$5:$H$80,0))</f>
        <v>Yes</v>
      </c>
    </row>
    <row r="8" spans="2:12" ht="26.4" x14ac:dyDescent="0.3">
      <c r="B8" s="6">
        <v>6</v>
      </c>
      <c r="C8" s="11" t="str">
        <f>INDEX('Path Scorecard'!$Q$5:$Q$80,MATCH("CL70203",'Path Scorecard'!$H$5:$H$80,0))&amp;" · "&amp;INDEX('Path Scorecard'!$AC$5:$AC$80,MATCH("CL70203",'Path Scorecard'!$H$5:$H$80,0))</f>
        <v>Probable Hero · BUILD</v>
      </c>
      <c r="D8" s="39" t="s">
        <v>45</v>
      </c>
      <c r="E8" s="9">
        <f>INDEX('Path Scorecard'!$Z$5:$Z$80,MATCH("CL70203",'Path Scorecard'!$H$5:$H$80,0))</f>
        <v>89</v>
      </c>
      <c r="F8" s="8" t="str">
        <f>INDEX('Path Scorecard'!$AE$5:$AE$80,MATCH("CL70203",'Path Scorecard'!$H$5:$H$80,0))</f>
        <v>Wayfair</v>
      </c>
      <c r="G8" s="10" t="str">
        <f>INDEX('Path Scorecard'!$AF$5:$AF$80,MATCH("CL70203",'Path Scorecard'!$H$5:$H$80,0))</f>
        <v>Amazon</v>
      </c>
      <c r="H8" s="8" t="str">
        <f>INDEX('Path Scorecard'!$AG$5:$AG$80,MATCH("CL70203",'Path Scorecard'!$H$5:$H$80,0))</f>
        <v>Article</v>
      </c>
      <c r="I8" s="10" t="str">
        <f>INDEX('Path Scorecard'!$AH$5:$AH$80,MATCH("CL70203",'Path Scorecard'!$H$5:$H$80,0))</f>
        <v>West Elm</v>
      </c>
      <c r="J8" s="10" t="s">
        <v>46</v>
      </c>
      <c r="K8" s="10" t="s">
        <v>47</v>
      </c>
      <c r="L8" s="6" t="str">
        <f>INDEX('Path Scorecard'!$AD$5:$AD$80,MATCH("CL70203",'Path Scorecard'!$H$5:$H$80,0))</f>
        <v>Yes</v>
      </c>
    </row>
    <row r="9" spans="2:12" ht="26.4" x14ac:dyDescent="0.3">
      <c r="B9" s="6">
        <v>7</v>
      </c>
      <c r="C9" s="11" t="str">
        <f>INDEX('Path Scorecard'!$Q$5:$Q$80,MATCH("CL167867",'Path Scorecard'!$H$5:$H$80,0))&amp;" · "&amp;INDEX('Path Scorecard'!$AC$5:$AC$80,MATCH("CL167867",'Path Scorecard'!$H$5:$H$80,0))</f>
        <v>Probable Hero · BUILD</v>
      </c>
      <c r="D9" s="39" t="s">
        <v>48</v>
      </c>
      <c r="E9" s="9">
        <f>INDEX('Path Scorecard'!$Z$5:$Z$80,MATCH("CL167867",'Path Scorecard'!$H$5:$H$80,0))</f>
        <v>86</v>
      </c>
      <c r="F9" s="8" t="str">
        <f>INDEX('Path Scorecard'!$AE$5:$AE$80,MATCH("CL167867",'Path Scorecard'!$H$5:$H$80,0))</f>
        <v>Wayfair</v>
      </c>
      <c r="G9" s="10" t="str">
        <f>INDEX('Path Scorecard'!$AF$5:$AF$80,MATCH("CL167867",'Path Scorecard'!$H$5:$H$80,0))</f>
        <v>Amazon</v>
      </c>
      <c r="H9" s="8" t="str">
        <f>INDEX('Path Scorecard'!$AG$5:$AG$80,MATCH("CL167867",'Path Scorecard'!$H$5:$H$80,0))</f>
        <v>Lamps Plus</v>
      </c>
      <c r="I9" s="10" t="str">
        <f>INDEX('Path Scorecard'!$AH$5:$AH$80,MATCH("CL167867",'Path Scorecard'!$H$5:$H$80,0))</f>
        <v>Urban Outfitters</v>
      </c>
      <c r="J9" s="10" t="s">
        <v>49</v>
      </c>
      <c r="K9" s="10" t="s">
        <v>50</v>
      </c>
      <c r="L9" s="6" t="str">
        <f>INDEX('Path Scorecard'!$AD$5:$AD$80,MATCH("CL167867",'Path Scorecard'!$H$5:$H$80,0))</f>
        <v>Yes</v>
      </c>
    </row>
    <row r="10" spans="2:12" ht="26.4" x14ac:dyDescent="0.3">
      <c r="B10" s="6">
        <v>8</v>
      </c>
      <c r="C10" s="11" t="s">
        <v>6790</v>
      </c>
      <c r="D10" s="39" t="s">
        <v>54</v>
      </c>
      <c r="E10" s="9">
        <v>86</v>
      </c>
      <c r="F10" s="8" t="s">
        <v>669</v>
      </c>
      <c r="G10" s="10" t="s">
        <v>1312</v>
      </c>
      <c r="H10" s="8" t="s">
        <v>1348</v>
      </c>
      <c r="I10" s="10" t="s">
        <v>1349</v>
      </c>
      <c r="J10" s="10" t="s">
        <v>55</v>
      </c>
      <c r="K10" s="10" t="s">
        <v>56</v>
      </c>
      <c r="L10" s="6" t="s">
        <v>1238</v>
      </c>
    </row>
    <row r="11" spans="2:12" ht="26.4" x14ac:dyDescent="0.3">
      <c r="B11" s="6">
        <v>9</v>
      </c>
      <c r="C11" s="12" t="s">
        <v>6791</v>
      </c>
      <c r="D11" s="39" t="s">
        <v>63</v>
      </c>
      <c r="E11" s="9">
        <v>77</v>
      </c>
      <c r="F11" s="8" t="s">
        <v>640</v>
      </c>
      <c r="G11" s="10" t="s">
        <v>669</v>
      </c>
      <c r="H11" s="8" t="s">
        <v>1346</v>
      </c>
      <c r="I11" s="10" t="s">
        <v>1344</v>
      </c>
      <c r="J11" s="10" t="s">
        <v>64</v>
      </c>
      <c r="K11" s="10" t="s">
        <v>35</v>
      </c>
      <c r="L11" s="6" t="s">
        <v>6792</v>
      </c>
    </row>
    <row r="12" spans="2:12" ht="26.4" x14ac:dyDescent="0.3">
      <c r="B12" s="6">
        <v>10</v>
      </c>
      <c r="C12" s="12" t="s">
        <v>6791</v>
      </c>
      <c r="D12" s="39" t="s">
        <v>65</v>
      </c>
      <c r="E12" s="9">
        <v>76</v>
      </c>
      <c r="F12" s="8" t="s">
        <v>669</v>
      </c>
      <c r="G12" s="10" t="s">
        <v>640</v>
      </c>
      <c r="H12" s="8" t="s">
        <v>1327</v>
      </c>
      <c r="I12" s="10" t="s">
        <v>1353</v>
      </c>
      <c r="J12" s="10" t="s">
        <v>66</v>
      </c>
      <c r="K12" s="10" t="s">
        <v>67</v>
      </c>
      <c r="L12" s="6" t="s">
        <v>6792</v>
      </c>
    </row>
    <row r="13" spans="2:12" ht="39.6" x14ac:dyDescent="0.3">
      <c r="B13" s="6">
        <v>11</v>
      </c>
      <c r="C13" s="12" t="s">
        <v>6791</v>
      </c>
      <c r="D13" s="39" t="s">
        <v>68</v>
      </c>
      <c r="E13" s="9">
        <v>72</v>
      </c>
      <c r="F13" s="8" t="s">
        <v>669</v>
      </c>
      <c r="G13" s="10" t="s">
        <v>640</v>
      </c>
      <c r="H13" s="8" t="s">
        <v>1350</v>
      </c>
      <c r="I13" s="10" t="s">
        <v>1354</v>
      </c>
      <c r="J13" s="10" t="s">
        <v>69</v>
      </c>
      <c r="K13" s="10" t="s">
        <v>70</v>
      </c>
      <c r="L13" s="6" t="s">
        <v>6792</v>
      </c>
    </row>
    <row r="14" spans="2:12" ht="26.4" x14ac:dyDescent="0.3">
      <c r="B14" s="6">
        <v>12</v>
      </c>
      <c r="C14" s="12" t="s">
        <v>6791</v>
      </c>
      <c r="D14" s="39" t="s">
        <v>74</v>
      </c>
      <c r="E14" s="9">
        <v>67</v>
      </c>
      <c r="F14" s="8" t="s">
        <v>640</v>
      </c>
      <c r="G14" s="10" t="s">
        <v>669</v>
      </c>
      <c r="H14" s="8" t="s">
        <v>1355</v>
      </c>
      <c r="I14" s="10" t="s">
        <v>1344</v>
      </c>
      <c r="J14" s="10" t="s">
        <v>75</v>
      </c>
      <c r="K14" s="10" t="s">
        <v>76</v>
      </c>
      <c r="L14" s="6" t="s">
        <v>6792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K61"/>
  <sheetViews>
    <sheetView showGridLines="0" topLeftCell="A21" workbookViewId="0">
      <selection activeCell="A31" activeCellId="2" sqref="A24:K24 A27:K29 A31:K31"/>
    </sheetView>
  </sheetViews>
  <sheetFormatPr defaultRowHeight="14.4" x14ac:dyDescent="0.3"/>
  <cols>
    <col min="1" max="1" width="5" customWidth="1"/>
    <col min="2" max="2" width="20" customWidth="1"/>
    <col min="3" max="3" width="52" customWidth="1"/>
    <col min="4" max="4" width="8" customWidth="1"/>
    <col min="5" max="6" width="15" customWidth="1"/>
    <col min="7" max="8" width="18" customWidth="1"/>
    <col min="9" max="9" width="44" customWidth="1"/>
    <col min="10" max="10" width="26" customWidth="1"/>
    <col min="11" max="11" width="9" customWidth="1"/>
  </cols>
  <sheetData>
    <row r="1" spans="1:11" ht="21" x14ac:dyDescent="0.4">
      <c r="A1" s="1" t="s">
        <v>0</v>
      </c>
    </row>
    <row r="2" spans="1:11" x14ac:dyDescent="0.3">
      <c r="A2" s="2" t="s">
        <v>1</v>
      </c>
    </row>
    <row r="4" spans="1:11" ht="36" customHeight="1" x14ac:dyDescent="0.3">
      <c r="A4" s="3" t="s">
        <v>2</v>
      </c>
      <c r="B4" s="31" t="s">
        <v>3</v>
      </c>
      <c r="C4" s="30"/>
      <c r="D4" s="30"/>
      <c r="E4" s="30"/>
      <c r="F4" s="30"/>
      <c r="G4" s="30"/>
      <c r="H4" s="30"/>
      <c r="I4" s="30"/>
      <c r="J4" s="30"/>
      <c r="K4" s="30"/>
    </row>
    <row r="5" spans="1:11" ht="36" customHeight="1" x14ac:dyDescent="0.3">
      <c r="A5" s="3" t="s">
        <v>2</v>
      </c>
      <c r="B5" s="31" t="s">
        <v>4</v>
      </c>
      <c r="C5" s="30"/>
      <c r="D5" s="30"/>
      <c r="E5" s="30"/>
      <c r="F5" s="30"/>
      <c r="G5" s="30"/>
      <c r="H5" s="30"/>
      <c r="I5" s="30"/>
      <c r="J5" s="30"/>
      <c r="K5" s="30"/>
    </row>
    <row r="6" spans="1:11" ht="36" customHeight="1" x14ac:dyDescent="0.3">
      <c r="A6" s="3" t="s">
        <v>2</v>
      </c>
      <c r="B6" s="31" t="s">
        <v>5</v>
      </c>
      <c r="C6" s="30"/>
      <c r="D6" s="30"/>
      <c r="E6" s="30"/>
      <c r="F6" s="30"/>
      <c r="G6" s="30"/>
      <c r="H6" s="30"/>
      <c r="I6" s="30"/>
      <c r="J6" s="30"/>
      <c r="K6" s="30"/>
    </row>
    <row r="7" spans="1:11" ht="36" customHeight="1" x14ac:dyDescent="0.3">
      <c r="A7" s="3" t="s">
        <v>2</v>
      </c>
      <c r="B7" s="31" t="s">
        <v>6</v>
      </c>
      <c r="C7" s="30"/>
      <c r="D7" s="30"/>
      <c r="E7" s="30"/>
      <c r="F7" s="30"/>
      <c r="G7" s="30"/>
      <c r="H7" s="30"/>
      <c r="I7" s="30"/>
      <c r="J7" s="30"/>
      <c r="K7" s="30"/>
    </row>
    <row r="8" spans="1:11" ht="36" customHeight="1" x14ac:dyDescent="0.3">
      <c r="A8" s="3" t="s">
        <v>2</v>
      </c>
      <c r="B8" s="31" t="s">
        <v>7</v>
      </c>
      <c r="C8" s="30"/>
      <c r="D8" s="30"/>
      <c r="E8" s="30"/>
      <c r="F8" s="30"/>
      <c r="G8" s="30"/>
      <c r="H8" s="30"/>
      <c r="I8" s="30"/>
      <c r="J8" s="30"/>
      <c r="K8" s="30"/>
    </row>
    <row r="9" spans="1:11" ht="36" customHeight="1" x14ac:dyDescent="0.3">
      <c r="A9" s="3" t="s">
        <v>2</v>
      </c>
      <c r="B9" s="31" t="s">
        <v>8</v>
      </c>
      <c r="C9" s="30"/>
      <c r="D9" s="30"/>
      <c r="E9" s="30"/>
      <c r="F9" s="30"/>
      <c r="G9" s="30"/>
      <c r="H9" s="30"/>
      <c r="I9" s="30"/>
      <c r="J9" s="30"/>
      <c r="K9" s="30"/>
    </row>
    <row r="11" spans="1:11" ht="15.6" x14ac:dyDescent="0.3">
      <c r="A11" s="4" t="s">
        <v>9</v>
      </c>
    </row>
    <row r="12" spans="1:11" ht="30" customHeight="1" x14ac:dyDescent="0.3">
      <c r="A12" s="5" t="s">
        <v>10</v>
      </c>
      <c r="B12" s="5" t="s">
        <v>11</v>
      </c>
      <c r="C12" s="5" t="s">
        <v>12</v>
      </c>
      <c r="D12" s="5" t="s">
        <v>13</v>
      </c>
      <c r="E12" s="5" t="s">
        <v>14</v>
      </c>
      <c r="F12" s="5" t="s">
        <v>15</v>
      </c>
      <c r="G12" s="5" t="s">
        <v>16</v>
      </c>
      <c r="H12" s="5" t="s">
        <v>17</v>
      </c>
      <c r="I12" s="5" t="s">
        <v>18</v>
      </c>
      <c r="J12" s="5" t="s">
        <v>19</v>
      </c>
      <c r="K12" s="5" t="s">
        <v>20</v>
      </c>
    </row>
    <row r="13" spans="1:11" ht="43.95" customHeight="1" x14ac:dyDescent="0.3">
      <c r="A13" s="6">
        <v>1</v>
      </c>
      <c r="B13" s="7" t="str">
        <f>INDEX('Path Scorecard'!$Q$5:$Q$80,MATCH("CL166388",'Path Scorecard'!$H$5:$H$80,0))&amp;" · "&amp;INDEX('Path Scorecard'!$AC$5:$AC$80,MATCH("CL166388",'Path Scorecard'!$H$5:$H$80,0))</f>
        <v>Hero · EXTEND</v>
      </c>
      <c r="C13" s="39" t="s">
        <v>21</v>
      </c>
      <c r="D13" s="9">
        <f>INDEX('Path Scorecard'!$Z$5:$Z$80,MATCH("CL166388",'Path Scorecard'!$H$5:$H$80,0))</f>
        <v>95</v>
      </c>
      <c r="E13" s="8" t="str">
        <f>INDEX('Path Scorecard'!$AE$5:$AE$80,MATCH("CL166388",'Path Scorecard'!$H$5:$H$80,0))</f>
        <v>Amazon</v>
      </c>
      <c r="F13" s="10" t="str">
        <f>INDEX('Path Scorecard'!$AF$5:$AF$80,MATCH("CL166388",'Path Scorecard'!$H$5:$H$80,0))</f>
        <v>Target</v>
      </c>
      <c r="G13" s="8" t="str">
        <f>INDEX('Path Scorecard'!$AG$5:$AG$80,MATCH("CL166388",'Path Scorecard'!$H$5:$H$80,0))</f>
        <v>Erin Condren</v>
      </c>
      <c r="H13" s="10" t="str">
        <f>INDEX('Path Scorecard'!$AH$5:$AH$80,MATCH("CL166388",'Path Scorecard'!$H$5:$H$80,0))</f>
        <v>Michaels</v>
      </c>
      <c r="I13" s="10" t="s">
        <v>22</v>
      </c>
      <c r="J13" s="10" t="s">
        <v>23</v>
      </c>
      <c r="K13" s="6" t="str">
        <f>INDEX('Path Scorecard'!$AD$5:$AD$80,MATCH("CL166388",'Path Scorecard'!$H$5:$H$80,0))</f>
        <v>Yes</v>
      </c>
    </row>
    <row r="14" spans="1:11" ht="43.95" customHeight="1" x14ac:dyDescent="0.3">
      <c r="A14" s="6">
        <v>2</v>
      </c>
      <c r="B14" s="7" t="str">
        <f>INDEX('Path Scorecard'!$Q$5:$Q$80,MATCH("CL140991",'Path Scorecard'!$H$5:$H$80,0))&amp;" · "&amp;INDEX('Path Scorecard'!$AC$5:$AC$80,MATCH("CL140991",'Path Scorecard'!$H$5:$H$80,0))</f>
        <v>Hero · EXTEND</v>
      </c>
      <c r="C14" s="39" t="s">
        <v>24</v>
      </c>
      <c r="D14" s="9">
        <f>INDEX('Path Scorecard'!$Z$5:$Z$80,MATCH("CL140991",'Path Scorecard'!$H$5:$H$80,0))</f>
        <v>91</v>
      </c>
      <c r="E14" s="8" t="str">
        <f>INDEX('Path Scorecard'!$AE$5:$AE$80,MATCH("CL140991",'Path Scorecard'!$H$5:$H$80,0))</f>
        <v>Target</v>
      </c>
      <c r="F14" s="10" t="str">
        <f>INDEX('Path Scorecard'!$AF$5:$AF$80,MATCH("CL140991",'Path Scorecard'!$H$5:$H$80,0))</f>
        <v>Amazon</v>
      </c>
      <c r="G14" s="8" t="str">
        <f>INDEX('Path Scorecard'!$AG$5:$AG$80,MATCH("CL140991",'Path Scorecard'!$H$5:$H$80,0))</f>
        <v>Grovemade</v>
      </c>
      <c r="H14" s="10" t="str">
        <f>INDEX('Path Scorecard'!$AH$5:$AH$80,MATCH("CL140991",'Path Scorecard'!$H$5:$H$80,0))</f>
        <v>The Container Store</v>
      </c>
      <c r="I14" s="10" t="s">
        <v>25</v>
      </c>
      <c r="J14" s="10" t="s">
        <v>26</v>
      </c>
      <c r="K14" s="6" t="str">
        <f>INDEX('Path Scorecard'!$AD$5:$AD$80,MATCH("CL140991",'Path Scorecard'!$H$5:$H$80,0))</f>
        <v/>
      </c>
    </row>
    <row r="15" spans="1:11" ht="43.95" customHeight="1" x14ac:dyDescent="0.3">
      <c r="A15" s="6">
        <v>3</v>
      </c>
      <c r="B15" s="7" t="str">
        <f>INDEX('Path Scorecard'!$Q$5:$Q$80,MATCH("CL219245",'Path Scorecard'!$H$5:$H$80,0))&amp;" · "&amp;INDEX('Path Scorecard'!$AC$5:$AC$80,MATCH("CL219245",'Path Scorecard'!$H$5:$H$80,0))</f>
        <v>Hero · EXTEND</v>
      </c>
      <c r="C15" s="8" t="s">
        <v>27</v>
      </c>
      <c r="D15" s="9">
        <f>INDEX('Path Scorecard'!$Z$5:$Z$80,MATCH("CL219245",'Path Scorecard'!$H$5:$H$80,0))</f>
        <v>86</v>
      </c>
      <c r="E15" s="8" t="str">
        <f>INDEX('Path Scorecard'!$AE$5:$AE$80,MATCH("CL219245",'Path Scorecard'!$H$5:$H$80,0))</f>
        <v>Amazon</v>
      </c>
      <c r="F15" s="10" t="str">
        <f>INDEX('Path Scorecard'!$AF$5:$AF$80,MATCH("CL219245",'Path Scorecard'!$H$5:$H$80,0))</f>
        <v>Walmart</v>
      </c>
      <c r="G15" s="8" t="str">
        <f>INDEX('Path Scorecard'!$AG$5:$AG$80,MATCH("CL219245",'Path Scorecard'!$H$5:$H$80,0))</f>
        <v>Etsy</v>
      </c>
      <c r="H15" s="10" t="str">
        <f>INDEX('Path Scorecard'!$AH$5:$AH$80,MATCH("CL219245",'Path Scorecard'!$H$5:$H$80,0))</f>
        <v>Oriental Trading</v>
      </c>
      <c r="I15" s="10" t="s">
        <v>28</v>
      </c>
      <c r="J15" s="10" t="s">
        <v>29</v>
      </c>
      <c r="K15" s="6" t="str">
        <f>INDEX('Path Scorecard'!$AD$5:$AD$80,MATCH("CL219245",'Path Scorecard'!$H$5:$H$80,0))</f>
        <v/>
      </c>
    </row>
    <row r="16" spans="1:11" ht="43.95" customHeight="1" x14ac:dyDescent="0.3">
      <c r="A16" s="6">
        <v>4</v>
      </c>
      <c r="B16" s="7" t="str">
        <f>INDEX('Path Scorecard'!$Q$5:$Q$80,MATCH("CL142745",'Path Scorecard'!$H$5:$H$80,0))&amp;" · "&amp;INDEX('Path Scorecard'!$AC$5:$AC$80,MATCH("CL142745",'Path Scorecard'!$H$5:$H$80,0))</f>
        <v>Hero · EXTEND</v>
      </c>
      <c r="C16" s="39" t="s">
        <v>30</v>
      </c>
      <c r="D16" s="9">
        <f>INDEX('Path Scorecard'!$Z$5:$Z$80,MATCH("CL142745",'Path Scorecard'!$H$5:$H$80,0))</f>
        <v>86</v>
      </c>
      <c r="E16" s="8" t="str">
        <f>INDEX('Path Scorecard'!$AE$5:$AE$80,MATCH("CL142745",'Path Scorecard'!$H$5:$H$80,0))</f>
        <v>Amazon</v>
      </c>
      <c r="F16" s="10" t="str">
        <f>INDEX('Path Scorecard'!$AF$5:$AF$80,MATCH("CL142745",'Path Scorecard'!$H$5:$H$80,0))</f>
        <v>Target</v>
      </c>
      <c r="G16" s="8" t="str">
        <f>INDEX('Path Scorecard'!$AG$5:$AG$80,MATCH("CL142745",'Path Scorecard'!$H$5:$H$80,0))</f>
        <v>Bellroy</v>
      </c>
      <c r="H16" s="10" t="str">
        <f>INDEX('Path Scorecard'!$AH$5:$AH$80,MATCH("CL142745",'Path Scorecard'!$H$5:$H$80,0))</f>
        <v>Urban Outfitters</v>
      </c>
      <c r="I16" s="10" t="s">
        <v>31</v>
      </c>
      <c r="J16" s="10" t="s">
        <v>32</v>
      </c>
      <c r="K16" s="6" t="str">
        <f>INDEX('Path Scorecard'!$AD$5:$AD$80,MATCH("CL142745",'Path Scorecard'!$H$5:$H$80,0))</f>
        <v>Yes</v>
      </c>
    </row>
    <row r="17" spans="1:11" ht="43.95" customHeight="1" x14ac:dyDescent="0.3">
      <c r="A17" s="6">
        <v>5</v>
      </c>
      <c r="B17" s="7" t="str">
        <f>INDEX('Path Scorecard'!$Q$5:$Q$80,MATCH("CL210795",'Path Scorecard'!$H$5:$H$80,0))&amp;" · "&amp;INDEX('Path Scorecard'!$AC$5:$AC$80,MATCH("CL210795",'Path Scorecard'!$H$5:$H$80,0))</f>
        <v>Hero · EXTEND</v>
      </c>
      <c r="C17" s="39" t="s">
        <v>33</v>
      </c>
      <c r="D17" s="9">
        <f>INDEX('Path Scorecard'!$Z$5:$Z$80,MATCH("CL210795",'Path Scorecard'!$H$5:$H$80,0))</f>
        <v>81</v>
      </c>
      <c r="E17" s="8" t="str">
        <f>INDEX('Path Scorecard'!$AE$5:$AE$80,MATCH("CL210795",'Path Scorecard'!$H$5:$H$80,0))</f>
        <v>Wayfair</v>
      </c>
      <c r="F17" s="10" t="str">
        <f>INDEX('Path Scorecard'!$AF$5:$AF$80,MATCH("CL210795",'Path Scorecard'!$H$5:$H$80,0))</f>
        <v>Amazon</v>
      </c>
      <c r="G17" s="8" t="str">
        <f>INDEX('Path Scorecard'!$AG$5:$AG$80,MATCH("CL210795",'Path Scorecard'!$H$5:$H$80,0))</f>
        <v>Design Within Reach</v>
      </c>
      <c r="H17" s="10" t="str">
        <f>INDEX('Path Scorecard'!$AH$5:$AH$80,MATCH("CL210795",'Path Scorecard'!$H$5:$H$80,0))</f>
        <v>West Elm</v>
      </c>
      <c r="I17" s="10" t="s">
        <v>34</v>
      </c>
      <c r="J17" s="10" t="s">
        <v>35</v>
      </c>
      <c r="K17" s="6" t="str">
        <f>INDEX('Path Scorecard'!$AD$5:$AD$80,MATCH("CL210795",'Path Scorecard'!$H$5:$H$80,0))</f>
        <v>Yes</v>
      </c>
    </row>
    <row r="18" spans="1:11" ht="43.95" customHeight="1" x14ac:dyDescent="0.3">
      <c r="A18" s="6">
        <v>6</v>
      </c>
      <c r="B18" s="7" t="str">
        <f>INDEX('Path Scorecard'!$Q$5:$Q$80,MATCH("CL142403",'Path Scorecard'!$H$5:$H$80,0))&amp;" · "&amp;INDEX('Path Scorecard'!$AC$5:$AC$80,MATCH("CL142403",'Path Scorecard'!$H$5:$H$80,0))</f>
        <v>Hero · EXTEND</v>
      </c>
      <c r="C18" s="8" t="s">
        <v>36</v>
      </c>
      <c r="D18" s="9">
        <f>INDEX('Path Scorecard'!$Z$5:$Z$80,MATCH("CL142403",'Path Scorecard'!$H$5:$H$80,0))</f>
        <v>77</v>
      </c>
      <c r="E18" s="8" t="str">
        <f>INDEX('Path Scorecard'!$AE$5:$AE$80,MATCH("CL142403",'Path Scorecard'!$H$5:$H$80,0))</f>
        <v>Amazon</v>
      </c>
      <c r="F18" s="10" t="str">
        <f>INDEX('Path Scorecard'!$AF$5:$AF$80,MATCH("CL142403",'Path Scorecard'!$H$5:$H$80,0))</f>
        <v>Wayfair</v>
      </c>
      <c r="G18" s="8" t="str">
        <f>INDEX('Path Scorecard'!$AG$5:$AG$80,MATCH("CL142403",'Path Scorecard'!$H$5:$H$80,0))</f>
        <v>Etsy</v>
      </c>
      <c r="H18" s="10" t="str">
        <f>INDEX('Path Scorecard'!$AH$5:$AH$80,MATCH("CL142403",'Path Scorecard'!$H$5:$H$80,0))</f>
        <v>Pottery Barn Teen</v>
      </c>
      <c r="I18" s="10" t="s">
        <v>37</v>
      </c>
      <c r="J18" s="10" t="s">
        <v>38</v>
      </c>
      <c r="K18" s="6" t="str">
        <f>INDEX('Path Scorecard'!$AD$5:$AD$80,MATCH("CL142403",'Path Scorecard'!$H$5:$H$80,0))</f>
        <v/>
      </c>
    </row>
    <row r="19" spans="1:11" ht="43.95" customHeight="1" x14ac:dyDescent="0.3">
      <c r="A19" s="6">
        <v>7</v>
      </c>
      <c r="B19" s="7" t="str">
        <f>INDEX('Path Scorecard'!$Q$5:$Q$80,MATCH("CL215783",'Path Scorecard'!$H$5:$H$80,0))&amp;" · "&amp;INDEX('Path Scorecard'!$AC$5:$AC$80,MATCH("CL215783",'Path Scorecard'!$H$5:$H$80,0))</f>
        <v>Hero · EXTEND</v>
      </c>
      <c r="C19" s="8" t="s">
        <v>39</v>
      </c>
      <c r="D19" s="9">
        <f>INDEX('Path Scorecard'!$Z$5:$Z$80,MATCH("CL215783",'Path Scorecard'!$H$5:$H$80,0))</f>
        <v>75</v>
      </c>
      <c r="E19" s="8" t="str">
        <f>INDEX('Path Scorecard'!$AE$5:$AE$80,MATCH("CL215783",'Path Scorecard'!$H$5:$H$80,0))</f>
        <v>Amazon</v>
      </c>
      <c r="F19" s="10" t="str">
        <f>INDEX('Path Scorecard'!$AF$5:$AF$80,MATCH("CL215783",'Path Scorecard'!$H$5:$H$80,0))</f>
        <v>Best Buy</v>
      </c>
      <c r="G19" s="8" t="str">
        <f>INDEX('Path Scorecard'!$AG$5:$AG$80,MATCH("CL215783",'Path Scorecard'!$H$5:$H$80,0))</f>
        <v>Keychron</v>
      </c>
      <c r="H19" s="10" t="str">
        <f>INDEX('Path Scorecard'!$AH$5:$AH$80,MATCH("CL215783",'Path Scorecard'!$H$5:$H$80,0))</f>
        <v>Drop</v>
      </c>
      <c r="I19" s="10" t="s">
        <v>40</v>
      </c>
      <c r="J19" s="10" t="s">
        <v>41</v>
      </c>
      <c r="K19" s="6" t="str">
        <f>INDEX('Path Scorecard'!$AD$5:$AD$80,MATCH("CL215783",'Path Scorecard'!$H$5:$H$80,0))</f>
        <v/>
      </c>
    </row>
    <row r="20" spans="1:11" ht="43.95" customHeight="1" x14ac:dyDescent="0.3">
      <c r="A20" s="6">
        <v>8</v>
      </c>
      <c r="B20" s="11" t="str">
        <f>INDEX('Path Scorecard'!$Q$5:$Q$80,MATCH("CL354650",'Path Scorecard'!$H$5:$H$80,0))&amp;" · "&amp;INDEX('Path Scorecard'!$AC$5:$AC$80,MATCH("CL354650",'Path Scorecard'!$H$5:$H$80,0))</f>
        <v>Probable Hero · BUILD</v>
      </c>
      <c r="C20" s="39" t="s">
        <v>42</v>
      </c>
      <c r="D20" s="9">
        <f>INDEX('Path Scorecard'!$Z$5:$Z$80,MATCH("CL354650",'Path Scorecard'!$H$5:$H$80,0))</f>
        <v>91</v>
      </c>
      <c r="E20" s="8" t="str">
        <f>INDEX('Path Scorecard'!$AE$5:$AE$80,MATCH("CL354650",'Path Scorecard'!$H$5:$H$80,0))</f>
        <v>Dick's Sporting Goods</v>
      </c>
      <c r="F20" s="10" t="str">
        <f>INDEX('Path Scorecard'!$AF$5:$AF$80,MATCH("CL354650",'Path Scorecard'!$H$5:$H$80,0))</f>
        <v>Target</v>
      </c>
      <c r="G20" s="8" t="str">
        <f>INDEX('Path Scorecard'!$AG$5:$AG$80,MATCH("CL354650",'Path Scorecard'!$H$5:$H$80,0))</f>
        <v>Scheels</v>
      </c>
      <c r="H20" s="10" t="str">
        <f>INDEX('Path Scorecard'!$AH$5:$AH$80,MATCH("CL354650",'Path Scorecard'!$H$5:$H$80,0))</f>
        <v>YETI</v>
      </c>
      <c r="I20" s="10" t="s">
        <v>43</v>
      </c>
      <c r="J20" s="10" t="s">
        <v>44</v>
      </c>
      <c r="K20" s="6" t="str">
        <f>INDEX('Path Scorecard'!$AD$5:$AD$80,MATCH("CL354650",'Path Scorecard'!$H$5:$H$80,0))</f>
        <v>Yes</v>
      </c>
    </row>
    <row r="21" spans="1:11" ht="43.95" customHeight="1" x14ac:dyDescent="0.3">
      <c r="A21" s="6">
        <v>9</v>
      </c>
      <c r="B21" s="11" t="str">
        <f>INDEX('Path Scorecard'!$Q$5:$Q$80,MATCH("CL70203",'Path Scorecard'!$H$5:$H$80,0))&amp;" · "&amp;INDEX('Path Scorecard'!$AC$5:$AC$80,MATCH("CL70203",'Path Scorecard'!$H$5:$H$80,0))</f>
        <v>Probable Hero · BUILD</v>
      </c>
      <c r="C21" s="39" t="s">
        <v>45</v>
      </c>
      <c r="D21" s="9">
        <f>INDEX('Path Scorecard'!$Z$5:$Z$80,MATCH("CL70203",'Path Scorecard'!$H$5:$H$80,0))</f>
        <v>89</v>
      </c>
      <c r="E21" s="8" t="str">
        <f>INDEX('Path Scorecard'!$AE$5:$AE$80,MATCH("CL70203",'Path Scorecard'!$H$5:$H$80,0))</f>
        <v>Wayfair</v>
      </c>
      <c r="F21" s="10" t="str">
        <f>INDEX('Path Scorecard'!$AF$5:$AF$80,MATCH("CL70203",'Path Scorecard'!$H$5:$H$80,0))</f>
        <v>Amazon</v>
      </c>
      <c r="G21" s="8" t="str">
        <f>INDEX('Path Scorecard'!$AG$5:$AG$80,MATCH("CL70203",'Path Scorecard'!$H$5:$H$80,0))</f>
        <v>Article</v>
      </c>
      <c r="H21" s="10" t="str">
        <f>INDEX('Path Scorecard'!$AH$5:$AH$80,MATCH("CL70203",'Path Scorecard'!$H$5:$H$80,0))</f>
        <v>West Elm</v>
      </c>
      <c r="I21" s="10" t="s">
        <v>46</v>
      </c>
      <c r="J21" s="10" t="s">
        <v>47</v>
      </c>
      <c r="K21" s="6" t="str">
        <f>INDEX('Path Scorecard'!$AD$5:$AD$80,MATCH("CL70203",'Path Scorecard'!$H$5:$H$80,0))</f>
        <v>Yes</v>
      </c>
    </row>
    <row r="22" spans="1:11" ht="43.95" customHeight="1" x14ac:dyDescent="0.3">
      <c r="A22" s="6">
        <v>10</v>
      </c>
      <c r="B22" s="11" t="str">
        <f>INDEX('Path Scorecard'!$Q$5:$Q$80,MATCH("CL167867",'Path Scorecard'!$H$5:$H$80,0))&amp;" · "&amp;INDEX('Path Scorecard'!$AC$5:$AC$80,MATCH("CL167867",'Path Scorecard'!$H$5:$H$80,0))</f>
        <v>Probable Hero · BUILD</v>
      </c>
      <c r="C22" s="39" t="s">
        <v>48</v>
      </c>
      <c r="D22" s="9">
        <f>INDEX('Path Scorecard'!$Z$5:$Z$80,MATCH("CL167867",'Path Scorecard'!$H$5:$H$80,0))</f>
        <v>86</v>
      </c>
      <c r="E22" s="8" t="str">
        <f>INDEX('Path Scorecard'!$AE$5:$AE$80,MATCH("CL167867",'Path Scorecard'!$H$5:$H$80,0))</f>
        <v>Wayfair</v>
      </c>
      <c r="F22" s="10" t="str">
        <f>INDEX('Path Scorecard'!$AF$5:$AF$80,MATCH("CL167867",'Path Scorecard'!$H$5:$H$80,0))</f>
        <v>Amazon</v>
      </c>
      <c r="G22" s="8" t="str">
        <f>INDEX('Path Scorecard'!$AG$5:$AG$80,MATCH("CL167867",'Path Scorecard'!$H$5:$H$80,0))</f>
        <v>Lamps Plus</v>
      </c>
      <c r="H22" s="10" t="str">
        <f>INDEX('Path Scorecard'!$AH$5:$AH$80,MATCH("CL167867",'Path Scorecard'!$H$5:$H$80,0))</f>
        <v>Urban Outfitters</v>
      </c>
      <c r="I22" s="10" t="s">
        <v>49</v>
      </c>
      <c r="J22" s="10" t="s">
        <v>50</v>
      </c>
      <c r="K22" s="6" t="str">
        <f>INDEX('Path Scorecard'!$AD$5:$AD$80,MATCH("CL167867",'Path Scorecard'!$H$5:$H$80,0))</f>
        <v>Yes</v>
      </c>
    </row>
    <row r="23" spans="1:11" ht="43.95" customHeight="1" x14ac:dyDescent="0.3">
      <c r="A23" s="6">
        <v>11</v>
      </c>
      <c r="B23" s="11" t="str">
        <f>INDEX('Path Scorecard'!$Q$5:$Q$80,MATCH("CL141253",'Path Scorecard'!$H$5:$H$80,0))&amp;" · "&amp;INDEX('Path Scorecard'!$AC$5:$AC$80,MATCH("CL141253",'Path Scorecard'!$H$5:$H$80,0))</f>
        <v>Probable Hero · BUILD</v>
      </c>
      <c r="C23" s="8" t="s">
        <v>51</v>
      </c>
      <c r="D23" s="9">
        <f>INDEX('Path Scorecard'!$Z$5:$Z$80,MATCH("CL141253",'Path Scorecard'!$H$5:$H$80,0))</f>
        <v>86</v>
      </c>
      <c r="E23" s="8" t="str">
        <f>INDEX('Path Scorecard'!$AE$5:$AE$80,MATCH("CL141253",'Path Scorecard'!$H$5:$H$80,0))</f>
        <v>Amazon</v>
      </c>
      <c r="F23" s="10" t="str">
        <f>INDEX('Path Scorecard'!$AF$5:$AF$80,MATCH("CL141253",'Path Scorecard'!$H$5:$H$80,0))</f>
        <v>Target</v>
      </c>
      <c r="G23" s="8" t="str">
        <f>INDEX('Path Scorecard'!$AG$5:$AG$80,MATCH("CL141253",'Path Scorecard'!$H$5:$H$80,0))</f>
        <v>JetPens</v>
      </c>
      <c r="H23" s="10" t="str">
        <f>INDEX('Path Scorecard'!$AH$5:$AH$80,MATCH("CL141253",'Path Scorecard'!$H$5:$H$80,0))</f>
        <v>Kinokuniya</v>
      </c>
      <c r="I23" s="10" t="s">
        <v>52</v>
      </c>
      <c r="J23" s="10" t="s">
        <v>53</v>
      </c>
      <c r="K23" s="6" t="str">
        <f>INDEX('Path Scorecard'!$AD$5:$AD$80,MATCH("CL141253",'Path Scorecard'!$H$5:$H$80,0))</f>
        <v/>
      </c>
    </row>
    <row r="24" spans="1:11" ht="43.95" customHeight="1" x14ac:dyDescent="0.3">
      <c r="A24" s="6">
        <v>12</v>
      </c>
      <c r="B24" s="11" t="str">
        <f>INDEX('Path Scorecard'!$Q$5:$Q$80,MATCH("CL165124",'Path Scorecard'!$H$5:$H$80,0))&amp;" · "&amp;INDEX('Path Scorecard'!$AC$5:$AC$80,MATCH("CL165124",'Path Scorecard'!$H$5:$H$80,0))</f>
        <v>Probable Hero · BUILD</v>
      </c>
      <c r="C24" s="39" t="s">
        <v>54</v>
      </c>
      <c r="D24" s="9">
        <f>INDEX('Path Scorecard'!$Z$5:$Z$80,MATCH("CL165124",'Path Scorecard'!$H$5:$H$80,0))</f>
        <v>86</v>
      </c>
      <c r="E24" s="8" t="str">
        <f>INDEX('Path Scorecard'!$AE$5:$AE$80,MATCH("CL165124",'Path Scorecard'!$H$5:$H$80,0))</f>
        <v>Amazon</v>
      </c>
      <c r="F24" s="10" t="str">
        <f>INDEX('Path Scorecard'!$AF$5:$AF$80,MATCH("CL165124",'Path Scorecard'!$H$5:$H$80,0))</f>
        <v>Target</v>
      </c>
      <c r="G24" s="8" t="str">
        <f>INDEX('Path Scorecard'!$AG$5:$AG$80,MATCH("CL165124",'Path Scorecard'!$H$5:$H$80,0))</f>
        <v>Bentgo</v>
      </c>
      <c r="H24" s="10" t="str">
        <f>INDEX('Path Scorecard'!$AH$5:$AH$80,MATCH("CL165124",'Path Scorecard'!$H$5:$H$80,0))</f>
        <v>Pottery Barn Kids</v>
      </c>
      <c r="I24" s="10" t="s">
        <v>55</v>
      </c>
      <c r="J24" s="10" t="s">
        <v>56</v>
      </c>
      <c r="K24" s="6" t="str">
        <f>INDEX('Path Scorecard'!$AD$5:$AD$80,MATCH("CL165124",'Path Scorecard'!$H$5:$H$80,0))</f>
        <v>Yes</v>
      </c>
    </row>
    <row r="25" spans="1:11" ht="43.95" customHeight="1" x14ac:dyDescent="0.3">
      <c r="A25" s="6">
        <v>13</v>
      </c>
      <c r="B25" s="11" t="str">
        <f>INDEX('Path Scorecard'!$Q$5:$Q$80,MATCH("CL354705",'Path Scorecard'!$H$5:$H$80,0))&amp;" · "&amp;INDEX('Path Scorecard'!$AC$5:$AC$80,MATCH("CL354705",'Path Scorecard'!$H$5:$H$80,0))</f>
        <v>Probable Hero · BUILD</v>
      </c>
      <c r="C25" s="8" t="s">
        <v>57</v>
      </c>
      <c r="D25" s="9">
        <f>INDEX('Path Scorecard'!$Z$5:$Z$80,MATCH("CL354705",'Path Scorecard'!$H$5:$H$80,0))</f>
        <v>85</v>
      </c>
      <c r="E25" s="8" t="str">
        <f>INDEX('Path Scorecard'!$AE$5:$AE$80,MATCH("CL354705",'Path Scorecard'!$H$5:$H$80,0))</f>
        <v>Wayfair</v>
      </c>
      <c r="F25" s="10" t="str">
        <f>INDEX('Path Scorecard'!$AF$5:$AF$80,MATCH("CL354705",'Path Scorecard'!$H$5:$H$80,0))</f>
        <v>Target</v>
      </c>
      <c r="G25" s="8" t="str">
        <f>INDEX('Path Scorecard'!$AG$5:$AG$80,MATCH("CL354705",'Path Scorecard'!$H$5:$H$80,0))</f>
        <v>The Container Store</v>
      </c>
      <c r="H25" s="10" t="str">
        <f>INDEX('Path Scorecard'!$AH$5:$AH$80,MATCH("CL354705",'Path Scorecard'!$H$5:$H$80,0))</f>
        <v>Pottery Barn</v>
      </c>
      <c r="I25" s="10" t="s">
        <v>58</v>
      </c>
      <c r="J25" s="10" t="s">
        <v>59</v>
      </c>
      <c r="K25" s="6" t="str">
        <f>INDEX('Path Scorecard'!$AD$5:$AD$80,MATCH("CL354705",'Path Scorecard'!$H$5:$H$80,0))</f>
        <v/>
      </c>
    </row>
    <row r="26" spans="1:11" ht="43.95" customHeight="1" x14ac:dyDescent="0.3">
      <c r="A26" s="6">
        <v>14</v>
      </c>
      <c r="B26" s="11" t="str">
        <f>INDEX('Path Scorecard'!$Q$5:$Q$80,MATCH("CL219256",'Path Scorecard'!$H$5:$H$80,0))&amp;" · "&amp;INDEX('Path Scorecard'!$AC$5:$AC$80,MATCH("CL219256",'Path Scorecard'!$H$5:$H$80,0))</f>
        <v>Probable Hero · BUILD</v>
      </c>
      <c r="C26" s="8" t="s">
        <v>60</v>
      </c>
      <c r="D26" s="9">
        <f>INDEX('Path Scorecard'!$Z$5:$Z$80,MATCH("CL219256",'Path Scorecard'!$H$5:$H$80,0))</f>
        <v>83</v>
      </c>
      <c r="E26" s="8" t="str">
        <f>INDEX('Path Scorecard'!$AE$5:$AE$80,MATCH("CL219256",'Path Scorecard'!$H$5:$H$80,0))</f>
        <v>Amazon</v>
      </c>
      <c r="F26" s="10" t="str">
        <f>INDEX('Path Scorecard'!$AF$5:$AF$80,MATCH("CL219256",'Path Scorecard'!$H$5:$H$80,0))</f>
        <v>Target</v>
      </c>
      <c r="G26" s="8" t="str">
        <f>INDEX('Path Scorecard'!$AG$5:$AG$80,MATCH("CL219256",'Path Scorecard'!$H$5:$H$80,0))</f>
        <v>Bellroy</v>
      </c>
      <c r="H26" s="10" t="str">
        <f>INDEX('Path Scorecard'!$AH$5:$AH$80,MATCH("CL219256",'Path Scorecard'!$H$5:$H$80,0))</f>
        <v>Urban Outfitters</v>
      </c>
      <c r="I26" s="10" t="s">
        <v>61</v>
      </c>
      <c r="J26" s="10" t="s">
        <v>62</v>
      </c>
      <c r="K26" s="6" t="str">
        <f>INDEX('Path Scorecard'!$AD$5:$AD$80,MATCH("CL219256",'Path Scorecard'!$H$5:$H$80,0))</f>
        <v>Yes</v>
      </c>
    </row>
    <row r="27" spans="1:11" ht="43.95" customHeight="1" x14ac:dyDescent="0.3">
      <c r="A27" s="6">
        <v>15</v>
      </c>
      <c r="B27" s="12" t="str">
        <f>INDEX('Path Scorecard'!$Q$5:$Q$80,MATCH("CL161533",'Path Scorecard'!$H$5:$H$80,0))&amp;" · "&amp;INDEX('Path Scorecard'!$AC$5:$AC$80,MATCH("CL161533",'Path Scorecard'!$H$5:$H$80,0))</f>
        <v>Non-Hero · EXPLORE</v>
      </c>
      <c r="C27" s="39" t="s">
        <v>63</v>
      </c>
      <c r="D27" s="9">
        <f>INDEX('Path Scorecard'!$Z$5:$Z$80,MATCH("CL161533",'Path Scorecard'!$H$5:$H$80,0))</f>
        <v>77</v>
      </c>
      <c r="E27" s="8" t="str">
        <f>INDEX('Path Scorecard'!$AE$5:$AE$80,MATCH("CL161533",'Path Scorecard'!$H$5:$H$80,0))</f>
        <v>Wayfair</v>
      </c>
      <c r="F27" s="10" t="str">
        <f>INDEX('Path Scorecard'!$AF$5:$AF$80,MATCH("CL161533",'Path Scorecard'!$H$5:$H$80,0))</f>
        <v>Amazon</v>
      </c>
      <c r="G27" s="8" t="str">
        <f>INDEX('Path Scorecard'!$AG$5:$AG$80,MATCH("CL161533",'Path Scorecard'!$H$5:$H$80,0))</f>
        <v>Schoolhouse</v>
      </c>
      <c r="H27" s="10" t="str">
        <f>INDEX('Path Scorecard'!$AH$5:$AH$80,MATCH("CL161533",'Path Scorecard'!$H$5:$H$80,0))</f>
        <v>Anthropologie</v>
      </c>
      <c r="I27" s="10" t="s">
        <v>64</v>
      </c>
      <c r="J27" s="10" t="s">
        <v>35</v>
      </c>
      <c r="K27" s="6" t="str">
        <f>INDEX('Path Scorecard'!$AD$5:$AD$80,MATCH("CL161533",'Path Scorecard'!$H$5:$H$80,0))</f>
        <v/>
      </c>
    </row>
    <row r="28" spans="1:11" ht="43.95" customHeight="1" x14ac:dyDescent="0.3">
      <c r="A28" s="6">
        <v>16</v>
      </c>
      <c r="B28" s="12" t="str">
        <f>INDEX('Path Scorecard'!$Q$5:$Q$80,MATCH("CL140589",'Path Scorecard'!$H$5:$H$80,0))&amp;" · "&amp;INDEX('Path Scorecard'!$AC$5:$AC$80,MATCH("CL140589",'Path Scorecard'!$H$5:$H$80,0))</f>
        <v>Non-Hero · EXPLORE</v>
      </c>
      <c r="C28" s="39" t="s">
        <v>65</v>
      </c>
      <c r="D28" s="9">
        <f>INDEX('Path Scorecard'!$Z$5:$Z$80,MATCH("CL140589",'Path Scorecard'!$H$5:$H$80,0))</f>
        <v>76</v>
      </c>
      <c r="E28" s="8" t="str">
        <f>INDEX('Path Scorecard'!$AE$5:$AE$80,MATCH("CL140589",'Path Scorecard'!$H$5:$H$80,0))</f>
        <v>Amazon</v>
      </c>
      <c r="F28" s="10" t="str">
        <f>INDEX('Path Scorecard'!$AF$5:$AF$80,MATCH("CL140589",'Path Scorecard'!$H$5:$H$80,0))</f>
        <v>Wayfair</v>
      </c>
      <c r="G28" s="8" t="str">
        <f>INDEX('Path Scorecard'!$AG$5:$AG$80,MATCH("CL140589",'Path Scorecard'!$H$5:$H$80,0))</f>
        <v>Grovemade</v>
      </c>
      <c r="H28" s="10" t="str">
        <f>INDEX('Path Scorecard'!$AH$5:$AH$80,MATCH("CL140589",'Path Scorecard'!$H$5:$H$80,0))</f>
        <v>Orbitkey</v>
      </c>
      <c r="I28" s="10" t="s">
        <v>66</v>
      </c>
      <c r="J28" s="10" t="s">
        <v>67</v>
      </c>
      <c r="K28" s="6" t="str">
        <f>INDEX('Path Scorecard'!$AD$5:$AD$80,MATCH("CL140589",'Path Scorecard'!$H$5:$H$80,0))</f>
        <v/>
      </c>
    </row>
    <row r="29" spans="1:11" ht="43.95" customHeight="1" x14ac:dyDescent="0.3">
      <c r="A29" s="6">
        <v>17</v>
      </c>
      <c r="B29" s="12" t="str">
        <f>INDEX('Path Scorecard'!$Q$5:$Q$80,MATCH("CL214775",'Path Scorecard'!$H$5:$H$80,0))&amp;" · "&amp;INDEX('Path Scorecard'!$AC$5:$AC$80,MATCH("CL214775",'Path Scorecard'!$H$5:$H$80,0))</f>
        <v>Non-Hero · EXPLORE</v>
      </c>
      <c r="C29" s="39" t="s">
        <v>68</v>
      </c>
      <c r="D29" s="9">
        <f>INDEX('Path Scorecard'!$Z$5:$Z$80,MATCH("CL214775",'Path Scorecard'!$H$5:$H$80,0))</f>
        <v>72</v>
      </c>
      <c r="E29" s="8" t="str">
        <f>INDEX('Path Scorecard'!$AE$5:$AE$80,MATCH("CL214775",'Path Scorecard'!$H$5:$H$80,0))</f>
        <v>Amazon</v>
      </c>
      <c r="F29" s="10" t="str">
        <f>INDEX('Path Scorecard'!$AF$5:$AF$80,MATCH("CL214775",'Path Scorecard'!$H$5:$H$80,0))</f>
        <v>Wayfair</v>
      </c>
      <c r="G29" s="8" t="str">
        <f>INDEX('Path Scorecard'!$AG$5:$AG$80,MATCH("CL214775",'Path Scorecard'!$H$5:$H$80,0))</f>
        <v>Williams Sonoma</v>
      </c>
      <c r="H29" s="10" t="str">
        <f>INDEX('Path Scorecard'!$AH$5:$AH$80,MATCH("CL214775",'Path Scorecard'!$H$5:$H$80,0))</f>
        <v>Crate &amp; Barrel</v>
      </c>
      <c r="I29" s="10" t="s">
        <v>69</v>
      </c>
      <c r="J29" s="10" t="s">
        <v>70</v>
      </c>
      <c r="K29" s="6" t="str">
        <f>INDEX('Path Scorecard'!$AD$5:$AD$80,MATCH("CL214775",'Path Scorecard'!$H$5:$H$80,0))</f>
        <v/>
      </c>
    </row>
    <row r="30" spans="1:11" ht="43.95" customHeight="1" x14ac:dyDescent="0.3">
      <c r="A30" s="6">
        <v>18</v>
      </c>
      <c r="B30" s="12" t="str">
        <f>INDEX('Path Scorecard'!$Q$5:$Q$80,MATCH("CL166381",'Path Scorecard'!$H$5:$H$80,0))&amp;" · "&amp;INDEX('Path Scorecard'!$AC$5:$AC$80,MATCH("CL166381",'Path Scorecard'!$H$5:$H$80,0))</f>
        <v>Non-Hero · EXPLORE</v>
      </c>
      <c r="C30" s="8" t="s">
        <v>71</v>
      </c>
      <c r="D30" s="9">
        <f>INDEX('Path Scorecard'!$Z$5:$Z$80,MATCH("CL166381",'Path Scorecard'!$H$5:$H$80,0))</f>
        <v>69</v>
      </c>
      <c r="E30" s="8" t="str">
        <f>INDEX('Path Scorecard'!$AE$5:$AE$80,MATCH("CL166381",'Path Scorecard'!$H$5:$H$80,0))</f>
        <v>Amazon</v>
      </c>
      <c r="F30" s="10" t="str">
        <f>INDEX('Path Scorecard'!$AF$5:$AF$80,MATCH("CL166381",'Path Scorecard'!$H$5:$H$80,0))</f>
        <v>Wayfair</v>
      </c>
      <c r="G30" s="8" t="str">
        <f>INDEX('Path Scorecard'!$AG$5:$AG$80,MATCH("CL166381",'Path Scorecard'!$H$5:$H$80,0))</f>
        <v>Felt Right</v>
      </c>
      <c r="H30" s="10" t="str">
        <f>INDEX('Path Scorecard'!$AH$5:$AH$80,MATCH("CL166381",'Path Scorecard'!$H$5:$H$80,0))</f>
        <v>Etsy</v>
      </c>
      <c r="I30" s="10" t="s">
        <v>72</v>
      </c>
      <c r="J30" s="10" t="s">
        <v>73</v>
      </c>
      <c r="K30" s="6" t="str">
        <f>INDEX('Path Scorecard'!$AD$5:$AD$80,MATCH("CL166381",'Path Scorecard'!$H$5:$H$80,0))</f>
        <v/>
      </c>
    </row>
    <row r="31" spans="1:11" ht="43.95" customHeight="1" x14ac:dyDescent="0.3">
      <c r="A31" s="6">
        <v>19</v>
      </c>
      <c r="B31" s="12" t="str">
        <f>INDEX('Path Scorecard'!$Q$5:$Q$80,MATCH("CL70600",'Path Scorecard'!$H$5:$H$80,0))&amp;" · "&amp;INDEX('Path Scorecard'!$AC$5:$AC$80,MATCH("CL70600",'Path Scorecard'!$H$5:$H$80,0))</f>
        <v>Non-Hero · EXPLORE</v>
      </c>
      <c r="C31" s="39" t="s">
        <v>74</v>
      </c>
      <c r="D31" s="9">
        <f>INDEX('Path Scorecard'!$Z$5:$Z$80,MATCH("CL70600",'Path Scorecard'!$H$5:$H$80,0))</f>
        <v>67</v>
      </c>
      <c r="E31" s="8" t="str">
        <f>INDEX('Path Scorecard'!$AE$5:$AE$80,MATCH("CL70600",'Path Scorecard'!$H$5:$H$80,0))</f>
        <v>Wayfair</v>
      </c>
      <c r="F31" s="10" t="str">
        <f>INDEX('Path Scorecard'!$AF$5:$AF$80,MATCH("CL70600",'Path Scorecard'!$H$5:$H$80,0))</f>
        <v>Amazon</v>
      </c>
      <c r="G31" s="8" t="str">
        <f>INDEX('Path Scorecard'!$AG$5:$AG$80,MATCH("CL70600",'Path Scorecard'!$H$5:$H$80,0))</f>
        <v>Felt Right</v>
      </c>
      <c r="H31" s="10" t="str">
        <f>INDEX('Path Scorecard'!$AH$5:$AH$80,MATCH("CL70600",'Path Scorecard'!$H$5:$H$80,0))</f>
        <v>Anthropologie</v>
      </c>
      <c r="I31" s="10" t="s">
        <v>75</v>
      </c>
      <c r="J31" s="10" t="s">
        <v>76</v>
      </c>
      <c r="K31" s="6" t="str">
        <f>INDEX('Path Scorecard'!$AD$5:$AD$80,MATCH("CL70600",'Path Scorecard'!$H$5:$H$80,0))</f>
        <v/>
      </c>
    </row>
    <row r="32" spans="1:11" ht="43.95" customHeight="1" x14ac:dyDescent="0.3">
      <c r="A32" s="6">
        <v>20</v>
      </c>
      <c r="B32" s="12" t="str">
        <f>INDEX('Path Scorecard'!$Q$5:$Q$80,MATCH("CL142180",'Path Scorecard'!$H$5:$H$80,0))&amp;" · "&amp;INDEX('Path Scorecard'!$AC$5:$AC$80,MATCH("CL142180",'Path Scorecard'!$H$5:$H$80,0))</f>
        <v>Non-Hero · EXPLORE</v>
      </c>
      <c r="C32" s="8" t="s">
        <v>77</v>
      </c>
      <c r="D32" s="9">
        <f>INDEX('Path Scorecard'!$Z$5:$Z$80,MATCH("CL142180",'Path Scorecard'!$H$5:$H$80,0))</f>
        <v>67</v>
      </c>
      <c r="E32" s="8" t="str">
        <f>INDEX('Path Scorecard'!$AE$5:$AE$80,MATCH("CL142180",'Path Scorecard'!$H$5:$H$80,0))</f>
        <v>Amazon</v>
      </c>
      <c r="F32" s="10" t="str">
        <f>INDEX('Path Scorecard'!$AF$5:$AF$80,MATCH("CL142180",'Path Scorecard'!$H$5:$H$80,0))</f>
        <v>Target</v>
      </c>
      <c r="G32" s="8" t="str">
        <f>INDEX('Path Scorecard'!$AG$5:$AG$80,MATCH("CL142180",'Path Scorecard'!$H$5:$H$80,0))</f>
        <v>Fellow</v>
      </c>
      <c r="H32" s="10" t="str">
        <f>INDEX('Path Scorecard'!$AH$5:$AH$80,MATCH("CL142180",'Path Scorecard'!$H$5:$H$80,0))</f>
        <v>Williams Sonoma</v>
      </c>
      <c r="I32" s="10" t="s">
        <v>78</v>
      </c>
      <c r="J32" s="10" t="s">
        <v>79</v>
      </c>
      <c r="K32" s="6" t="str">
        <f>INDEX('Path Scorecard'!$AD$5:$AD$80,MATCH("CL142180",'Path Scorecard'!$H$5:$H$80,0))</f>
        <v/>
      </c>
    </row>
    <row r="33" spans="1:11" x14ac:dyDescent="0.3">
      <c r="B33" s="8" t="s">
        <v>80</v>
      </c>
      <c r="C33" s="32" t="str">
        <f>COUNTIFS('Path Scorecard'!$AB$5:$AB$80,"Recommended",'Path Scorecard'!$Q$5:$Q$80,"Hero")&amp;" Hero  ·  "&amp;COUNTIFS('Path Scorecard'!$AB$5:$AB$80,"Recommended",'Path Scorecard'!$Q$5:$Q$80,"Probable Hero")&amp;" Probable Hero  ·  "&amp;COUNTIFS('Path Scorecard'!$AB$5:$AB$80,"Recommended",'Path Scorecard'!$Q$5:$Q$80,"Non-Hero")&amp;" Non-Hero  =  "&amp;COUNTIFS('Path Scorecard'!$AB$5:$AB$80,"Recommended")&amp;" shelves"</f>
        <v>7 Hero  ·  7 Probable Hero  ·  6 Non-Hero  =  20 shelves</v>
      </c>
      <c r="D33" s="30"/>
      <c r="E33" s="30"/>
      <c r="F33" s="30"/>
      <c r="G33" s="30"/>
      <c r="H33" s="30"/>
      <c r="I33" s="30"/>
      <c r="J33" s="30"/>
    </row>
    <row r="35" spans="1:11" ht="15.6" x14ac:dyDescent="0.3">
      <c r="A35" s="4" t="s">
        <v>81</v>
      </c>
    </row>
    <row r="36" spans="1:11" ht="36" customHeight="1" x14ac:dyDescent="0.3">
      <c r="A36" s="3" t="s">
        <v>2</v>
      </c>
      <c r="B36" s="31" t="s">
        <v>82</v>
      </c>
      <c r="C36" s="30"/>
      <c r="D36" s="30"/>
      <c r="E36" s="30"/>
      <c r="F36" s="30"/>
      <c r="G36" s="30"/>
      <c r="H36" s="30"/>
      <c r="I36" s="30"/>
      <c r="J36" s="30"/>
      <c r="K36" s="30"/>
    </row>
    <row r="37" spans="1:11" ht="36" customHeight="1" x14ac:dyDescent="0.3">
      <c r="A37" s="3" t="s">
        <v>2</v>
      </c>
      <c r="B37" s="31" t="s">
        <v>83</v>
      </c>
      <c r="C37" s="30"/>
      <c r="D37" s="30"/>
      <c r="E37" s="30"/>
      <c r="F37" s="30"/>
      <c r="G37" s="30"/>
      <c r="H37" s="30"/>
      <c r="I37" s="30"/>
      <c r="J37" s="30"/>
      <c r="K37" s="30"/>
    </row>
    <row r="38" spans="1:11" ht="36" customHeight="1" x14ac:dyDescent="0.3">
      <c r="A38" s="3" t="s">
        <v>2</v>
      </c>
      <c r="B38" s="31" t="s">
        <v>84</v>
      </c>
      <c r="C38" s="30"/>
      <c r="D38" s="30"/>
      <c r="E38" s="30"/>
      <c r="F38" s="30"/>
      <c r="G38" s="30"/>
      <c r="H38" s="30"/>
      <c r="I38" s="30"/>
      <c r="J38" s="30"/>
      <c r="K38" s="30"/>
    </row>
    <row r="39" spans="1:11" ht="36" customHeight="1" x14ac:dyDescent="0.3">
      <c r="A39" s="3" t="s">
        <v>2</v>
      </c>
      <c r="B39" s="31" t="s">
        <v>85</v>
      </c>
      <c r="C39" s="30"/>
      <c r="D39" s="30"/>
      <c r="E39" s="30"/>
      <c r="F39" s="30"/>
      <c r="G39" s="30"/>
      <c r="H39" s="30"/>
      <c r="I39" s="30"/>
      <c r="J39" s="30"/>
      <c r="K39" s="30"/>
    </row>
    <row r="40" spans="1:11" ht="36" customHeight="1" x14ac:dyDescent="0.3">
      <c r="A40" s="3" t="s">
        <v>2</v>
      </c>
      <c r="B40" s="31" t="s">
        <v>86</v>
      </c>
      <c r="C40" s="30"/>
      <c r="D40" s="30"/>
      <c r="E40" s="30"/>
      <c r="F40" s="30"/>
      <c r="G40" s="30"/>
      <c r="H40" s="30"/>
      <c r="I40" s="30"/>
      <c r="J40" s="30"/>
      <c r="K40" s="30"/>
    </row>
    <row r="42" spans="1:11" ht="15.6" x14ac:dyDescent="0.3">
      <c r="A42" s="4" t="s">
        <v>87</v>
      </c>
    </row>
    <row r="43" spans="1:11" ht="31.95" customHeight="1" x14ac:dyDescent="0.3">
      <c r="A43" s="3" t="s">
        <v>88</v>
      </c>
      <c r="B43" s="31" t="s">
        <v>89</v>
      </c>
      <c r="C43" s="30"/>
      <c r="D43" s="30"/>
      <c r="E43" s="30"/>
      <c r="F43" s="30"/>
      <c r="G43" s="30"/>
      <c r="H43" s="30"/>
      <c r="I43" s="30"/>
      <c r="J43" s="30"/>
      <c r="K43" s="30"/>
    </row>
    <row r="44" spans="1:11" ht="31.95" customHeight="1" x14ac:dyDescent="0.3">
      <c r="A44" s="3" t="s">
        <v>90</v>
      </c>
      <c r="B44" s="31" t="s">
        <v>91</v>
      </c>
      <c r="C44" s="30"/>
      <c r="D44" s="30"/>
      <c r="E44" s="30"/>
      <c r="F44" s="30"/>
      <c r="G44" s="30"/>
      <c r="H44" s="30"/>
      <c r="I44" s="30"/>
      <c r="J44" s="30"/>
      <c r="K44" s="30"/>
    </row>
    <row r="45" spans="1:11" ht="31.95" customHeight="1" x14ac:dyDescent="0.3">
      <c r="A45" s="3" t="s">
        <v>92</v>
      </c>
      <c r="B45" s="31" t="s">
        <v>93</v>
      </c>
      <c r="C45" s="30"/>
      <c r="D45" s="30"/>
      <c r="E45" s="30"/>
      <c r="F45" s="30"/>
      <c r="G45" s="30"/>
      <c r="H45" s="30"/>
      <c r="I45" s="30"/>
      <c r="J45" s="30"/>
      <c r="K45" s="30"/>
    </row>
    <row r="46" spans="1:11" ht="31.95" customHeight="1" x14ac:dyDescent="0.3">
      <c r="A46" s="3" t="s">
        <v>94</v>
      </c>
      <c r="B46" s="31" t="s">
        <v>95</v>
      </c>
      <c r="C46" s="30"/>
      <c r="D46" s="30"/>
      <c r="E46" s="30"/>
      <c r="F46" s="30"/>
      <c r="G46" s="30"/>
      <c r="H46" s="30"/>
      <c r="I46" s="30"/>
      <c r="J46" s="30"/>
      <c r="K46" s="30"/>
    </row>
    <row r="48" spans="1:11" ht="15.6" x14ac:dyDescent="0.3">
      <c r="A48" s="4" t="s">
        <v>96</v>
      </c>
    </row>
    <row r="49" spans="2:10" ht="26.4" x14ac:dyDescent="0.3">
      <c r="B49" s="8" t="s">
        <v>97</v>
      </c>
      <c r="C49" s="29" t="s">
        <v>98</v>
      </c>
      <c r="D49" s="30"/>
      <c r="E49" s="30"/>
      <c r="F49" s="30"/>
      <c r="G49" s="30"/>
      <c r="H49" s="30"/>
      <c r="I49" s="30"/>
      <c r="J49" s="30"/>
    </row>
    <row r="50" spans="2:10" x14ac:dyDescent="0.3">
      <c r="B50" s="8" t="s">
        <v>99</v>
      </c>
      <c r="C50" s="29" t="s">
        <v>100</v>
      </c>
      <c r="D50" s="30"/>
      <c r="E50" s="30"/>
      <c r="F50" s="30"/>
      <c r="G50" s="30"/>
      <c r="H50" s="30"/>
      <c r="I50" s="30"/>
      <c r="J50" s="30"/>
    </row>
    <row r="51" spans="2:10" x14ac:dyDescent="0.3">
      <c r="B51" s="8" t="s">
        <v>101</v>
      </c>
      <c r="C51" s="29" t="s">
        <v>102</v>
      </c>
      <c r="D51" s="30"/>
      <c r="E51" s="30"/>
      <c r="F51" s="30"/>
      <c r="G51" s="30"/>
      <c r="H51" s="30"/>
      <c r="I51" s="30"/>
      <c r="J51" s="30"/>
    </row>
    <row r="52" spans="2:10" x14ac:dyDescent="0.3">
      <c r="B52" s="8" t="s">
        <v>103</v>
      </c>
      <c r="C52" s="29" t="s">
        <v>104</v>
      </c>
      <c r="D52" s="30"/>
      <c r="E52" s="30"/>
      <c r="F52" s="30"/>
      <c r="G52" s="30"/>
      <c r="H52" s="30"/>
      <c r="I52" s="30"/>
      <c r="J52" s="30"/>
    </row>
    <row r="53" spans="2:10" x14ac:dyDescent="0.3">
      <c r="B53" s="8" t="s">
        <v>105</v>
      </c>
      <c r="C53" s="29" t="s">
        <v>106</v>
      </c>
      <c r="D53" s="30"/>
      <c r="E53" s="30"/>
      <c r="F53" s="30"/>
      <c r="G53" s="30"/>
      <c r="H53" s="30"/>
      <c r="I53" s="30"/>
      <c r="J53" s="30"/>
    </row>
    <row r="54" spans="2:10" x14ac:dyDescent="0.3">
      <c r="B54" s="8" t="s">
        <v>107</v>
      </c>
      <c r="C54" s="29" t="s">
        <v>108</v>
      </c>
      <c r="D54" s="30"/>
      <c r="E54" s="30"/>
      <c r="F54" s="30"/>
      <c r="G54" s="30"/>
      <c r="H54" s="30"/>
      <c r="I54" s="30"/>
      <c r="J54" s="30"/>
    </row>
    <row r="55" spans="2:10" x14ac:dyDescent="0.3">
      <c r="B55" s="8" t="s">
        <v>109</v>
      </c>
      <c r="C55" s="29" t="s">
        <v>110</v>
      </c>
      <c r="D55" s="30"/>
      <c r="E55" s="30"/>
      <c r="F55" s="30"/>
      <c r="G55" s="30"/>
      <c r="H55" s="30"/>
      <c r="I55" s="30"/>
      <c r="J55" s="30"/>
    </row>
    <row r="56" spans="2:10" x14ac:dyDescent="0.3">
      <c r="B56" s="8" t="s">
        <v>111</v>
      </c>
      <c r="C56" s="29" t="s">
        <v>112</v>
      </c>
      <c r="D56" s="30"/>
      <c r="E56" s="30"/>
      <c r="F56" s="30"/>
      <c r="G56" s="30"/>
      <c r="H56" s="30"/>
      <c r="I56" s="30"/>
      <c r="J56" s="30"/>
    </row>
    <row r="57" spans="2:10" ht="26.4" x14ac:dyDescent="0.3">
      <c r="B57" s="8" t="s">
        <v>113</v>
      </c>
      <c r="C57" s="29" t="s">
        <v>114</v>
      </c>
      <c r="D57" s="30"/>
      <c r="E57" s="30"/>
      <c r="F57" s="30"/>
      <c r="G57" s="30"/>
      <c r="H57" s="30"/>
      <c r="I57" s="30"/>
      <c r="J57" s="30"/>
    </row>
    <row r="58" spans="2:10" x14ac:dyDescent="0.3">
      <c r="B58" s="8" t="s">
        <v>115</v>
      </c>
      <c r="C58" s="29" t="s">
        <v>116</v>
      </c>
      <c r="D58" s="30"/>
      <c r="E58" s="30"/>
      <c r="F58" s="30"/>
      <c r="G58" s="30"/>
      <c r="H58" s="30"/>
      <c r="I58" s="30"/>
      <c r="J58" s="30"/>
    </row>
    <row r="59" spans="2:10" ht="39.6" x14ac:dyDescent="0.3">
      <c r="B59" s="8" t="s">
        <v>117</v>
      </c>
      <c r="C59" s="29" t="s">
        <v>118</v>
      </c>
      <c r="D59" s="30"/>
      <c r="E59" s="30"/>
      <c r="F59" s="30"/>
      <c r="G59" s="30"/>
      <c r="H59" s="30"/>
      <c r="I59" s="30"/>
      <c r="J59" s="30"/>
    </row>
    <row r="61" spans="2:10" x14ac:dyDescent="0.3">
      <c r="B61" s="8" t="s">
        <v>119</v>
      </c>
      <c r="C61" s="29" t="s">
        <v>120</v>
      </c>
      <c r="D61" s="30"/>
      <c r="E61" s="30"/>
      <c r="F61" s="30"/>
      <c r="G61" s="30"/>
      <c r="H61" s="30"/>
      <c r="I61" s="30"/>
      <c r="J61" s="30"/>
    </row>
  </sheetData>
  <autoFilter ref="A12:K33" xr:uid="{00000000-0001-0000-0000-000000000000}"/>
  <mergeCells count="28">
    <mergeCell ref="B5:K5"/>
    <mergeCell ref="B45:K45"/>
    <mergeCell ref="B4:K4"/>
    <mergeCell ref="C54:J54"/>
    <mergeCell ref="C50:J50"/>
    <mergeCell ref="B7:K7"/>
    <mergeCell ref="B46:K46"/>
    <mergeCell ref="B40:K40"/>
    <mergeCell ref="B9:K9"/>
    <mergeCell ref="C33:J33"/>
    <mergeCell ref="B6:K6"/>
    <mergeCell ref="B36:K36"/>
    <mergeCell ref="C61:J61"/>
    <mergeCell ref="B8:K8"/>
    <mergeCell ref="B37:K37"/>
    <mergeCell ref="B44:K44"/>
    <mergeCell ref="B38:K38"/>
    <mergeCell ref="C57:J57"/>
    <mergeCell ref="C53:J53"/>
    <mergeCell ref="C49:J49"/>
    <mergeCell ref="C59:J59"/>
    <mergeCell ref="C51:J51"/>
    <mergeCell ref="B43:K43"/>
    <mergeCell ref="B39:K39"/>
    <mergeCell ref="C52:J52"/>
    <mergeCell ref="C58:J58"/>
    <mergeCell ref="C55:J55"/>
    <mergeCell ref="C56:J5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X35"/>
  <sheetViews>
    <sheetView showGridLines="0" workbookViewId="0">
      <pane xSplit="7" ySplit="4" topLeftCell="H5" activePane="bottomRight" state="frozen"/>
      <selection pane="topRight"/>
      <selection pane="bottomLeft"/>
      <selection pane="bottomRight"/>
    </sheetView>
  </sheetViews>
  <sheetFormatPr defaultRowHeight="14.4" x14ac:dyDescent="0.3"/>
  <cols>
    <col min="1" max="1" width="5" customWidth="1"/>
    <col min="2" max="2" width="13" customWidth="1"/>
    <col min="3" max="3" width="8" customWidth="1"/>
    <col min="4" max="4" width="13" customWidth="1"/>
    <col min="5" max="5" width="11" customWidth="1"/>
    <col min="6" max="6" width="8" customWidth="1"/>
    <col min="7" max="7" width="50" customWidth="1"/>
    <col min="8" max="8" width="6" customWidth="1"/>
    <col min="9" max="9" width="11" customWidth="1"/>
    <col min="10" max="11" width="9" customWidth="1"/>
    <col min="12" max="12" width="8" customWidth="1"/>
    <col min="13" max="14" width="16" customWidth="1"/>
    <col min="15" max="16" width="19" customWidth="1"/>
    <col min="17" max="17" width="48" customWidth="1"/>
    <col min="18" max="19" width="46" customWidth="1"/>
    <col min="20" max="20" width="34" customWidth="1"/>
    <col min="21" max="21" width="24" customWidth="1"/>
    <col min="22" max="22" width="34" customWidth="1"/>
    <col min="23" max="23" width="42" customWidth="1"/>
    <col min="24" max="24" width="40" customWidth="1"/>
  </cols>
  <sheetData>
    <row r="1" spans="1:24" ht="21" x14ac:dyDescent="0.4">
      <c r="A1" s="1" t="s">
        <v>121</v>
      </c>
    </row>
    <row r="2" spans="1:24" x14ac:dyDescent="0.3">
      <c r="A2" s="2" t="s">
        <v>122</v>
      </c>
    </row>
    <row r="4" spans="1:24" ht="30" customHeight="1" x14ac:dyDescent="0.3">
      <c r="A4" s="5" t="s">
        <v>10</v>
      </c>
      <c r="B4" s="5" t="s">
        <v>123</v>
      </c>
      <c r="C4" s="5" t="s">
        <v>124</v>
      </c>
      <c r="D4" s="5" t="s">
        <v>125</v>
      </c>
      <c r="E4" s="5" t="s">
        <v>126</v>
      </c>
      <c r="F4" s="5" t="s">
        <v>127</v>
      </c>
      <c r="G4" s="5" t="s">
        <v>128</v>
      </c>
      <c r="H4" s="5" t="s">
        <v>129</v>
      </c>
      <c r="I4" s="5" t="s">
        <v>130</v>
      </c>
      <c r="J4" s="5" t="s">
        <v>131</v>
      </c>
      <c r="K4" s="5" t="s">
        <v>132</v>
      </c>
      <c r="L4" s="5" t="s">
        <v>20</v>
      </c>
      <c r="M4" s="5" t="s">
        <v>14</v>
      </c>
      <c r="N4" s="5" t="s">
        <v>15</v>
      </c>
      <c r="O4" s="5" t="s">
        <v>133</v>
      </c>
      <c r="P4" s="5" t="s">
        <v>134</v>
      </c>
      <c r="Q4" s="5" t="s">
        <v>135</v>
      </c>
      <c r="R4" s="5" t="s">
        <v>136</v>
      </c>
      <c r="S4" s="5" t="s">
        <v>137</v>
      </c>
      <c r="T4" s="5" t="s">
        <v>138</v>
      </c>
      <c r="U4" s="5" t="s">
        <v>19</v>
      </c>
      <c r="V4" s="5" t="s">
        <v>139</v>
      </c>
      <c r="W4" s="5" t="s">
        <v>140</v>
      </c>
      <c r="X4" s="5" t="s">
        <v>141</v>
      </c>
    </row>
    <row r="5" spans="1:24" ht="91.95" customHeight="1" x14ac:dyDescent="0.3">
      <c r="A5" s="6">
        <v>1</v>
      </c>
      <c r="B5" s="14" t="str">
        <f>INDEX('Path Scorecard'!$Q$5:$Q$80,MATCH($I5,'Path Scorecard'!$H$5:$H$80,0))</f>
        <v>Hero</v>
      </c>
      <c r="C5" s="6">
        <f>INDEX('Path Scorecard'!$AA$5:$AA$80,MATCH($I5,'Path Scorecard'!$H$5:$H$80,0))</f>
        <v>1</v>
      </c>
      <c r="D5" s="14" t="str">
        <f>INDEX('Path Scorecard'!$AB$5:$AB$80,MATCH($I5,'Path Scorecard'!$H$5:$H$80,0))</f>
        <v>Recommended</v>
      </c>
      <c r="E5" s="14" t="str">
        <f>INDEX('Path Scorecard'!$AC$5:$AC$80,MATCH($I5,'Path Scorecard'!$H$5:$H$80,0))</f>
        <v>EXTEND</v>
      </c>
      <c r="F5" s="9">
        <f>INDEX('Path Scorecard'!$Z$5:$Z$80,MATCH($I5,'Path Scorecard'!$H$5:$H$80,0))</f>
        <v>95</v>
      </c>
      <c r="G5" s="8" t="s">
        <v>21</v>
      </c>
      <c r="H5" s="6">
        <v>3</v>
      </c>
      <c r="I5" s="6" t="s">
        <v>142</v>
      </c>
      <c r="J5" s="15">
        <v>1037</v>
      </c>
      <c r="K5" s="15">
        <v>1016</v>
      </c>
      <c r="L5" s="6" t="str">
        <f>INDEX('Path Scorecard'!$AD$5:$AD$80,MATCH($I5,'Path Scorecard'!$H$5:$H$80,0))</f>
        <v>Yes</v>
      </c>
      <c r="M5" s="8" t="str">
        <f>INDEX('Path Scorecard'!$AE$5:$AE$80,MATCH($I5,'Path Scorecard'!$H$5:$H$80,0))</f>
        <v>Amazon</v>
      </c>
      <c r="N5" s="10" t="str">
        <f>INDEX('Path Scorecard'!$AF$5:$AF$80,MATCH($I5,'Path Scorecard'!$H$5:$H$80,0))</f>
        <v>Target</v>
      </c>
      <c r="O5" s="8" t="str">
        <f>INDEX('Path Scorecard'!$AG$5:$AG$80,MATCH($I5,'Path Scorecard'!$H$5:$H$80,0))</f>
        <v>Erin Condren</v>
      </c>
      <c r="P5" s="10" t="str">
        <f>INDEX('Path Scorecard'!$AH$5:$AH$80,MATCH($I5,'Path Scorecard'!$H$5:$H$80,0))</f>
        <v>Michaels</v>
      </c>
      <c r="Q5" s="10" t="s">
        <v>143</v>
      </c>
      <c r="R5" s="10" t="s">
        <v>144</v>
      </c>
      <c r="S5" s="10" t="s">
        <v>145</v>
      </c>
      <c r="T5" s="10" t="s">
        <v>146</v>
      </c>
      <c r="U5" s="10" t="s">
        <v>23</v>
      </c>
      <c r="V5" s="10" t="s">
        <v>22</v>
      </c>
      <c r="W5" s="10" t="s">
        <v>147</v>
      </c>
      <c r="X5" s="10" t="s">
        <v>148</v>
      </c>
    </row>
    <row r="6" spans="1:24" ht="91.95" customHeight="1" x14ac:dyDescent="0.3">
      <c r="A6" s="6">
        <v>2</v>
      </c>
      <c r="B6" s="14" t="str">
        <f>INDEX('Path Scorecard'!$Q$5:$Q$80,MATCH($I6,'Path Scorecard'!$H$5:$H$80,0))</f>
        <v>Hero</v>
      </c>
      <c r="C6" s="6">
        <f>INDEX('Path Scorecard'!$AA$5:$AA$80,MATCH($I6,'Path Scorecard'!$H$5:$H$80,0))</f>
        <v>2</v>
      </c>
      <c r="D6" s="14" t="str">
        <f>INDEX('Path Scorecard'!$AB$5:$AB$80,MATCH($I6,'Path Scorecard'!$H$5:$H$80,0))</f>
        <v>Recommended</v>
      </c>
      <c r="E6" s="14" t="str">
        <f>INDEX('Path Scorecard'!$AC$5:$AC$80,MATCH($I6,'Path Scorecard'!$H$5:$H$80,0))</f>
        <v>EXTEND</v>
      </c>
      <c r="F6" s="9">
        <f>INDEX('Path Scorecard'!$Z$5:$Z$80,MATCH($I6,'Path Scorecard'!$H$5:$H$80,0))</f>
        <v>91</v>
      </c>
      <c r="G6" s="8" t="s">
        <v>24</v>
      </c>
      <c r="H6" s="6">
        <v>3</v>
      </c>
      <c r="I6" s="6" t="s">
        <v>149</v>
      </c>
      <c r="J6" s="15">
        <v>342</v>
      </c>
      <c r="K6" s="15">
        <v>0</v>
      </c>
      <c r="L6" s="6" t="str">
        <f>INDEX('Path Scorecard'!$AD$5:$AD$80,MATCH($I6,'Path Scorecard'!$H$5:$H$80,0))</f>
        <v/>
      </c>
      <c r="M6" s="8" t="str">
        <f>INDEX('Path Scorecard'!$AE$5:$AE$80,MATCH($I6,'Path Scorecard'!$H$5:$H$80,0))</f>
        <v>Target</v>
      </c>
      <c r="N6" s="10" t="str">
        <f>INDEX('Path Scorecard'!$AF$5:$AF$80,MATCH($I6,'Path Scorecard'!$H$5:$H$80,0))</f>
        <v>Amazon</v>
      </c>
      <c r="O6" s="8" t="str">
        <f>INDEX('Path Scorecard'!$AG$5:$AG$80,MATCH($I6,'Path Scorecard'!$H$5:$H$80,0))</f>
        <v>Grovemade</v>
      </c>
      <c r="P6" s="10" t="str">
        <f>INDEX('Path Scorecard'!$AH$5:$AH$80,MATCH($I6,'Path Scorecard'!$H$5:$H$80,0))</f>
        <v>The Container Store</v>
      </c>
      <c r="Q6" s="10" t="s">
        <v>150</v>
      </c>
      <c r="R6" s="10" t="s">
        <v>151</v>
      </c>
      <c r="S6" s="10" t="s">
        <v>152</v>
      </c>
      <c r="T6" s="10" t="s">
        <v>153</v>
      </c>
      <c r="U6" s="10" t="s">
        <v>26</v>
      </c>
      <c r="V6" s="10" t="s">
        <v>25</v>
      </c>
      <c r="W6" s="10" t="s">
        <v>154</v>
      </c>
      <c r="X6" s="10" t="s">
        <v>155</v>
      </c>
    </row>
    <row r="7" spans="1:24" ht="91.95" customHeight="1" x14ac:dyDescent="0.3">
      <c r="A7" s="6">
        <v>3</v>
      </c>
      <c r="B7" s="14" t="str">
        <f>INDEX('Path Scorecard'!$Q$5:$Q$80,MATCH($I7,'Path Scorecard'!$H$5:$H$80,0))</f>
        <v>Hero</v>
      </c>
      <c r="C7" s="6">
        <f>INDEX('Path Scorecard'!$AA$5:$AA$80,MATCH($I7,'Path Scorecard'!$H$5:$H$80,0))</f>
        <v>3</v>
      </c>
      <c r="D7" s="14" t="str">
        <f>INDEX('Path Scorecard'!$AB$5:$AB$80,MATCH($I7,'Path Scorecard'!$H$5:$H$80,0))</f>
        <v>Recommended</v>
      </c>
      <c r="E7" s="14" t="str">
        <f>INDEX('Path Scorecard'!$AC$5:$AC$80,MATCH($I7,'Path Scorecard'!$H$5:$H$80,0))</f>
        <v>EXTEND</v>
      </c>
      <c r="F7" s="9">
        <f>INDEX('Path Scorecard'!$Z$5:$Z$80,MATCH($I7,'Path Scorecard'!$H$5:$H$80,0))</f>
        <v>86</v>
      </c>
      <c r="G7" s="8" t="s">
        <v>27</v>
      </c>
      <c r="H7" s="6">
        <v>4</v>
      </c>
      <c r="I7" s="6" t="s">
        <v>156</v>
      </c>
      <c r="J7" s="15">
        <v>607</v>
      </c>
      <c r="K7" s="15">
        <v>0</v>
      </c>
      <c r="L7" s="6" t="str">
        <f>INDEX('Path Scorecard'!$AD$5:$AD$80,MATCH($I7,'Path Scorecard'!$H$5:$H$80,0))</f>
        <v/>
      </c>
      <c r="M7" s="8" t="str">
        <f>INDEX('Path Scorecard'!$AE$5:$AE$80,MATCH($I7,'Path Scorecard'!$H$5:$H$80,0))</f>
        <v>Amazon</v>
      </c>
      <c r="N7" s="10" t="str">
        <f>INDEX('Path Scorecard'!$AF$5:$AF$80,MATCH($I7,'Path Scorecard'!$H$5:$H$80,0))</f>
        <v>Walmart</v>
      </c>
      <c r="O7" s="8" t="str">
        <f>INDEX('Path Scorecard'!$AG$5:$AG$80,MATCH($I7,'Path Scorecard'!$H$5:$H$80,0))</f>
        <v>Etsy</v>
      </c>
      <c r="P7" s="10" t="str">
        <f>INDEX('Path Scorecard'!$AH$5:$AH$80,MATCH($I7,'Path Scorecard'!$H$5:$H$80,0))</f>
        <v>Oriental Trading</v>
      </c>
      <c r="Q7" s="10" t="s">
        <v>157</v>
      </c>
      <c r="R7" s="10" t="s">
        <v>158</v>
      </c>
      <c r="S7" s="10" t="s">
        <v>159</v>
      </c>
      <c r="T7" s="10" t="s">
        <v>160</v>
      </c>
      <c r="U7" s="10" t="s">
        <v>29</v>
      </c>
      <c r="V7" s="10" t="s">
        <v>28</v>
      </c>
      <c r="W7" s="10" t="s">
        <v>161</v>
      </c>
      <c r="X7" s="10" t="s">
        <v>162</v>
      </c>
    </row>
    <row r="8" spans="1:24" ht="91.95" customHeight="1" x14ac:dyDescent="0.3">
      <c r="A8" s="6">
        <v>4</v>
      </c>
      <c r="B8" s="14" t="str">
        <f>INDEX('Path Scorecard'!$Q$5:$Q$80,MATCH($I8,'Path Scorecard'!$H$5:$H$80,0))</f>
        <v>Hero</v>
      </c>
      <c r="C8" s="6">
        <f>INDEX('Path Scorecard'!$AA$5:$AA$80,MATCH($I8,'Path Scorecard'!$H$5:$H$80,0))</f>
        <v>4</v>
      </c>
      <c r="D8" s="14" t="str">
        <f>INDEX('Path Scorecard'!$AB$5:$AB$80,MATCH($I8,'Path Scorecard'!$H$5:$H$80,0))</f>
        <v>Recommended</v>
      </c>
      <c r="E8" s="14" t="str">
        <f>INDEX('Path Scorecard'!$AC$5:$AC$80,MATCH($I8,'Path Scorecard'!$H$5:$H$80,0))</f>
        <v>EXTEND</v>
      </c>
      <c r="F8" s="9">
        <f>INDEX('Path Scorecard'!$Z$5:$Z$80,MATCH($I8,'Path Scorecard'!$H$5:$H$80,0))</f>
        <v>86</v>
      </c>
      <c r="G8" s="8" t="s">
        <v>30</v>
      </c>
      <c r="H8" s="6">
        <v>3</v>
      </c>
      <c r="I8" s="6" t="s">
        <v>163</v>
      </c>
      <c r="J8" s="15">
        <v>585</v>
      </c>
      <c r="K8" s="15">
        <v>542</v>
      </c>
      <c r="L8" s="6" t="str">
        <f>INDEX('Path Scorecard'!$AD$5:$AD$80,MATCH($I8,'Path Scorecard'!$H$5:$H$80,0))</f>
        <v>Yes</v>
      </c>
      <c r="M8" s="8" t="str">
        <f>INDEX('Path Scorecard'!$AE$5:$AE$80,MATCH($I8,'Path Scorecard'!$H$5:$H$80,0))</f>
        <v>Amazon</v>
      </c>
      <c r="N8" s="10" t="str">
        <f>INDEX('Path Scorecard'!$AF$5:$AF$80,MATCH($I8,'Path Scorecard'!$H$5:$H$80,0))</f>
        <v>Target</v>
      </c>
      <c r="O8" s="8" t="str">
        <f>INDEX('Path Scorecard'!$AG$5:$AG$80,MATCH($I8,'Path Scorecard'!$H$5:$H$80,0))</f>
        <v>Bellroy</v>
      </c>
      <c r="P8" s="10" t="str">
        <f>INDEX('Path Scorecard'!$AH$5:$AH$80,MATCH($I8,'Path Scorecard'!$H$5:$H$80,0))</f>
        <v>Urban Outfitters</v>
      </c>
      <c r="Q8" s="10" t="s">
        <v>164</v>
      </c>
      <c r="R8" s="10" t="s">
        <v>165</v>
      </c>
      <c r="S8" s="10" t="s">
        <v>166</v>
      </c>
      <c r="T8" s="10" t="s">
        <v>167</v>
      </c>
      <c r="U8" s="10" t="s">
        <v>32</v>
      </c>
      <c r="V8" s="10" t="s">
        <v>31</v>
      </c>
      <c r="W8" s="10" t="s">
        <v>168</v>
      </c>
      <c r="X8" s="10" t="s">
        <v>169</v>
      </c>
    </row>
    <row r="9" spans="1:24" ht="91.95" customHeight="1" x14ac:dyDescent="0.3">
      <c r="A9" s="6">
        <v>5</v>
      </c>
      <c r="B9" s="14" t="str">
        <f>INDEX('Path Scorecard'!$Q$5:$Q$80,MATCH($I9,'Path Scorecard'!$H$5:$H$80,0))</f>
        <v>Hero</v>
      </c>
      <c r="C9" s="6">
        <f>INDEX('Path Scorecard'!$AA$5:$AA$80,MATCH($I9,'Path Scorecard'!$H$5:$H$80,0))</f>
        <v>5</v>
      </c>
      <c r="D9" s="14" t="str">
        <f>INDEX('Path Scorecard'!$AB$5:$AB$80,MATCH($I9,'Path Scorecard'!$H$5:$H$80,0))</f>
        <v>Recommended</v>
      </c>
      <c r="E9" s="14" t="str">
        <f>INDEX('Path Scorecard'!$AC$5:$AC$80,MATCH($I9,'Path Scorecard'!$H$5:$H$80,0))</f>
        <v>EXTEND</v>
      </c>
      <c r="F9" s="9">
        <f>INDEX('Path Scorecard'!$Z$5:$Z$80,MATCH($I9,'Path Scorecard'!$H$5:$H$80,0))</f>
        <v>81</v>
      </c>
      <c r="G9" s="8" t="s">
        <v>33</v>
      </c>
      <c r="H9" s="6">
        <v>3</v>
      </c>
      <c r="I9" s="6" t="s">
        <v>170</v>
      </c>
      <c r="J9" s="15">
        <v>1501</v>
      </c>
      <c r="K9" s="15">
        <v>1265</v>
      </c>
      <c r="L9" s="6" t="str">
        <f>INDEX('Path Scorecard'!$AD$5:$AD$80,MATCH($I9,'Path Scorecard'!$H$5:$H$80,0))</f>
        <v>Yes</v>
      </c>
      <c r="M9" s="8" t="str">
        <f>INDEX('Path Scorecard'!$AE$5:$AE$80,MATCH($I9,'Path Scorecard'!$H$5:$H$80,0))</f>
        <v>Wayfair</v>
      </c>
      <c r="N9" s="10" t="str">
        <f>INDEX('Path Scorecard'!$AF$5:$AF$80,MATCH($I9,'Path Scorecard'!$H$5:$H$80,0))</f>
        <v>Amazon</v>
      </c>
      <c r="O9" s="8" t="str">
        <f>INDEX('Path Scorecard'!$AG$5:$AG$80,MATCH($I9,'Path Scorecard'!$H$5:$H$80,0))</f>
        <v>Design Within Reach</v>
      </c>
      <c r="P9" s="10" t="str">
        <f>INDEX('Path Scorecard'!$AH$5:$AH$80,MATCH($I9,'Path Scorecard'!$H$5:$H$80,0))</f>
        <v>West Elm</v>
      </c>
      <c r="Q9" s="10" t="s">
        <v>171</v>
      </c>
      <c r="R9" s="10" t="s">
        <v>172</v>
      </c>
      <c r="S9" s="10" t="s">
        <v>173</v>
      </c>
      <c r="T9" s="10" t="s">
        <v>174</v>
      </c>
      <c r="U9" s="10" t="s">
        <v>35</v>
      </c>
      <c r="V9" s="10" t="s">
        <v>34</v>
      </c>
      <c r="W9" s="10" t="s">
        <v>175</v>
      </c>
      <c r="X9" s="10" t="s">
        <v>176</v>
      </c>
    </row>
    <row r="10" spans="1:24" ht="91.95" customHeight="1" x14ac:dyDescent="0.3">
      <c r="A10" s="6">
        <v>6</v>
      </c>
      <c r="B10" s="14" t="str">
        <f>INDEX('Path Scorecard'!$Q$5:$Q$80,MATCH($I10,'Path Scorecard'!$H$5:$H$80,0))</f>
        <v>Hero</v>
      </c>
      <c r="C10" s="6">
        <f>INDEX('Path Scorecard'!$AA$5:$AA$80,MATCH($I10,'Path Scorecard'!$H$5:$H$80,0))</f>
        <v>6</v>
      </c>
      <c r="D10" s="14" t="str">
        <f>INDEX('Path Scorecard'!$AB$5:$AB$80,MATCH($I10,'Path Scorecard'!$H$5:$H$80,0))</f>
        <v>Recommended</v>
      </c>
      <c r="E10" s="14" t="str">
        <f>INDEX('Path Scorecard'!$AC$5:$AC$80,MATCH($I10,'Path Scorecard'!$H$5:$H$80,0))</f>
        <v>EXTEND</v>
      </c>
      <c r="F10" s="9">
        <f>INDEX('Path Scorecard'!$Z$5:$Z$80,MATCH($I10,'Path Scorecard'!$H$5:$H$80,0))</f>
        <v>77</v>
      </c>
      <c r="G10" s="8" t="s">
        <v>36</v>
      </c>
      <c r="H10" s="6">
        <v>3</v>
      </c>
      <c r="I10" s="6" t="s">
        <v>177</v>
      </c>
      <c r="J10" s="15">
        <v>284</v>
      </c>
      <c r="K10" s="15">
        <v>0</v>
      </c>
      <c r="L10" s="6" t="str">
        <f>INDEX('Path Scorecard'!$AD$5:$AD$80,MATCH($I10,'Path Scorecard'!$H$5:$H$80,0))</f>
        <v/>
      </c>
      <c r="M10" s="8" t="str">
        <f>INDEX('Path Scorecard'!$AE$5:$AE$80,MATCH($I10,'Path Scorecard'!$H$5:$H$80,0))</f>
        <v>Amazon</v>
      </c>
      <c r="N10" s="10" t="str">
        <f>INDEX('Path Scorecard'!$AF$5:$AF$80,MATCH($I10,'Path Scorecard'!$H$5:$H$80,0))</f>
        <v>Wayfair</v>
      </c>
      <c r="O10" s="8" t="str">
        <f>INDEX('Path Scorecard'!$AG$5:$AG$80,MATCH($I10,'Path Scorecard'!$H$5:$H$80,0))</f>
        <v>Etsy</v>
      </c>
      <c r="P10" s="10" t="str">
        <f>INDEX('Path Scorecard'!$AH$5:$AH$80,MATCH($I10,'Path Scorecard'!$H$5:$H$80,0))</f>
        <v>Pottery Barn Teen</v>
      </c>
      <c r="Q10" s="10" t="s">
        <v>178</v>
      </c>
      <c r="R10" s="10" t="s">
        <v>179</v>
      </c>
      <c r="S10" s="10" t="s">
        <v>180</v>
      </c>
      <c r="T10" s="10" t="s">
        <v>181</v>
      </c>
      <c r="U10" s="10" t="s">
        <v>38</v>
      </c>
      <c r="V10" s="10" t="s">
        <v>37</v>
      </c>
      <c r="W10" s="10" t="s">
        <v>182</v>
      </c>
      <c r="X10" s="10" t="s">
        <v>183</v>
      </c>
    </row>
    <row r="11" spans="1:24" ht="91.95" customHeight="1" x14ac:dyDescent="0.3">
      <c r="A11" s="6">
        <v>7</v>
      </c>
      <c r="B11" s="14" t="str">
        <f>INDEX('Path Scorecard'!$Q$5:$Q$80,MATCH($I11,'Path Scorecard'!$H$5:$H$80,0))</f>
        <v>Hero</v>
      </c>
      <c r="C11" s="6">
        <f>INDEX('Path Scorecard'!$AA$5:$AA$80,MATCH($I11,'Path Scorecard'!$H$5:$H$80,0))</f>
        <v>7</v>
      </c>
      <c r="D11" s="14" t="str">
        <f>INDEX('Path Scorecard'!$AB$5:$AB$80,MATCH($I11,'Path Scorecard'!$H$5:$H$80,0))</f>
        <v>Recommended</v>
      </c>
      <c r="E11" s="14" t="str">
        <f>INDEX('Path Scorecard'!$AC$5:$AC$80,MATCH($I11,'Path Scorecard'!$H$5:$H$80,0))</f>
        <v>EXTEND</v>
      </c>
      <c r="F11" s="9">
        <f>INDEX('Path Scorecard'!$Z$5:$Z$80,MATCH($I11,'Path Scorecard'!$H$5:$H$80,0))</f>
        <v>75</v>
      </c>
      <c r="G11" s="8" t="s">
        <v>39</v>
      </c>
      <c r="H11" s="6">
        <v>3</v>
      </c>
      <c r="I11" s="6" t="s">
        <v>184</v>
      </c>
      <c r="J11" s="15">
        <v>374</v>
      </c>
      <c r="K11" s="15">
        <v>0</v>
      </c>
      <c r="L11" s="6" t="str">
        <f>INDEX('Path Scorecard'!$AD$5:$AD$80,MATCH($I11,'Path Scorecard'!$H$5:$H$80,0))</f>
        <v/>
      </c>
      <c r="M11" s="8" t="str">
        <f>INDEX('Path Scorecard'!$AE$5:$AE$80,MATCH($I11,'Path Scorecard'!$H$5:$H$80,0))</f>
        <v>Amazon</v>
      </c>
      <c r="N11" s="10" t="str">
        <f>INDEX('Path Scorecard'!$AF$5:$AF$80,MATCH($I11,'Path Scorecard'!$H$5:$H$80,0))</f>
        <v>Best Buy</v>
      </c>
      <c r="O11" s="8" t="str">
        <f>INDEX('Path Scorecard'!$AG$5:$AG$80,MATCH($I11,'Path Scorecard'!$H$5:$H$80,0))</f>
        <v>Keychron</v>
      </c>
      <c r="P11" s="10" t="str">
        <f>INDEX('Path Scorecard'!$AH$5:$AH$80,MATCH($I11,'Path Scorecard'!$H$5:$H$80,0))</f>
        <v>Drop</v>
      </c>
      <c r="Q11" s="10" t="s">
        <v>185</v>
      </c>
      <c r="R11" s="10" t="s">
        <v>186</v>
      </c>
      <c r="S11" s="10" t="s">
        <v>187</v>
      </c>
      <c r="T11" s="10" t="s">
        <v>188</v>
      </c>
      <c r="U11" s="10" t="s">
        <v>41</v>
      </c>
      <c r="V11" s="10" t="s">
        <v>40</v>
      </c>
      <c r="W11" s="10" t="s">
        <v>189</v>
      </c>
      <c r="X11" s="10" t="s">
        <v>190</v>
      </c>
    </row>
    <row r="12" spans="1:24" ht="91.95" customHeight="1" x14ac:dyDescent="0.3">
      <c r="A12" s="6">
        <v>8</v>
      </c>
      <c r="B12" s="14" t="str">
        <f>INDEX('Path Scorecard'!$Q$5:$Q$80,MATCH($I12,'Path Scorecard'!$H$5:$H$80,0))</f>
        <v>Probable Hero</v>
      </c>
      <c r="C12" s="6">
        <f>INDEX('Path Scorecard'!$AA$5:$AA$80,MATCH($I12,'Path Scorecard'!$H$5:$H$80,0))</f>
        <v>1</v>
      </c>
      <c r="D12" s="14" t="str">
        <f>INDEX('Path Scorecard'!$AB$5:$AB$80,MATCH($I12,'Path Scorecard'!$H$5:$H$80,0))</f>
        <v>Recommended</v>
      </c>
      <c r="E12" s="14" t="str">
        <f>INDEX('Path Scorecard'!$AC$5:$AC$80,MATCH($I12,'Path Scorecard'!$H$5:$H$80,0))</f>
        <v>BUILD</v>
      </c>
      <c r="F12" s="9">
        <f>INDEX('Path Scorecard'!$Z$5:$Z$80,MATCH($I12,'Path Scorecard'!$H$5:$H$80,0))</f>
        <v>91</v>
      </c>
      <c r="G12" s="8" t="s">
        <v>42</v>
      </c>
      <c r="H12" s="6">
        <v>3</v>
      </c>
      <c r="I12" s="6" t="s">
        <v>191</v>
      </c>
      <c r="J12" s="15">
        <v>463</v>
      </c>
      <c r="K12" s="15">
        <v>462</v>
      </c>
      <c r="L12" s="6" t="str">
        <f>INDEX('Path Scorecard'!$AD$5:$AD$80,MATCH($I12,'Path Scorecard'!$H$5:$H$80,0))</f>
        <v>Yes</v>
      </c>
      <c r="M12" s="8" t="str">
        <f>INDEX('Path Scorecard'!$AE$5:$AE$80,MATCH($I12,'Path Scorecard'!$H$5:$H$80,0))</f>
        <v>Dick's Sporting Goods</v>
      </c>
      <c r="N12" s="10" t="str">
        <f>INDEX('Path Scorecard'!$AF$5:$AF$80,MATCH($I12,'Path Scorecard'!$H$5:$H$80,0))</f>
        <v>Target</v>
      </c>
      <c r="O12" s="8" t="str">
        <f>INDEX('Path Scorecard'!$AG$5:$AG$80,MATCH($I12,'Path Scorecard'!$H$5:$H$80,0))</f>
        <v>Scheels</v>
      </c>
      <c r="P12" s="10" t="str">
        <f>INDEX('Path Scorecard'!$AH$5:$AH$80,MATCH($I12,'Path Scorecard'!$H$5:$H$80,0))</f>
        <v>YETI</v>
      </c>
      <c r="Q12" s="10" t="s">
        <v>192</v>
      </c>
      <c r="R12" s="10" t="s">
        <v>193</v>
      </c>
      <c r="S12" s="10" t="s">
        <v>194</v>
      </c>
      <c r="T12" s="10" t="s">
        <v>195</v>
      </c>
      <c r="U12" s="10" t="s">
        <v>44</v>
      </c>
      <c r="V12" s="10" t="s">
        <v>43</v>
      </c>
      <c r="W12" s="10" t="s">
        <v>196</v>
      </c>
      <c r="X12" s="10" t="s">
        <v>197</v>
      </c>
    </row>
    <row r="13" spans="1:24" ht="91.95" customHeight="1" x14ac:dyDescent="0.3">
      <c r="A13" s="6">
        <v>9</v>
      </c>
      <c r="B13" s="14" t="str">
        <f>INDEX('Path Scorecard'!$Q$5:$Q$80,MATCH($I13,'Path Scorecard'!$H$5:$H$80,0))</f>
        <v>Probable Hero</v>
      </c>
      <c r="C13" s="6">
        <f>INDEX('Path Scorecard'!$AA$5:$AA$80,MATCH($I13,'Path Scorecard'!$H$5:$H$80,0))</f>
        <v>2</v>
      </c>
      <c r="D13" s="14" t="str">
        <f>INDEX('Path Scorecard'!$AB$5:$AB$80,MATCH($I13,'Path Scorecard'!$H$5:$H$80,0))</f>
        <v>Recommended</v>
      </c>
      <c r="E13" s="14" t="str">
        <f>INDEX('Path Scorecard'!$AC$5:$AC$80,MATCH($I13,'Path Scorecard'!$H$5:$H$80,0))</f>
        <v>BUILD</v>
      </c>
      <c r="F13" s="9">
        <f>INDEX('Path Scorecard'!$Z$5:$Z$80,MATCH($I13,'Path Scorecard'!$H$5:$H$80,0))</f>
        <v>89</v>
      </c>
      <c r="G13" s="8" t="s">
        <v>45</v>
      </c>
      <c r="H13" s="6">
        <v>3</v>
      </c>
      <c r="I13" s="6" t="s">
        <v>198</v>
      </c>
      <c r="J13" s="15">
        <v>229</v>
      </c>
      <c r="K13" s="15">
        <v>199</v>
      </c>
      <c r="L13" s="6" t="str">
        <f>INDEX('Path Scorecard'!$AD$5:$AD$80,MATCH($I13,'Path Scorecard'!$H$5:$H$80,0))</f>
        <v>Yes</v>
      </c>
      <c r="M13" s="8" t="str">
        <f>INDEX('Path Scorecard'!$AE$5:$AE$80,MATCH($I13,'Path Scorecard'!$H$5:$H$80,0))</f>
        <v>Wayfair</v>
      </c>
      <c r="N13" s="10" t="str">
        <f>INDEX('Path Scorecard'!$AF$5:$AF$80,MATCH($I13,'Path Scorecard'!$H$5:$H$80,0))</f>
        <v>Amazon</v>
      </c>
      <c r="O13" s="8" t="str">
        <f>INDEX('Path Scorecard'!$AG$5:$AG$80,MATCH($I13,'Path Scorecard'!$H$5:$H$80,0))</f>
        <v>Article</v>
      </c>
      <c r="P13" s="10" t="str">
        <f>INDEX('Path Scorecard'!$AH$5:$AH$80,MATCH($I13,'Path Scorecard'!$H$5:$H$80,0))</f>
        <v>West Elm</v>
      </c>
      <c r="Q13" s="10" t="s">
        <v>199</v>
      </c>
      <c r="R13" s="10" t="s">
        <v>200</v>
      </c>
      <c r="S13" s="10" t="s">
        <v>201</v>
      </c>
      <c r="T13" s="10" t="s">
        <v>202</v>
      </c>
      <c r="U13" s="10" t="s">
        <v>47</v>
      </c>
      <c r="V13" s="10" t="s">
        <v>46</v>
      </c>
      <c r="W13" s="10" t="s">
        <v>203</v>
      </c>
      <c r="X13" s="10" t="s">
        <v>204</v>
      </c>
    </row>
    <row r="14" spans="1:24" ht="91.95" customHeight="1" x14ac:dyDescent="0.3">
      <c r="A14" s="6">
        <v>10</v>
      </c>
      <c r="B14" s="14" t="str">
        <f>INDEX('Path Scorecard'!$Q$5:$Q$80,MATCH($I14,'Path Scorecard'!$H$5:$H$80,0))</f>
        <v>Probable Hero</v>
      </c>
      <c r="C14" s="6">
        <f>INDEX('Path Scorecard'!$AA$5:$AA$80,MATCH($I14,'Path Scorecard'!$H$5:$H$80,0))</f>
        <v>3</v>
      </c>
      <c r="D14" s="14" t="str">
        <f>INDEX('Path Scorecard'!$AB$5:$AB$80,MATCH($I14,'Path Scorecard'!$H$5:$H$80,0))</f>
        <v>Recommended</v>
      </c>
      <c r="E14" s="14" t="str">
        <f>INDEX('Path Scorecard'!$AC$5:$AC$80,MATCH($I14,'Path Scorecard'!$H$5:$H$80,0))</f>
        <v>BUILD</v>
      </c>
      <c r="F14" s="9">
        <f>INDEX('Path Scorecard'!$Z$5:$Z$80,MATCH($I14,'Path Scorecard'!$H$5:$H$80,0))</f>
        <v>86</v>
      </c>
      <c r="G14" s="8" t="s">
        <v>48</v>
      </c>
      <c r="H14" s="6">
        <v>3</v>
      </c>
      <c r="I14" s="6" t="s">
        <v>205</v>
      </c>
      <c r="J14" s="15">
        <v>210</v>
      </c>
      <c r="K14" s="15">
        <v>195</v>
      </c>
      <c r="L14" s="6" t="str">
        <f>INDEX('Path Scorecard'!$AD$5:$AD$80,MATCH($I14,'Path Scorecard'!$H$5:$H$80,0))</f>
        <v>Yes</v>
      </c>
      <c r="M14" s="8" t="str">
        <f>INDEX('Path Scorecard'!$AE$5:$AE$80,MATCH($I14,'Path Scorecard'!$H$5:$H$80,0))</f>
        <v>Wayfair</v>
      </c>
      <c r="N14" s="10" t="str">
        <f>INDEX('Path Scorecard'!$AF$5:$AF$80,MATCH($I14,'Path Scorecard'!$H$5:$H$80,0))</f>
        <v>Amazon</v>
      </c>
      <c r="O14" s="8" t="str">
        <f>INDEX('Path Scorecard'!$AG$5:$AG$80,MATCH($I14,'Path Scorecard'!$H$5:$H$80,0))</f>
        <v>Lamps Plus</v>
      </c>
      <c r="P14" s="10" t="str">
        <f>INDEX('Path Scorecard'!$AH$5:$AH$80,MATCH($I14,'Path Scorecard'!$H$5:$H$80,0))</f>
        <v>Urban Outfitters</v>
      </c>
      <c r="Q14" s="10" t="s">
        <v>206</v>
      </c>
      <c r="R14" s="10" t="s">
        <v>207</v>
      </c>
      <c r="S14" s="10" t="s">
        <v>208</v>
      </c>
      <c r="T14" s="10" t="s">
        <v>209</v>
      </c>
      <c r="U14" s="10" t="s">
        <v>50</v>
      </c>
      <c r="V14" s="10" t="s">
        <v>49</v>
      </c>
      <c r="W14" s="10" t="s">
        <v>210</v>
      </c>
      <c r="X14" s="10" t="s">
        <v>211</v>
      </c>
    </row>
    <row r="15" spans="1:24" ht="91.95" customHeight="1" x14ac:dyDescent="0.3">
      <c r="A15" s="6">
        <v>11</v>
      </c>
      <c r="B15" s="14" t="str">
        <f>INDEX('Path Scorecard'!$Q$5:$Q$80,MATCH($I15,'Path Scorecard'!$H$5:$H$80,0))</f>
        <v>Probable Hero</v>
      </c>
      <c r="C15" s="6">
        <f>INDEX('Path Scorecard'!$AA$5:$AA$80,MATCH($I15,'Path Scorecard'!$H$5:$H$80,0))</f>
        <v>4</v>
      </c>
      <c r="D15" s="14" t="str">
        <f>INDEX('Path Scorecard'!$AB$5:$AB$80,MATCH($I15,'Path Scorecard'!$H$5:$H$80,0))</f>
        <v>Recommended</v>
      </c>
      <c r="E15" s="14" t="str">
        <f>INDEX('Path Scorecard'!$AC$5:$AC$80,MATCH($I15,'Path Scorecard'!$H$5:$H$80,0))</f>
        <v>BUILD</v>
      </c>
      <c r="F15" s="9">
        <f>INDEX('Path Scorecard'!$Z$5:$Z$80,MATCH($I15,'Path Scorecard'!$H$5:$H$80,0))</f>
        <v>86</v>
      </c>
      <c r="G15" s="8" t="s">
        <v>51</v>
      </c>
      <c r="H15" s="6">
        <v>4</v>
      </c>
      <c r="I15" s="6" t="s">
        <v>212</v>
      </c>
      <c r="J15" s="15">
        <v>107</v>
      </c>
      <c r="K15" s="15">
        <v>0</v>
      </c>
      <c r="L15" s="6" t="str">
        <f>INDEX('Path Scorecard'!$AD$5:$AD$80,MATCH($I15,'Path Scorecard'!$H$5:$H$80,0))</f>
        <v/>
      </c>
      <c r="M15" s="8" t="str">
        <f>INDEX('Path Scorecard'!$AE$5:$AE$80,MATCH($I15,'Path Scorecard'!$H$5:$H$80,0))</f>
        <v>Amazon</v>
      </c>
      <c r="N15" s="10" t="str">
        <f>INDEX('Path Scorecard'!$AF$5:$AF$80,MATCH($I15,'Path Scorecard'!$H$5:$H$80,0))</f>
        <v>Target</v>
      </c>
      <c r="O15" s="8" t="str">
        <f>INDEX('Path Scorecard'!$AG$5:$AG$80,MATCH($I15,'Path Scorecard'!$H$5:$H$80,0))</f>
        <v>JetPens</v>
      </c>
      <c r="P15" s="10" t="str">
        <f>INDEX('Path Scorecard'!$AH$5:$AH$80,MATCH($I15,'Path Scorecard'!$H$5:$H$80,0))</f>
        <v>Kinokuniya</v>
      </c>
      <c r="Q15" s="10" t="s">
        <v>213</v>
      </c>
      <c r="R15" s="10" t="s">
        <v>214</v>
      </c>
      <c r="S15" s="10" t="s">
        <v>215</v>
      </c>
      <c r="T15" s="10" t="s">
        <v>216</v>
      </c>
      <c r="U15" s="10" t="s">
        <v>53</v>
      </c>
      <c r="V15" s="10" t="s">
        <v>52</v>
      </c>
      <c r="W15" s="10" t="s">
        <v>217</v>
      </c>
      <c r="X15" s="10" t="s">
        <v>218</v>
      </c>
    </row>
    <row r="16" spans="1:24" ht="91.95" customHeight="1" x14ac:dyDescent="0.3">
      <c r="A16" s="6">
        <v>12</v>
      </c>
      <c r="B16" s="14" t="str">
        <f>INDEX('Path Scorecard'!$Q$5:$Q$80,MATCH($I16,'Path Scorecard'!$H$5:$H$80,0))</f>
        <v>Probable Hero</v>
      </c>
      <c r="C16" s="6">
        <f>INDEX('Path Scorecard'!$AA$5:$AA$80,MATCH($I16,'Path Scorecard'!$H$5:$H$80,0))</f>
        <v>5</v>
      </c>
      <c r="D16" s="14" t="str">
        <f>INDEX('Path Scorecard'!$AB$5:$AB$80,MATCH($I16,'Path Scorecard'!$H$5:$H$80,0))</f>
        <v>Recommended</v>
      </c>
      <c r="E16" s="14" t="str">
        <f>INDEX('Path Scorecard'!$AC$5:$AC$80,MATCH($I16,'Path Scorecard'!$H$5:$H$80,0))</f>
        <v>BUILD</v>
      </c>
      <c r="F16" s="9">
        <f>INDEX('Path Scorecard'!$Z$5:$Z$80,MATCH($I16,'Path Scorecard'!$H$5:$H$80,0))</f>
        <v>86</v>
      </c>
      <c r="G16" s="8" t="s">
        <v>54</v>
      </c>
      <c r="H16" s="6">
        <v>3</v>
      </c>
      <c r="I16" s="6" t="s">
        <v>219</v>
      </c>
      <c r="J16" s="15">
        <v>404</v>
      </c>
      <c r="K16" s="15">
        <v>406</v>
      </c>
      <c r="L16" s="6" t="str">
        <f>INDEX('Path Scorecard'!$AD$5:$AD$80,MATCH($I16,'Path Scorecard'!$H$5:$H$80,0))</f>
        <v>Yes</v>
      </c>
      <c r="M16" s="8" t="str">
        <f>INDEX('Path Scorecard'!$AE$5:$AE$80,MATCH($I16,'Path Scorecard'!$H$5:$H$80,0))</f>
        <v>Amazon</v>
      </c>
      <c r="N16" s="10" t="str">
        <f>INDEX('Path Scorecard'!$AF$5:$AF$80,MATCH($I16,'Path Scorecard'!$H$5:$H$80,0))</f>
        <v>Target</v>
      </c>
      <c r="O16" s="8" t="str">
        <f>INDEX('Path Scorecard'!$AG$5:$AG$80,MATCH($I16,'Path Scorecard'!$H$5:$H$80,0))</f>
        <v>Bentgo</v>
      </c>
      <c r="P16" s="10" t="str">
        <f>INDEX('Path Scorecard'!$AH$5:$AH$80,MATCH($I16,'Path Scorecard'!$H$5:$H$80,0))</f>
        <v>Pottery Barn Kids</v>
      </c>
      <c r="Q16" s="10" t="s">
        <v>220</v>
      </c>
      <c r="R16" s="10" t="s">
        <v>221</v>
      </c>
      <c r="S16" s="10" t="s">
        <v>222</v>
      </c>
      <c r="T16" s="10" t="s">
        <v>223</v>
      </c>
      <c r="U16" s="10" t="s">
        <v>56</v>
      </c>
      <c r="V16" s="10" t="s">
        <v>55</v>
      </c>
      <c r="W16" s="10" t="s">
        <v>224</v>
      </c>
      <c r="X16" s="10" t="s">
        <v>225</v>
      </c>
    </row>
    <row r="17" spans="1:24" ht="91.95" customHeight="1" x14ac:dyDescent="0.3">
      <c r="A17" s="6">
        <v>13</v>
      </c>
      <c r="B17" s="14" t="str">
        <f>INDEX('Path Scorecard'!$Q$5:$Q$80,MATCH($I17,'Path Scorecard'!$H$5:$H$80,0))</f>
        <v>Probable Hero</v>
      </c>
      <c r="C17" s="6">
        <f>INDEX('Path Scorecard'!$AA$5:$AA$80,MATCH($I17,'Path Scorecard'!$H$5:$H$80,0))</f>
        <v>6</v>
      </c>
      <c r="D17" s="14" t="str">
        <f>INDEX('Path Scorecard'!$AB$5:$AB$80,MATCH($I17,'Path Scorecard'!$H$5:$H$80,0))</f>
        <v>Recommended</v>
      </c>
      <c r="E17" s="14" t="str">
        <f>INDEX('Path Scorecard'!$AC$5:$AC$80,MATCH($I17,'Path Scorecard'!$H$5:$H$80,0))</f>
        <v>BUILD</v>
      </c>
      <c r="F17" s="9">
        <f>INDEX('Path Scorecard'!$Z$5:$Z$80,MATCH($I17,'Path Scorecard'!$H$5:$H$80,0))</f>
        <v>85</v>
      </c>
      <c r="G17" s="8" t="s">
        <v>57</v>
      </c>
      <c r="H17" s="6">
        <v>3</v>
      </c>
      <c r="I17" s="6" t="s">
        <v>226</v>
      </c>
      <c r="J17" s="15">
        <v>95</v>
      </c>
      <c r="K17" s="15">
        <v>0</v>
      </c>
      <c r="L17" s="6" t="str">
        <f>INDEX('Path Scorecard'!$AD$5:$AD$80,MATCH($I17,'Path Scorecard'!$H$5:$H$80,0))</f>
        <v/>
      </c>
      <c r="M17" s="8" t="str">
        <f>INDEX('Path Scorecard'!$AE$5:$AE$80,MATCH($I17,'Path Scorecard'!$H$5:$H$80,0))</f>
        <v>Wayfair</v>
      </c>
      <c r="N17" s="10" t="str">
        <f>INDEX('Path Scorecard'!$AF$5:$AF$80,MATCH($I17,'Path Scorecard'!$H$5:$H$80,0))</f>
        <v>Target</v>
      </c>
      <c r="O17" s="8" t="str">
        <f>INDEX('Path Scorecard'!$AG$5:$AG$80,MATCH($I17,'Path Scorecard'!$H$5:$H$80,0))</f>
        <v>The Container Store</v>
      </c>
      <c r="P17" s="10" t="str">
        <f>INDEX('Path Scorecard'!$AH$5:$AH$80,MATCH($I17,'Path Scorecard'!$H$5:$H$80,0))</f>
        <v>Pottery Barn</v>
      </c>
      <c r="Q17" s="10" t="s">
        <v>227</v>
      </c>
      <c r="R17" s="10" t="s">
        <v>228</v>
      </c>
      <c r="S17" s="10" t="s">
        <v>229</v>
      </c>
      <c r="T17" s="10" t="s">
        <v>230</v>
      </c>
      <c r="U17" s="10" t="s">
        <v>59</v>
      </c>
      <c r="V17" s="10" t="s">
        <v>58</v>
      </c>
      <c r="W17" s="10" t="s">
        <v>231</v>
      </c>
      <c r="X17" s="10" t="s">
        <v>232</v>
      </c>
    </row>
    <row r="18" spans="1:24" ht="91.95" customHeight="1" x14ac:dyDescent="0.3">
      <c r="A18" s="6">
        <v>14</v>
      </c>
      <c r="B18" s="14" t="str">
        <f>INDEX('Path Scorecard'!$Q$5:$Q$80,MATCH($I18,'Path Scorecard'!$H$5:$H$80,0))</f>
        <v>Probable Hero</v>
      </c>
      <c r="C18" s="6">
        <f>INDEX('Path Scorecard'!$AA$5:$AA$80,MATCH($I18,'Path Scorecard'!$H$5:$H$80,0))</f>
        <v>7</v>
      </c>
      <c r="D18" s="14" t="str">
        <f>INDEX('Path Scorecard'!$AB$5:$AB$80,MATCH($I18,'Path Scorecard'!$H$5:$H$80,0))</f>
        <v>Recommended</v>
      </c>
      <c r="E18" s="14" t="str">
        <f>INDEX('Path Scorecard'!$AC$5:$AC$80,MATCH($I18,'Path Scorecard'!$H$5:$H$80,0))</f>
        <v>BUILD</v>
      </c>
      <c r="F18" s="9">
        <f>INDEX('Path Scorecard'!$Z$5:$Z$80,MATCH($I18,'Path Scorecard'!$H$5:$H$80,0))</f>
        <v>83</v>
      </c>
      <c r="G18" s="8" t="s">
        <v>60</v>
      </c>
      <c r="H18" s="6">
        <v>3</v>
      </c>
      <c r="I18" s="6" t="s">
        <v>233</v>
      </c>
      <c r="J18" s="15">
        <v>300</v>
      </c>
      <c r="K18" s="15">
        <v>265</v>
      </c>
      <c r="L18" s="6" t="str">
        <f>INDEX('Path Scorecard'!$AD$5:$AD$80,MATCH($I18,'Path Scorecard'!$H$5:$H$80,0))</f>
        <v>Yes</v>
      </c>
      <c r="M18" s="8" t="str">
        <f>INDEX('Path Scorecard'!$AE$5:$AE$80,MATCH($I18,'Path Scorecard'!$H$5:$H$80,0))</f>
        <v>Amazon</v>
      </c>
      <c r="N18" s="10" t="str">
        <f>INDEX('Path Scorecard'!$AF$5:$AF$80,MATCH($I18,'Path Scorecard'!$H$5:$H$80,0))</f>
        <v>Target</v>
      </c>
      <c r="O18" s="8" t="str">
        <f>INDEX('Path Scorecard'!$AG$5:$AG$80,MATCH($I18,'Path Scorecard'!$H$5:$H$80,0))</f>
        <v>Bellroy</v>
      </c>
      <c r="P18" s="10" t="str">
        <f>INDEX('Path Scorecard'!$AH$5:$AH$80,MATCH($I18,'Path Scorecard'!$H$5:$H$80,0))</f>
        <v>Urban Outfitters</v>
      </c>
      <c r="Q18" s="10" t="s">
        <v>234</v>
      </c>
      <c r="R18" s="10" t="s">
        <v>235</v>
      </c>
      <c r="S18" s="10" t="s">
        <v>236</v>
      </c>
      <c r="T18" s="10" t="s">
        <v>237</v>
      </c>
      <c r="U18" s="10" t="s">
        <v>62</v>
      </c>
      <c r="V18" s="10" t="s">
        <v>61</v>
      </c>
      <c r="W18" s="10" t="s">
        <v>238</v>
      </c>
      <c r="X18" s="10" t="s">
        <v>239</v>
      </c>
    </row>
    <row r="19" spans="1:24" ht="91.95" customHeight="1" x14ac:dyDescent="0.3">
      <c r="A19" s="6">
        <v>15</v>
      </c>
      <c r="B19" s="14" t="str">
        <f>INDEX('Path Scorecard'!$Q$5:$Q$80,MATCH($I19,'Path Scorecard'!$H$5:$H$80,0))</f>
        <v>Non-Hero</v>
      </c>
      <c r="C19" s="6">
        <f>INDEX('Path Scorecard'!$AA$5:$AA$80,MATCH($I19,'Path Scorecard'!$H$5:$H$80,0))</f>
        <v>1</v>
      </c>
      <c r="D19" s="14" t="str">
        <f>INDEX('Path Scorecard'!$AB$5:$AB$80,MATCH($I19,'Path Scorecard'!$H$5:$H$80,0))</f>
        <v>Recommended</v>
      </c>
      <c r="E19" s="14" t="str">
        <f>INDEX('Path Scorecard'!$AC$5:$AC$80,MATCH($I19,'Path Scorecard'!$H$5:$H$80,0))</f>
        <v>EXPLORE</v>
      </c>
      <c r="F19" s="9">
        <f>INDEX('Path Scorecard'!$Z$5:$Z$80,MATCH($I19,'Path Scorecard'!$H$5:$H$80,0))</f>
        <v>77</v>
      </c>
      <c r="G19" s="8" t="s">
        <v>63</v>
      </c>
      <c r="H19" s="6">
        <v>3</v>
      </c>
      <c r="I19" s="6" t="s">
        <v>240</v>
      </c>
      <c r="J19" s="15">
        <v>229</v>
      </c>
      <c r="K19" s="15">
        <v>0</v>
      </c>
      <c r="L19" s="6" t="str">
        <f>INDEX('Path Scorecard'!$AD$5:$AD$80,MATCH($I19,'Path Scorecard'!$H$5:$H$80,0))</f>
        <v/>
      </c>
      <c r="M19" s="8" t="str">
        <f>INDEX('Path Scorecard'!$AE$5:$AE$80,MATCH($I19,'Path Scorecard'!$H$5:$H$80,0))</f>
        <v>Wayfair</v>
      </c>
      <c r="N19" s="10" t="str">
        <f>INDEX('Path Scorecard'!$AF$5:$AF$80,MATCH($I19,'Path Scorecard'!$H$5:$H$80,0))</f>
        <v>Amazon</v>
      </c>
      <c r="O19" s="8" t="str">
        <f>INDEX('Path Scorecard'!$AG$5:$AG$80,MATCH($I19,'Path Scorecard'!$H$5:$H$80,0))</f>
        <v>Schoolhouse</v>
      </c>
      <c r="P19" s="10" t="str">
        <f>INDEX('Path Scorecard'!$AH$5:$AH$80,MATCH($I19,'Path Scorecard'!$H$5:$H$80,0))</f>
        <v>Anthropologie</v>
      </c>
      <c r="Q19" s="10" t="s">
        <v>241</v>
      </c>
      <c r="R19" s="10" t="s">
        <v>242</v>
      </c>
      <c r="S19" s="10" t="s">
        <v>243</v>
      </c>
      <c r="T19" s="10" t="s">
        <v>244</v>
      </c>
      <c r="U19" s="10" t="s">
        <v>35</v>
      </c>
      <c r="V19" s="10" t="s">
        <v>64</v>
      </c>
      <c r="W19" s="10" t="s">
        <v>245</v>
      </c>
      <c r="X19" s="10" t="s">
        <v>246</v>
      </c>
    </row>
    <row r="20" spans="1:24" ht="91.95" customHeight="1" x14ac:dyDescent="0.3">
      <c r="A20" s="6">
        <v>16</v>
      </c>
      <c r="B20" s="14" t="str">
        <f>INDEX('Path Scorecard'!$Q$5:$Q$80,MATCH($I20,'Path Scorecard'!$H$5:$H$80,0))</f>
        <v>Non-Hero</v>
      </c>
      <c r="C20" s="6">
        <f>INDEX('Path Scorecard'!$AA$5:$AA$80,MATCH($I20,'Path Scorecard'!$H$5:$H$80,0))</f>
        <v>2</v>
      </c>
      <c r="D20" s="14" t="str">
        <f>INDEX('Path Scorecard'!$AB$5:$AB$80,MATCH($I20,'Path Scorecard'!$H$5:$H$80,0))</f>
        <v>Recommended</v>
      </c>
      <c r="E20" s="14" t="str">
        <f>INDEX('Path Scorecard'!$AC$5:$AC$80,MATCH($I20,'Path Scorecard'!$H$5:$H$80,0))</f>
        <v>EXPLORE</v>
      </c>
      <c r="F20" s="9">
        <f>INDEX('Path Scorecard'!$Z$5:$Z$80,MATCH($I20,'Path Scorecard'!$H$5:$H$80,0))</f>
        <v>76</v>
      </c>
      <c r="G20" s="8" t="s">
        <v>65</v>
      </c>
      <c r="H20" s="6">
        <v>3</v>
      </c>
      <c r="I20" s="6" t="s">
        <v>247</v>
      </c>
      <c r="J20" s="15">
        <v>82</v>
      </c>
      <c r="K20" s="15">
        <v>0</v>
      </c>
      <c r="L20" s="6" t="str">
        <f>INDEX('Path Scorecard'!$AD$5:$AD$80,MATCH($I20,'Path Scorecard'!$H$5:$H$80,0))</f>
        <v/>
      </c>
      <c r="M20" s="8" t="str">
        <f>INDEX('Path Scorecard'!$AE$5:$AE$80,MATCH($I20,'Path Scorecard'!$H$5:$H$80,0))</f>
        <v>Amazon</v>
      </c>
      <c r="N20" s="10" t="str">
        <f>INDEX('Path Scorecard'!$AF$5:$AF$80,MATCH($I20,'Path Scorecard'!$H$5:$H$80,0))</f>
        <v>Wayfair</v>
      </c>
      <c r="O20" s="8" t="str">
        <f>INDEX('Path Scorecard'!$AG$5:$AG$80,MATCH($I20,'Path Scorecard'!$H$5:$H$80,0))</f>
        <v>Grovemade</v>
      </c>
      <c r="P20" s="10" t="str">
        <f>INDEX('Path Scorecard'!$AH$5:$AH$80,MATCH($I20,'Path Scorecard'!$H$5:$H$80,0))</f>
        <v>Orbitkey</v>
      </c>
      <c r="Q20" s="10" t="s">
        <v>248</v>
      </c>
      <c r="R20" s="10" t="s">
        <v>249</v>
      </c>
      <c r="S20" s="10" t="s">
        <v>250</v>
      </c>
      <c r="T20" s="10" t="s">
        <v>251</v>
      </c>
      <c r="U20" s="10" t="s">
        <v>67</v>
      </c>
      <c r="V20" s="10" t="s">
        <v>66</v>
      </c>
      <c r="W20" s="10" t="s">
        <v>252</v>
      </c>
      <c r="X20" s="10" t="s">
        <v>253</v>
      </c>
    </row>
    <row r="21" spans="1:24" ht="91.95" customHeight="1" x14ac:dyDescent="0.3">
      <c r="A21" s="6">
        <v>17</v>
      </c>
      <c r="B21" s="14" t="str">
        <f>INDEX('Path Scorecard'!$Q$5:$Q$80,MATCH($I21,'Path Scorecard'!$H$5:$H$80,0))</f>
        <v>Non-Hero</v>
      </c>
      <c r="C21" s="6">
        <f>INDEX('Path Scorecard'!$AA$5:$AA$80,MATCH($I21,'Path Scorecard'!$H$5:$H$80,0))</f>
        <v>3</v>
      </c>
      <c r="D21" s="14" t="str">
        <f>INDEX('Path Scorecard'!$AB$5:$AB$80,MATCH($I21,'Path Scorecard'!$H$5:$H$80,0))</f>
        <v>Recommended</v>
      </c>
      <c r="E21" s="14" t="str">
        <f>INDEX('Path Scorecard'!$AC$5:$AC$80,MATCH($I21,'Path Scorecard'!$H$5:$H$80,0))</f>
        <v>EXPLORE</v>
      </c>
      <c r="F21" s="9">
        <f>INDEX('Path Scorecard'!$Z$5:$Z$80,MATCH($I21,'Path Scorecard'!$H$5:$H$80,0))</f>
        <v>72</v>
      </c>
      <c r="G21" s="8" t="s">
        <v>68</v>
      </c>
      <c r="H21" s="6">
        <v>3</v>
      </c>
      <c r="I21" s="6" t="s">
        <v>254</v>
      </c>
      <c r="J21" s="15">
        <v>50</v>
      </c>
      <c r="K21" s="15">
        <v>0</v>
      </c>
      <c r="L21" s="6" t="str">
        <f>INDEX('Path Scorecard'!$AD$5:$AD$80,MATCH($I21,'Path Scorecard'!$H$5:$H$80,0))</f>
        <v/>
      </c>
      <c r="M21" s="8" t="str">
        <f>INDEX('Path Scorecard'!$AE$5:$AE$80,MATCH($I21,'Path Scorecard'!$H$5:$H$80,0))</f>
        <v>Amazon</v>
      </c>
      <c r="N21" s="10" t="str">
        <f>INDEX('Path Scorecard'!$AF$5:$AF$80,MATCH($I21,'Path Scorecard'!$H$5:$H$80,0))</f>
        <v>Wayfair</v>
      </c>
      <c r="O21" s="8" t="str">
        <f>INDEX('Path Scorecard'!$AG$5:$AG$80,MATCH($I21,'Path Scorecard'!$H$5:$H$80,0))</f>
        <v>Williams Sonoma</v>
      </c>
      <c r="P21" s="10" t="str">
        <f>INDEX('Path Scorecard'!$AH$5:$AH$80,MATCH($I21,'Path Scorecard'!$H$5:$H$80,0))</f>
        <v>Crate &amp; Barrel</v>
      </c>
      <c r="Q21" s="10" t="s">
        <v>255</v>
      </c>
      <c r="R21" s="10" t="s">
        <v>256</v>
      </c>
      <c r="S21" s="10" t="s">
        <v>257</v>
      </c>
      <c r="T21" s="10" t="s">
        <v>258</v>
      </c>
      <c r="U21" s="10" t="s">
        <v>70</v>
      </c>
      <c r="V21" s="10" t="s">
        <v>69</v>
      </c>
      <c r="W21" s="10" t="s">
        <v>259</v>
      </c>
      <c r="X21" s="10" t="s">
        <v>260</v>
      </c>
    </row>
    <row r="22" spans="1:24" ht="91.95" customHeight="1" x14ac:dyDescent="0.3">
      <c r="A22" s="6">
        <v>18</v>
      </c>
      <c r="B22" s="14" t="str">
        <f>INDEX('Path Scorecard'!$Q$5:$Q$80,MATCH($I22,'Path Scorecard'!$H$5:$H$80,0))</f>
        <v>Non-Hero</v>
      </c>
      <c r="C22" s="6">
        <f>INDEX('Path Scorecard'!$AA$5:$AA$80,MATCH($I22,'Path Scorecard'!$H$5:$H$80,0))</f>
        <v>4</v>
      </c>
      <c r="D22" s="14" t="str">
        <f>INDEX('Path Scorecard'!$AB$5:$AB$80,MATCH($I22,'Path Scorecard'!$H$5:$H$80,0))</f>
        <v>Recommended</v>
      </c>
      <c r="E22" s="14" t="str">
        <f>INDEX('Path Scorecard'!$AC$5:$AC$80,MATCH($I22,'Path Scorecard'!$H$5:$H$80,0))</f>
        <v>EXPLORE</v>
      </c>
      <c r="F22" s="9">
        <f>INDEX('Path Scorecard'!$Z$5:$Z$80,MATCH($I22,'Path Scorecard'!$H$5:$H$80,0))</f>
        <v>69</v>
      </c>
      <c r="G22" s="8" t="s">
        <v>71</v>
      </c>
      <c r="H22" s="6">
        <v>3</v>
      </c>
      <c r="I22" s="6" t="s">
        <v>261</v>
      </c>
      <c r="J22" s="15">
        <v>136</v>
      </c>
      <c r="K22" s="15">
        <v>0</v>
      </c>
      <c r="L22" s="6" t="str">
        <f>INDEX('Path Scorecard'!$AD$5:$AD$80,MATCH($I22,'Path Scorecard'!$H$5:$H$80,0))</f>
        <v/>
      </c>
      <c r="M22" s="8" t="str">
        <f>INDEX('Path Scorecard'!$AE$5:$AE$80,MATCH($I22,'Path Scorecard'!$H$5:$H$80,0))</f>
        <v>Amazon</v>
      </c>
      <c r="N22" s="10" t="str">
        <f>INDEX('Path Scorecard'!$AF$5:$AF$80,MATCH($I22,'Path Scorecard'!$H$5:$H$80,0))</f>
        <v>Wayfair</v>
      </c>
      <c r="O22" s="8" t="str">
        <f>INDEX('Path Scorecard'!$AG$5:$AG$80,MATCH($I22,'Path Scorecard'!$H$5:$H$80,0))</f>
        <v>Felt Right</v>
      </c>
      <c r="P22" s="10" t="str">
        <f>INDEX('Path Scorecard'!$AH$5:$AH$80,MATCH($I22,'Path Scorecard'!$H$5:$H$80,0))</f>
        <v>Etsy</v>
      </c>
      <c r="Q22" s="10" t="s">
        <v>262</v>
      </c>
      <c r="R22" s="10" t="s">
        <v>263</v>
      </c>
      <c r="S22" s="10" t="s">
        <v>264</v>
      </c>
      <c r="T22" s="10" t="s">
        <v>265</v>
      </c>
      <c r="U22" s="10" t="s">
        <v>73</v>
      </c>
      <c r="V22" s="10" t="s">
        <v>72</v>
      </c>
      <c r="W22" s="10" t="s">
        <v>266</v>
      </c>
      <c r="X22" s="10" t="s">
        <v>267</v>
      </c>
    </row>
    <row r="23" spans="1:24" ht="91.95" customHeight="1" x14ac:dyDescent="0.3">
      <c r="A23" s="6">
        <v>19</v>
      </c>
      <c r="B23" s="14" t="str">
        <f>INDEX('Path Scorecard'!$Q$5:$Q$80,MATCH($I23,'Path Scorecard'!$H$5:$H$80,0))</f>
        <v>Non-Hero</v>
      </c>
      <c r="C23" s="6">
        <f>INDEX('Path Scorecard'!$AA$5:$AA$80,MATCH($I23,'Path Scorecard'!$H$5:$H$80,0))</f>
        <v>5</v>
      </c>
      <c r="D23" s="14" t="str">
        <f>INDEX('Path Scorecard'!$AB$5:$AB$80,MATCH($I23,'Path Scorecard'!$H$5:$H$80,0))</f>
        <v>Recommended</v>
      </c>
      <c r="E23" s="14" t="str">
        <f>INDEX('Path Scorecard'!$AC$5:$AC$80,MATCH($I23,'Path Scorecard'!$H$5:$H$80,0))</f>
        <v>EXPLORE</v>
      </c>
      <c r="F23" s="9">
        <f>INDEX('Path Scorecard'!$Z$5:$Z$80,MATCH($I23,'Path Scorecard'!$H$5:$H$80,0))</f>
        <v>67</v>
      </c>
      <c r="G23" s="8" t="s">
        <v>74</v>
      </c>
      <c r="H23" s="6">
        <v>3</v>
      </c>
      <c r="I23" s="6" t="s">
        <v>268</v>
      </c>
      <c r="J23" s="15">
        <v>152</v>
      </c>
      <c r="K23" s="15">
        <v>0</v>
      </c>
      <c r="L23" s="6" t="str">
        <f>INDEX('Path Scorecard'!$AD$5:$AD$80,MATCH($I23,'Path Scorecard'!$H$5:$H$80,0))</f>
        <v/>
      </c>
      <c r="M23" s="8" t="str">
        <f>INDEX('Path Scorecard'!$AE$5:$AE$80,MATCH($I23,'Path Scorecard'!$H$5:$H$80,0))</f>
        <v>Wayfair</v>
      </c>
      <c r="N23" s="10" t="str">
        <f>INDEX('Path Scorecard'!$AF$5:$AF$80,MATCH($I23,'Path Scorecard'!$H$5:$H$80,0))</f>
        <v>Amazon</v>
      </c>
      <c r="O23" s="8" t="str">
        <f>INDEX('Path Scorecard'!$AG$5:$AG$80,MATCH($I23,'Path Scorecard'!$H$5:$H$80,0))</f>
        <v>Felt Right</v>
      </c>
      <c r="P23" s="10" t="str">
        <f>INDEX('Path Scorecard'!$AH$5:$AH$80,MATCH($I23,'Path Scorecard'!$H$5:$H$80,0))</f>
        <v>Anthropologie</v>
      </c>
      <c r="Q23" s="10" t="s">
        <v>269</v>
      </c>
      <c r="R23" s="10" t="s">
        <v>270</v>
      </c>
      <c r="S23" s="10" t="s">
        <v>271</v>
      </c>
      <c r="T23" s="10" t="s">
        <v>272</v>
      </c>
      <c r="U23" s="10" t="s">
        <v>76</v>
      </c>
      <c r="V23" s="10" t="s">
        <v>75</v>
      </c>
      <c r="W23" s="10" t="s">
        <v>273</v>
      </c>
      <c r="X23" s="10" t="s">
        <v>274</v>
      </c>
    </row>
    <row r="24" spans="1:24" ht="91.95" customHeight="1" x14ac:dyDescent="0.3">
      <c r="A24" s="6">
        <v>20</v>
      </c>
      <c r="B24" s="14" t="str">
        <f>INDEX('Path Scorecard'!$Q$5:$Q$80,MATCH($I24,'Path Scorecard'!$H$5:$H$80,0))</f>
        <v>Non-Hero</v>
      </c>
      <c r="C24" s="6">
        <f>INDEX('Path Scorecard'!$AA$5:$AA$80,MATCH($I24,'Path Scorecard'!$H$5:$H$80,0))</f>
        <v>6</v>
      </c>
      <c r="D24" s="14" t="str">
        <f>INDEX('Path Scorecard'!$AB$5:$AB$80,MATCH($I24,'Path Scorecard'!$H$5:$H$80,0))</f>
        <v>Recommended</v>
      </c>
      <c r="E24" s="14" t="str">
        <f>INDEX('Path Scorecard'!$AC$5:$AC$80,MATCH($I24,'Path Scorecard'!$H$5:$H$80,0))</f>
        <v>EXPLORE</v>
      </c>
      <c r="F24" s="9">
        <f>INDEX('Path Scorecard'!$Z$5:$Z$80,MATCH($I24,'Path Scorecard'!$H$5:$H$80,0))</f>
        <v>67</v>
      </c>
      <c r="G24" s="8" t="s">
        <v>77</v>
      </c>
      <c r="H24" s="6">
        <v>3</v>
      </c>
      <c r="I24" s="6" t="s">
        <v>275</v>
      </c>
      <c r="J24" s="15">
        <v>55</v>
      </c>
      <c r="K24" s="15">
        <v>0</v>
      </c>
      <c r="L24" s="6" t="str">
        <f>INDEX('Path Scorecard'!$AD$5:$AD$80,MATCH($I24,'Path Scorecard'!$H$5:$H$80,0))</f>
        <v/>
      </c>
      <c r="M24" s="8" t="str">
        <f>INDEX('Path Scorecard'!$AE$5:$AE$80,MATCH($I24,'Path Scorecard'!$H$5:$H$80,0))</f>
        <v>Amazon</v>
      </c>
      <c r="N24" s="10" t="str">
        <f>INDEX('Path Scorecard'!$AF$5:$AF$80,MATCH($I24,'Path Scorecard'!$H$5:$H$80,0))</f>
        <v>Target</v>
      </c>
      <c r="O24" s="8" t="str">
        <f>INDEX('Path Scorecard'!$AG$5:$AG$80,MATCH($I24,'Path Scorecard'!$H$5:$H$80,0))</f>
        <v>Fellow</v>
      </c>
      <c r="P24" s="10" t="str">
        <f>INDEX('Path Scorecard'!$AH$5:$AH$80,MATCH($I24,'Path Scorecard'!$H$5:$H$80,0))</f>
        <v>Williams Sonoma</v>
      </c>
      <c r="Q24" s="10" t="s">
        <v>276</v>
      </c>
      <c r="R24" s="10" t="s">
        <v>277</v>
      </c>
      <c r="S24" s="10" t="s">
        <v>278</v>
      </c>
      <c r="T24" s="10" t="s">
        <v>279</v>
      </c>
      <c r="U24" s="10" t="s">
        <v>79</v>
      </c>
      <c r="V24" s="10" t="s">
        <v>78</v>
      </c>
      <c r="W24" s="10" t="s">
        <v>280</v>
      </c>
      <c r="X24" s="10" t="s">
        <v>281</v>
      </c>
    </row>
    <row r="26" spans="1:24" ht="15.6" x14ac:dyDescent="0.3">
      <c r="A26" s="4" t="s">
        <v>282</v>
      </c>
    </row>
    <row r="27" spans="1:24" ht="91.95" customHeight="1" x14ac:dyDescent="0.3">
      <c r="A27" s="6" t="s">
        <v>283</v>
      </c>
      <c r="B27" s="14" t="str">
        <f>INDEX('Path Scorecard'!$Q$5:$Q$80,MATCH($I27,'Path Scorecard'!$H$5:$H$80,0))</f>
        <v>Hero</v>
      </c>
      <c r="C27" s="6">
        <f>INDEX('Path Scorecard'!$AA$5:$AA$80,MATCH($I27,'Path Scorecard'!$H$5:$H$80,0))</f>
        <v>8</v>
      </c>
      <c r="D27" s="14" t="str">
        <f>INDEX('Path Scorecard'!$AB$5:$AB$80,MATCH($I27,'Path Scorecard'!$H$5:$H$80,0))</f>
        <v>Reserve</v>
      </c>
      <c r="E27" s="14" t="str">
        <f>INDEX('Path Scorecard'!$AC$5:$AC$80,MATCH($I27,'Path Scorecard'!$H$5:$H$80,0))</f>
        <v>EXTEND</v>
      </c>
      <c r="F27" s="9">
        <f>INDEX('Path Scorecard'!$Z$5:$Z$80,MATCH($I27,'Path Scorecard'!$H$5:$H$80,0))</f>
        <v>74</v>
      </c>
      <c r="G27" s="8" t="s">
        <v>284</v>
      </c>
      <c r="H27" s="6">
        <v>3</v>
      </c>
      <c r="I27" s="6" t="s">
        <v>285</v>
      </c>
      <c r="J27" s="15">
        <v>1234</v>
      </c>
      <c r="K27" s="15">
        <v>0</v>
      </c>
      <c r="L27" s="6" t="str">
        <f>INDEX('Path Scorecard'!$AD$5:$AD$80,MATCH($I27,'Path Scorecard'!$H$5:$H$80,0))</f>
        <v/>
      </c>
      <c r="M27" s="8" t="str">
        <f>INDEX('Path Scorecard'!$AE$5:$AE$80,MATCH($I27,'Path Scorecard'!$H$5:$H$80,0))</f>
        <v>Amazon</v>
      </c>
      <c r="N27" s="10" t="str">
        <f>INDEX('Path Scorecard'!$AF$5:$AF$80,MATCH($I27,'Path Scorecard'!$H$5:$H$80,0))</f>
        <v>Target</v>
      </c>
      <c r="O27" s="8" t="str">
        <f>INDEX('Path Scorecard'!$AG$5:$AG$80,MATCH($I27,'Path Scorecard'!$H$5:$H$80,0))</f>
        <v>Erin Condren</v>
      </c>
      <c r="P27" s="10" t="str">
        <f>INDEX('Path Scorecard'!$AH$5:$AH$80,MATCH($I27,'Path Scorecard'!$H$5:$H$80,0))</f>
        <v>Etsy</v>
      </c>
      <c r="Q27" s="10" t="s">
        <v>286</v>
      </c>
      <c r="R27" s="10" t="s">
        <v>287</v>
      </c>
      <c r="S27" s="10" t="s">
        <v>288</v>
      </c>
      <c r="T27" s="10" t="s">
        <v>289</v>
      </c>
      <c r="U27" s="10" t="s">
        <v>290</v>
      </c>
      <c r="V27" s="10" t="s">
        <v>291</v>
      </c>
      <c r="W27" s="10" t="s">
        <v>292</v>
      </c>
      <c r="X27" s="10" t="s">
        <v>293</v>
      </c>
    </row>
    <row r="28" spans="1:24" ht="91.95" customHeight="1" x14ac:dyDescent="0.3">
      <c r="A28" s="6" t="s">
        <v>294</v>
      </c>
      <c r="B28" s="14" t="str">
        <f>INDEX('Path Scorecard'!$Q$5:$Q$80,MATCH($I28,'Path Scorecard'!$H$5:$H$80,0))</f>
        <v>Hero</v>
      </c>
      <c r="C28" s="6">
        <f>INDEX('Path Scorecard'!$AA$5:$AA$80,MATCH($I28,'Path Scorecard'!$H$5:$H$80,0))</f>
        <v>9</v>
      </c>
      <c r="D28" s="14" t="str">
        <f>INDEX('Path Scorecard'!$AB$5:$AB$80,MATCH($I28,'Path Scorecard'!$H$5:$H$80,0))</f>
        <v>Reserve</v>
      </c>
      <c r="E28" s="14" t="str">
        <f>INDEX('Path Scorecard'!$AC$5:$AC$80,MATCH($I28,'Path Scorecard'!$H$5:$H$80,0))</f>
        <v>EXTEND</v>
      </c>
      <c r="F28" s="9">
        <f>INDEX('Path Scorecard'!$Z$5:$Z$80,MATCH($I28,'Path Scorecard'!$H$5:$H$80,0))</f>
        <v>73</v>
      </c>
      <c r="G28" s="8" t="s">
        <v>295</v>
      </c>
      <c r="H28" s="6">
        <v>3</v>
      </c>
      <c r="I28" s="6" t="s">
        <v>296</v>
      </c>
      <c r="J28" s="15">
        <v>148</v>
      </c>
      <c r="K28" s="15">
        <v>103</v>
      </c>
      <c r="L28" s="6" t="str">
        <f>INDEX('Path Scorecard'!$AD$5:$AD$80,MATCH($I28,'Path Scorecard'!$H$5:$H$80,0))</f>
        <v/>
      </c>
      <c r="M28" s="8" t="str">
        <f>INDEX('Path Scorecard'!$AE$5:$AE$80,MATCH($I28,'Path Scorecard'!$H$5:$H$80,0))</f>
        <v>Amazon</v>
      </c>
      <c r="N28" s="10" t="str">
        <f>INDEX('Path Scorecard'!$AF$5:$AF$80,MATCH($I28,'Path Scorecard'!$H$5:$H$80,0))</f>
        <v>Walmart</v>
      </c>
      <c r="O28" s="8" t="str">
        <f>INDEX('Path Scorecard'!$AG$5:$AG$80,MATCH($I28,'Path Scorecard'!$H$5:$H$80,0))</f>
        <v>Michaels</v>
      </c>
      <c r="P28" s="10" t="str">
        <f>INDEX('Path Scorecard'!$AH$5:$AH$80,MATCH($I28,'Path Scorecard'!$H$5:$H$80,0))</f>
        <v>The Container Store</v>
      </c>
      <c r="Q28" s="10" t="s">
        <v>297</v>
      </c>
      <c r="R28" s="10" t="s">
        <v>298</v>
      </c>
      <c r="S28" s="10" t="s">
        <v>299</v>
      </c>
      <c r="T28" s="10" t="s">
        <v>300</v>
      </c>
      <c r="U28" s="10" t="s">
        <v>301</v>
      </c>
      <c r="V28" s="10" t="s">
        <v>302</v>
      </c>
      <c r="W28" s="10" t="s">
        <v>303</v>
      </c>
      <c r="X28" s="10" t="s">
        <v>304</v>
      </c>
    </row>
    <row r="29" spans="1:24" ht="91.95" customHeight="1" x14ac:dyDescent="0.3">
      <c r="A29" s="6" t="s">
        <v>305</v>
      </c>
      <c r="B29" s="14" t="str">
        <f>INDEX('Path Scorecard'!$Q$5:$Q$80,MATCH($I29,'Path Scorecard'!$H$5:$H$80,0))</f>
        <v>Hero</v>
      </c>
      <c r="C29" s="6">
        <f>INDEX('Path Scorecard'!$AA$5:$AA$80,MATCH($I29,'Path Scorecard'!$H$5:$H$80,0))</f>
        <v>9</v>
      </c>
      <c r="D29" s="14" t="str">
        <f>INDEX('Path Scorecard'!$AB$5:$AB$80,MATCH($I29,'Path Scorecard'!$H$5:$H$80,0))</f>
        <v>Reserve</v>
      </c>
      <c r="E29" s="14" t="str">
        <f>INDEX('Path Scorecard'!$AC$5:$AC$80,MATCH($I29,'Path Scorecard'!$H$5:$H$80,0))</f>
        <v>EXTEND</v>
      </c>
      <c r="F29" s="9">
        <f>INDEX('Path Scorecard'!$Z$5:$Z$80,MATCH($I29,'Path Scorecard'!$H$5:$H$80,0))</f>
        <v>73</v>
      </c>
      <c r="G29" s="8" t="s">
        <v>306</v>
      </c>
      <c r="H29" s="6">
        <v>3</v>
      </c>
      <c r="I29" s="6" t="s">
        <v>307</v>
      </c>
      <c r="J29" s="15">
        <v>396</v>
      </c>
      <c r="K29" s="15">
        <v>387</v>
      </c>
      <c r="L29" s="6" t="str">
        <f>INDEX('Path Scorecard'!$AD$5:$AD$80,MATCH($I29,'Path Scorecard'!$H$5:$H$80,0))</f>
        <v/>
      </c>
      <c r="M29" s="8" t="str">
        <f>INDEX('Path Scorecard'!$AE$5:$AE$80,MATCH($I29,'Path Scorecard'!$H$5:$H$80,0))</f>
        <v>Amazon</v>
      </c>
      <c r="N29" s="10" t="str">
        <f>INDEX('Path Scorecard'!$AF$5:$AF$80,MATCH($I29,'Path Scorecard'!$H$5:$H$80,0))</f>
        <v>Uline</v>
      </c>
      <c r="O29" s="8" t="str">
        <f>INDEX('Path Scorecard'!$AG$5:$AG$80,MATCH($I29,'Path Scorecard'!$H$5:$H$80,0))</f>
        <v>noissue</v>
      </c>
      <c r="P29" s="10" t="str">
        <f>INDEX('Path Scorecard'!$AH$5:$AH$80,MATCH($I29,'Path Scorecard'!$H$5:$H$80,0))</f>
        <v>Packhelp</v>
      </c>
      <c r="Q29" s="10" t="s">
        <v>308</v>
      </c>
      <c r="R29" s="10" t="s">
        <v>309</v>
      </c>
      <c r="S29" s="10" t="s">
        <v>310</v>
      </c>
      <c r="T29" s="10" t="s">
        <v>311</v>
      </c>
      <c r="U29" s="10" t="s">
        <v>312</v>
      </c>
      <c r="V29" s="10" t="s">
        <v>313</v>
      </c>
      <c r="W29" s="10" t="s">
        <v>314</v>
      </c>
      <c r="X29" s="10" t="s">
        <v>315</v>
      </c>
    </row>
    <row r="30" spans="1:24" ht="91.95" customHeight="1" x14ac:dyDescent="0.3">
      <c r="A30" s="6" t="s">
        <v>316</v>
      </c>
      <c r="B30" s="14" t="str">
        <f>INDEX('Path Scorecard'!$Q$5:$Q$80,MATCH($I30,'Path Scorecard'!$H$5:$H$80,0))</f>
        <v>Probable Hero</v>
      </c>
      <c r="C30" s="6">
        <f>INDEX('Path Scorecard'!$AA$5:$AA$80,MATCH($I30,'Path Scorecard'!$H$5:$H$80,0))</f>
        <v>8</v>
      </c>
      <c r="D30" s="14" t="str">
        <f>INDEX('Path Scorecard'!$AB$5:$AB$80,MATCH($I30,'Path Scorecard'!$H$5:$H$80,0))</f>
        <v>Reserve</v>
      </c>
      <c r="E30" s="14" t="str">
        <f>INDEX('Path Scorecard'!$AC$5:$AC$80,MATCH($I30,'Path Scorecard'!$H$5:$H$80,0))</f>
        <v>BUILD</v>
      </c>
      <c r="F30" s="9">
        <f>INDEX('Path Scorecard'!$Z$5:$Z$80,MATCH($I30,'Path Scorecard'!$H$5:$H$80,0))</f>
        <v>82</v>
      </c>
      <c r="G30" s="8" t="s">
        <v>317</v>
      </c>
      <c r="H30" s="6">
        <v>3</v>
      </c>
      <c r="I30" s="6" t="s">
        <v>318</v>
      </c>
      <c r="J30" s="15">
        <v>173</v>
      </c>
      <c r="K30" s="15">
        <v>166</v>
      </c>
      <c r="L30" s="6" t="str">
        <f>INDEX('Path Scorecard'!$AD$5:$AD$80,MATCH($I30,'Path Scorecard'!$H$5:$H$80,0))</f>
        <v/>
      </c>
      <c r="M30" s="8" t="str">
        <f>INDEX('Path Scorecard'!$AE$5:$AE$80,MATCH($I30,'Path Scorecard'!$H$5:$H$80,0))</f>
        <v>Amazon</v>
      </c>
      <c r="N30" s="10" t="str">
        <f>INDEX('Path Scorecard'!$AF$5:$AF$80,MATCH($I30,'Path Scorecard'!$H$5:$H$80,0))</f>
        <v>Target</v>
      </c>
      <c r="O30" s="8" t="str">
        <f>INDEX('Path Scorecard'!$AG$5:$AG$80,MATCH($I30,'Path Scorecard'!$H$5:$H$80,0))</f>
        <v>Bellroy</v>
      </c>
      <c r="P30" s="10" t="str">
        <f>INDEX('Path Scorecard'!$AH$5:$AH$80,MATCH($I30,'Path Scorecard'!$H$5:$H$80,0))</f>
        <v>Nordstrom</v>
      </c>
      <c r="Q30" s="10" t="s">
        <v>319</v>
      </c>
      <c r="R30" s="10" t="s">
        <v>320</v>
      </c>
      <c r="S30" s="10" t="s">
        <v>321</v>
      </c>
      <c r="T30" s="10" t="s">
        <v>322</v>
      </c>
      <c r="U30" s="10" t="s">
        <v>323</v>
      </c>
      <c r="V30" s="10" t="s">
        <v>324</v>
      </c>
      <c r="W30" s="10" t="s">
        <v>325</v>
      </c>
      <c r="X30" s="10" t="s">
        <v>326</v>
      </c>
    </row>
    <row r="31" spans="1:24" ht="91.95" customHeight="1" x14ac:dyDescent="0.3">
      <c r="A31" s="6" t="s">
        <v>327</v>
      </c>
      <c r="B31" s="14" t="str">
        <f>INDEX('Path Scorecard'!$Q$5:$Q$80,MATCH($I31,'Path Scorecard'!$H$5:$H$80,0))</f>
        <v>Probable Hero</v>
      </c>
      <c r="C31" s="6">
        <f>INDEX('Path Scorecard'!$AA$5:$AA$80,MATCH($I31,'Path Scorecard'!$H$5:$H$80,0))</f>
        <v>9</v>
      </c>
      <c r="D31" s="14" t="str">
        <f>INDEX('Path Scorecard'!$AB$5:$AB$80,MATCH($I31,'Path Scorecard'!$H$5:$H$80,0))</f>
        <v>Reserve</v>
      </c>
      <c r="E31" s="14" t="str">
        <f>INDEX('Path Scorecard'!$AC$5:$AC$80,MATCH($I31,'Path Scorecard'!$H$5:$H$80,0))</f>
        <v>BUILD</v>
      </c>
      <c r="F31" s="9">
        <f>INDEX('Path Scorecard'!$Z$5:$Z$80,MATCH($I31,'Path Scorecard'!$H$5:$H$80,0))</f>
        <v>80</v>
      </c>
      <c r="G31" s="8" t="s">
        <v>328</v>
      </c>
      <c r="H31" s="6">
        <v>3</v>
      </c>
      <c r="I31" s="6" t="s">
        <v>329</v>
      </c>
      <c r="J31" s="15">
        <v>253</v>
      </c>
      <c r="K31" s="15">
        <v>0</v>
      </c>
      <c r="L31" s="6" t="str">
        <f>INDEX('Path Scorecard'!$AD$5:$AD$80,MATCH($I31,'Path Scorecard'!$H$5:$H$80,0))</f>
        <v/>
      </c>
      <c r="M31" s="8" t="str">
        <f>INDEX('Path Scorecard'!$AE$5:$AE$80,MATCH($I31,'Path Scorecard'!$H$5:$H$80,0))</f>
        <v>Amazon</v>
      </c>
      <c r="N31" s="10" t="str">
        <f>INDEX('Path Scorecard'!$AF$5:$AF$80,MATCH($I31,'Path Scorecard'!$H$5:$H$80,0))</f>
        <v>Target</v>
      </c>
      <c r="O31" s="8" t="str">
        <f>INDEX('Path Scorecard'!$AG$5:$AG$80,MATCH($I31,'Path Scorecard'!$H$5:$H$80,0))</f>
        <v>JetPens</v>
      </c>
      <c r="P31" s="10" t="str">
        <f>INDEX('Path Scorecard'!$AH$5:$AH$80,MATCH($I31,'Path Scorecard'!$H$5:$H$80,0))</f>
        <v>Kinokuniya</v>
      </c>
      <c r="Q31" s="10" t="s">
        <v>330</v>
      </c>
      <c r="R31" s="10" t="s">
        <v>331</v>
      </c>
      <c r="S31" s="10" t="s">
        <v>332</v>
      </c>
      <c r="T31" s="10" t="s">
        <v>333</v>
      </c>
      <c r="U31" s="10" t="s">
        <v>334</v>
      </c>
      <c r="V31" s="10" t="s">
        <v>335</v>
      </c>
      <c r="W31" s="10" t="s">
        <v>336</v>
      </c>
      <c r="X31" s="10" t="s">
        <v>337</v>
      </c>
    </row>
    <row r="32" spans="1:24" ht="91.95" customHeight="1" x14ac:dyDescent="0.3">
      <c r="A32" s="6" t="s">
        <v>338</v>
      </c>
      <c r="B32" s="14" t="str">
        <f>INDEX('Path Scorecard'!$Q$5:$Q$80,MATCH($I32,'Path Scorecard'!$H$5:$H$80,0))</f>
        <v>Probable Hero</v>
      </c>
      <c r="C32" s="6">
        <f>INDEX('Path Scorecard'!$AA$5:$AA$80,MATCH($I32,'Path Scorecard'!$H$5:$H$80,0))</f>
        <v>10</v>
      </c>
      <c r="D32" s="14" t="str">
        <f>INDEX('Path Scorecard'!$AB$5:$AB$80,MATCH($I32,'Path Scorecard'!$H$5:$H$80,0))</f>
        <v>Reserve</v>
      </c>
      <c r="E32" s="14" t="str">
        <f>INDEX('Path Scorecard'!$AC$5:$AC$80,MATCH($I32,'Path Scorecard'!$H$5:$H$80,0))</f>
        <v>BUILD</v>
      </c>
      <c r="F32" s="9">
        <f>INDEX('Path Scorecard'!$Z$5:$Z$80,MATCH($I32,'Path Scorecard'!$H$5:$H$80,0))</f>
        <v>80</v>
      </c>
      <c r="G32" s="8" t="s">
        <v>339</v>
      </c>
      <c r="H32" s="6">
        <v>4</v>
      </c>
      <c r="I32" s="6" t="s">
        <v>340</v>
      </c>
      <c r="J32" s="15">
        <v>203</v>
      </c>
      <c r="K32" s="15">
        <v>0</v>
      </c>
      <c r="L32" s="6" t="str">
        <f>INDEX('Path Scorecard'!$AD$5:$AD$80,MATCH($I32,'Path Scorecard'!$H$5:$H$80,0))</f>
        <v/>
      </c>
      <c r="M32" s="8" t="str">
        <f>INDEX('Path Scorecard'!$AE$5:$AE$80,MATCH($I32,'Path Scorecard'!$H$5:$H$80,0))</f>
        <v>Wayfair</v>
      </c>
      <c r="N32" s="10" t="str">
        <f>INDEX('Path Scorecard'!$AF$5:$AF$80,MATCH($I32,'Path Scorecard'!$H$5:$H$80,0))</f>
        <v>Amazon</v>
      </c>
      <c r="O32" s="8" t="str">
        <f>INDEX('Path Scorecard'!$AG$5:$AG$80,MATCH($I32,'Path Scorecard'!$H$5:$H$80,0))</f>
        <v>Michaels</v>
      </c>
      <c r="P32" s="10" t="str">
        <f>INDEX('Path Scorecard'!$AH$5:$AH$80,MATCH($I32,'Path Scorecard'!$H$5:$H$80,0))</f>
        <v>Anthropologie</v>
      </c>
      <c r="Q32" s="10" t="s">
        <v>341</v>
      </c>
      <c r="R32" s="10" t="s">
        <v>342</v>
      </c>
      <c r="S32" s="10" t="s">
        <v>343</v>
      </c>
      <c r="T32" s="10" t="s">
        <v>344</v>
      </c>
      <c r="U32" s="10" t="s">
        <v>345</v>
      </c>
      <c r="V32" s="10" t="s">
        <v>346</v>
      </c>
      <c r="W32" s="10" t="s">
        <v>347</v>
      </c>
      <c r="X32" s="10" t="s">
        <v>348</v>
      </c>
    </row>
    <row r="33" spans="1:24" ht="91.95" customHeight="1" x14ac:dyDescent="0.3">
      <c r="A33" s="6" t="s">
        <v>349</v>
      </c>
      <c r="B33" s="14" t="str">
        <f>INDEX('Path Scorecard'!$Q$5:$Q$80,MATCH($I33,'Path Scorecard'!$H$5:$H$80,0))</f>
        <v>Non-Hero</v>
      </c>
      <c r="C33" s="6">
        <f>INDEX('Path Scorecard'!$AA$5:$AA$80,MATCH($I33,'Path Scorecard'!$H$5:$H$80,0))</f>
        <v>7</v>
      </c>
      <c r="D33" s="14" t="str">
        <f>INDEX('Path Scorecard'!$AB$5:$AB$80,MATCH($I33,'Path Scorecard'!$H$5:$H$80,0))</f>
        <v>Reserve</v>
      </c>
      <c r="E33" s="14" t="str">
        <f>INDEX('Path Scorecard'!$AC$5:$AC$80,MATCH($I33,'Path Scorecard'!$H$5:$H$80,0))</f>
        <v>EXPLORE</v>
      </c>
      <c r="F33" s="9">
        <f>INDEX('Path Scorecard'!$Z$5:$Z$80,MATCH($I33,'Path Scorecard'!$H$5:$H$80,0))</f>
        <v>67</v>
      </c>
      <c r="G33" s="8" t="s">
        <v>350</v>
      </c>
      <c r="H33" s="6">
        <v>3</v>
      </c>
      <c r="I33" s="6" t="s">
        <v>351</v>
      </c>
      <c r="J33" s="15">
        <v>46</v>
      </c>
      <c r="K33" s="15">
        <v>0</v>
      </c>
      <c r="L33" s="6" t="str">
        <f>INDEX('Path Scorecard'!$AD$5:$AD$80,MATCH($I33,'Path Scorecard'!$H$5:$H$80,0))</f>
        <v/>
      </c>
      <c r="M33" s="8" t="str">
        <f>INDEX('Path Scorecard'!$AE$5:$AE$80,MATCH($I33,'Path Scorecard'!$H$5:$H$80,0))</f>
        <v>Target</v>
      </c>
      <c r="N33" s="10" t="str">
        <f>INDEX('Path Scorecard'!$AF$5:$AF$80,MATCH($I33,'Path Scorecard'!$H$5:$H$80,0))</f>
        <v>Amazon</v>
      </c>
      <c r="O33" s="8" t="str">
        <f>INDEX('Path Scorecard'!$AG$5:$AG$80,MATCH($I33,'Path Scorecard'!$H$5:$H$80,0))</f>
        <v>Vitruvi</v>
      </c>
      <c r="P33" s="10" t="str">
        <f>INDEX('Path Scorecard'!$AH$5:$AH$80,MATCH($I33,'Path Scorecard'!$H$5:$H$80,0))</f>
        <v>Anthropologie</v>
      </c>
      <c r="Q33" s="10" t="s">
        <v>352</v>
      </c>
      <c r="R33" s="10" t="s">
        <v>353</v>
      </c>
      <c r="S33" s="10" t="s">
        <v>354</v>
      </c>
      <c r="T33" s="10" t="s">
        <v>355</v>
      </c>
      <c r="U33" s="10" t="s">
        <v>356</v>
      </c>
      <c r="V33" s="10" t="s">
        <v>357</v>
      </c>
      <c r="W33" s="10" t="s">
        <v>358</v>
      </c>
      <c r="X33" s="10" t="s">
        <v>359</v>
      </c>
    </row>
    <row r="34" spans="1:24" ht="91.95" customHeight="1" x14ac:dyDescent="0.3">
      <c r="A34" s="6" t="s">
        <v>360</v>
      </c>
      <c r="B34" s="14" t="str">
        <f>INDEX('Path Scorecard'!$Q$5:$Q$80,MATCH($I34,'Path Scorecard'!$H$5:$H$80,0))</f>
        <v>Non-Hero</v>
      </c>
      <c r="C34" s="6">
        <f>INDEX('Path Scorecard'!$AA$5:$AA$80,MATCH($I34,'Path Scorecard'!$H$5:$H$80,0))</f>
        <v>8</v>
      </c>
      <c r="D34" s="14" t="str">
        <f>INDEX('Path Scorecard'!$AB$5:$AB$80,MATCH($I34,'Path Scorecard'!$H$5:$H$80,0))</f>
        <v>Reserve</v>
      </c>
      <c r="E34" s="14" t="str">
        <f>INDEX('Path Scorecard'!$AC$5:$AC$80,MATCH($I34,'Path Scorecard'!$H$5:$H$80,0))</f>
        <v>EXPLORE</v>
      </c>
      <c r="F34" s="9">
        <f>INDEX('Path Scorecard'!$Z$5:$Z$80,MATCH($I34,'Path Scorecard'!$H$5:$H$80,0))</f>
        <v>66</v>
      </c>
      <c r="G34" s="8" t="s">
        <v>361</v>
      </c>
      <c r="H34" s="6">
        <v>4</v>
      </c>
      <c r="I34" s="6" t="s">
        <v>362</v>
      </c>
      <c r="J34" s="15">
        <v>78</v>
      </c>
      <c r="K34" s="15">
        <v>0</v>
      </c>
      <c r="L34" s="6" t="str">
        <f>INDEX('Path Scorecard'!$AD$5:$AD$80,MATCH($I34,'Path Scorecard'!$H$5:$H$80,0))</f>
        <v/>
      </c>
      <c r="M34" s="8" t="str">
        <f>INDEX('Path Scorecard'!$AE$5:$AE$80,MATCH($I34,'Path Scorecard'!$H$5:$H$80,0))</f>
        <v>Amazon</v>
      </c>
      <c r="N34" s="10" t="str">
        <f>INDEX('Path Scorecard'!$AF$5:$AF$80,MATCH($I34,'Path Scorecard'!$H$5:$H$80,0))</f>
        <v>Dick's Sporting Goods</v>
      </c>
      <c r="O34" s="8" t="str">
        <f>INDEX('Path Scorecard'!$AG$5:$AG$80,MATCH($I34,'Path Scorecard'!$H$5:$H$80,0))</f>
        <v>Scheels</v>
      </c>
      <c r="P34" s="10" t="str">
        <f>INDEX('Path Scorecard'!$AH$5:$AH$80,MATCH($I34,'Path Scorecard'!$H$5:$H$80,0))</f>
        <v>Etsy</v>
      </c>
      <c r="Q34" s="10" t="s">
        <v>363</v>
      </c>
      <c r="R34" s="10" t="s">
        <v>364</v>
      </c>
      <c r="S34" s="10" t="s">
        <v>365</v>
      </c>
      <c r="T34" s="10" t="s">
        <v>366</v>
      </c>
      <c r="U34" s="10" t="s">
        <v>367</v>
      </c>
      <c r="V34" s="10" t="s">
        <v>368</v>
      </c>
      <c r="W34" s="10" t="s">
        <v>369</v>
      </c>
      <c r="X34" s="10" t="s">
        <v>370</v>
      </c>
    </row>
    <row r="35" spans="1:24" ht="91.95" customHeight="1" x14ac:dyDescent="0.3">
      <c r="A35" s="6" t="s">
        <v>371</v>
      </c>
      <c r="B35" s="14" t="str">
        <f>INDEX('Path Scorecard'!$Q$5:$Q$80,MATCH($I35,'Path Scorecard'!$H$5:$H$80,0))</f>
        <v>Non-Hero</v>
      </c>
      <c r="C35" s="6">
        <f>INDEX('Path Scorecard'!$AA$5:$AA$80,MATCH($I35,'Path Scorecard'!$H$5:$H$80,0))</f>
        <v>9</v>
      </c>
      <c r="D35" s="14" t="str">
        <f>INDEX('Path Scorecard'!$AB$5:$AB$80,MATCH($I35,'Path Scorecard'!$H$5:$H$80,0))</f>
        <v>Reserve</v>
      </c>
      <c r="E35" s="14" t="str">
        <f>INDEX('Path Scorecard'!$AC$5:$AC$80,MATCH($I35,'Path Scorecard'!$H$5:$H$80,0))</f>
        <v>EXPLORE</v>
      </c>
      <c r="F35" s="9">
        <f>INDEX('Path Scorecard'!$Z$5:$Z$80,MATCH($I35,'Path Scorecard'!$H$5:$H$80,0))</f>
        <v>64</v>
      </c>
      <c r="G35" s="8" t="s">
        <v>372</v>
      </c>
      <c r="H35" s="6">
        <v>3</v>
      </c>
      <c r="I35" s="6" t="s">
        <v>373</v>
      </c>
      <c r="J35" s="15">
        <v>203</v>
      </c>
      <c r="K35" s="15">
        <v>0</v>
      </c>
      <c r="L35" s="6" t="str">
        <f>INDEX('Path Scorecard'!$AD$5:$AD$80,MATCH($I35,'Path Scorecard'!$H$5:$H$80,0))</f>
        <v/>
      </c>
      <c r="M35" s="8" t="str">
        <f>INDEX('Path Scorecard'!$AE$5:$AE$80,MATCH($I35,'Path Scorecard'!$H$5:$H$80,0))</f>
        <v>Wayfair</v>
      </c>
      <c r="N35" s="10" t="str">
        <f>INDEX('Path Scorecard'!$AF$5:$AF$80,MATCH($I35,'Path Scorecard'!$H$5:$H$80,0))</f>
        <v>Amazon</v>
      </c>
      <c r="O35" s="8" t="str">
        <f>INDEX('Path Scorecard'!$AG$5:$AG$80,MATCH($I35,'Path Scorecard'!$H$5:$H$80,0))</f>
        <v>Article</v>
      </c>
      <c r="P35" s="10" t="str">
        <f>INDEX('Path Scorecard'!$AH$5:$AH$80,MATCH($I35,'Path Scorecard'!$H$5:$H$80,0))</f>
        <v>West Elm</v>
      </c>
      <c r="Q35" s="10" t="s">
        <v>374</v>
      </c>
      <c r="R35" s="10" t="s">
        <v>375</v>
      </c>
      <c r="S35" s="10" t="s">
        <v>376</v>
      </c>
      <c r="T35" s="10" t="s">
        <v>377</v>
      </c>
      <c r="U35" s="10" t="s">
        <v>35</v>
      </c>
      <c r="V35" s="10" t="s">
        <v>378</v>
      </c>
      <c r="W35" s="10" t="s">
        <v>379</v>
      </c>
      <c r="X35" s="10" t="s">
        <v>380</v>
      </c>
    </row>
  </sheetData>
  <autoFilter ref="A4:X24" xr:uid="{00000000-0009-0000-0000-000001000000}"/>
  <conditionalFormatting sqref="B5:B24">
    <cfRule type="expression" dxfId="51" priority="1">
      <formula>$B5="Hero"</formula>
    </cfRule>
    <cfRule type="expression" dxfId="50" priority="2">
      <formula>$B5="Probable Hero"</formula>
    </cfRule>
    <cfRule type="expression" dxfId="49" priority="3">
      <formula>$B5="Non-Hero"</formula>
    </cfRule>
  </conditionalFormatting>
  <conditionalFormatting sqref="B27:B35">
    <cfRule type="expression" dxfId="48" priority="9">
      <formula>$B27="Hero"</formula>
    </cfRule>
    <cfRule type="expression" dxfId="47" priority="10">
      <formula>$B27="Probable Hero"</formula>
    </cfRule>
    <cfRule type="expression" dxfId="46" priority="11">
      <formula>$B27="Non-Hero"</formula>
    </cfRule>
  </conditionalFormatting>
  <conditionalFormatting sqref="D5:D24">
    <cfRule type="expression" dxfId="45" priority="4">
      <formula>LEFT($D5,11)="Recommended"</formula>
    </cfRule>
    <cfRule type="expression" dxfId="44" priority="5">
      <formula>LEFT($D5,7)="Reserve"</formula>
    </cfRule>
    <cfRule type="expression" dxfId="43" priority="6">
      <formula>LEFT($D5,7)="Backlog"</formula>
    </cfRule>
    <cfRule type="expression" dxfId="42" priority="7">
      <formula>LEFT($D5,7)="Protect"</formula>
    </cfRule>
    <cfRule type="expression" dxfId="41" priority="8">
      <formula>LEFT($D5,6)="Parked"</formula>
    </cfRule>
  </conditionalFormatting>
  <conditionalFormatting sqref="D27:D35">
    <cfRule type="expression" dxfId="40" priority="12">
      <formula>LEFT($D27,11)="Recommended"</formula>
    </cfRule>
    <cfRule type="expression" dxfId="39" priority="13">
      <formula>LEFT($D27,7)="Reserve"</formula>
    </cfRule>
    <cfRule type="expression" dxfId="38" priority="14">
      <formula>LEFT($D27,7)="Backlog"</formula>
    </cfRule>
    <cfRule type="expression" dxfId="37" priority="15">
      <formula>LEFT($D27,7)="Protect"</formula>
    </cfRule>
    <cfRule type="expression" dxfId="36" priority="16">
      <formula>LEFT($D27,6)="Parked"</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A78D6"/>
  </sheetPr>
  <dimension ref="A1:P51"/>
  <sheetViews>
    <sheetView showGridLines="0" workbookViewId="0"/>
  </sheetViews>
  <sheetFormatPr defaultRowHeight="14.4" x14ac:dyDescent="0.3"/>
  <cols>
    <col min="1" max="1" width="3" customWidth="1"/>
  </cols>
  <sheetData>
    <row r="1" spans="1:1" ht="21" x14ac:dyDescent="0.4">
      <c r="A1" s="1" t="s">
        <v>381</v>
      </c>
    </row>
    <row r="2" spans="1:1" x14ac:dyDescent="0.3">
      <c r="A2" s="2" t="s">
        <v>382</v>
      </c>
    </row>
    <row r="49" spans="2:16" ht="30" customHeight="1" x14ac:dyDescent="0.3">
      <c r="B49" s="31" t="s">
        <v>383</v>
      </c>
      <c r="C49" s="30"/>
      <c r="D49" s="30"/>
      <c r="E49" s="30"/>
      <c r="F49" s="30"/>
      <c r="G49" s="30"/>
      <c r="H49" s="30"/>
      <c r="I49" s="30"/>
      <c r="J49" s="30"/>
      <c r="K49" s="30"/>
      <c r="L49" s="30"/>
      <c r="M49" s="30"/>
      <c r="N49" s="30"/>
      <c r="O49" s="30"/>
      <c r="P49" s="30"/>
    </row>
    <row r="50" spans="2:16" ht="30" customHeight="1" x14ac:dyDescent="0.3">
      <c r="B50" s="31" t="s">
        <v>384</v>
      </c>
      <c r="C50" s="30"/>
      <c r="D50" s="30"/>
      <c r="E50" s="30"/>
      <c r="F50" s="30"/>
      <c r="G50" s="30"/>
      <c r="H50" s="30"/>
      <c r="I50" s="30"/>
      <c r="J50" s="30"/>
      <c r="K50" s="30"/>
      <c r="L50" s="30"/>
      <c r="M50" s="30"/>
      <c r="N50" s="30"/>
      <c r="O50" s="30"/>
      <c r="P50" s="30"/>
    </row>
    <row r="51" spans="2:16" ht="30" customHeight="1" x14ac:dyDescent="0.3">
      <c r="B51" s="31" t="s">
        <v>385</v>
      </c>
      <c r="C51" s="30"/>
      <c r="D51" s="30"/>
      <c r="E51" s="30"/>
      <c r="F51" s="30"/>
      <c r="G51" s="30"/>
      <c r="H51" s="30"/>
      <c r="I51" s="30"/>
      <c r="J51" s="30"/>
      <c r="K51" s="30"/>
      <c r="L51" s="30"/>
      <c r="M51" s="30"/>
      <c r="N51" s="30"/>
      <c r="O51" s="30"/>
      <c r="P51" s="30"/>
    </row>
  </sheetData>
  <mergeCells count="3">
    <mergeCell ref="B51:P51"/>
    <mergeCell ref="B49:P49"/>
    <mergeCell ref="B50:P50"/>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A78D6"/>
  </sheetPr>
  <dimension ref="A1:J55"/>
  <sheetViews>
    <sheetView showGridLines="0" workbookViewId="0"/>
  </sheetViews>
  <sheetFormatPr defaultRowHeight="14.4" x14ac:dyDescent="0.3"/>
  <cols>
    <col min="1" max="1" width="8" customWidth="1"/>
    <col min="2" max="2" width="30" customWidth="1"/>
    <col min="3" max="3" width="46" customWidth="1"/>
    <col min="4" max="4" width="9" customWidth="1"/>
    <col min="5" max="9" width="22" customWidth="1"/>
    <col min="10" max="10" width="26" customWidth="1"/>
  </cols>
  <sheetData>
    <row r="1" spans="1:9" ht="21" x14ac:dyDescent="0.4">
      <c r="A1" s="1" t="s">
        <v>386</v>
      </c>
    </row>
    <row r="2" spans="1:9" x14ac:dyDescent="0.3">
      <c r="A2" s="2" t="s">
        <v>387</v>
      </c>
    </row>
    <row r="4" spans="1:9" ht="15.6" x14ac:dyDescent="0.3">
      <c r="A4" s="4" t="s">
        <v>388</v>
      </c>
    </row>
    <row r="5" spans="1:9" ht="30" customHeight="1" x14ac:dyDescent="0.3">
      <c r="A5" s="5" t="s">
        <v>389</v>
      </c>
      <c r="B5" s="5" t="s">
        <v>390</v>
      </c>
      <c r="C5" s="5" t="s">
        <v>391</v>
      </c>
      <c r="D5" s="5" t="s">
        <v>392</v>
      </c>
      <c r="E5" s="36" t="s">
        <v>393</v>
      </c>
      <c r="F5" s="34"/>
      <c r="G5" s="34"/>
      <c r="H5" s="34"/>
      <c r="I5" s="35"/>
    </row>
    <row r="6" spans="1:9" ht="48" customHeight="1" x14ac:dyDescent="0.3">
      <c r="A6" s="16" t="s">
        <v>394</v>
      </c>
      <c r="B6" s="10" t="s">
        <v>395</v>
      </c>
      <c r="C6" s="10" t="s">
        <v>396</v>
      </c>
      <c r="D6" s="8" t="s">
        <v>397</v>
      </c>
      <c r="E6" s="33" t="s">
        <v>398</v>
      </c>
      <c r="F6" s="34"/>
      <c r="G6" s="34"/>
      <c r="H6" s="34"/>
      <c r="I6" s="35"/>
    </row>
    <row r="7" spans="1:9" ht="48" customHeight="1" x14ac:dyDescent="0.3">
      <c r="A7" s="17" t="s">
        <v>399</v>
      </c>
      <c r="B7" s="10" t="s">
        <v>400</v>
      </c>
      <c r="C7" s="10" t="s">
        <v>401</v>
      </c>
      <c r="D7" s="8" t="s">
        <v>402</v>
      </c>
      <c r="E7" s="33" t="s">
        <v>403</v>
      </c>
      <c r="F7" s="34"/>
      <c r="G7" s="34"/>
      <c r="H7" s="34"/>
      <c r="I7" s="35"/>
    </row>
    <row r="8" spans="1:9" ht="48" customHeight="1" x14ac:dyDescent="0.3">
      <c r="A8" s="18" t="s">
        <v>404</v>
      </c>
      <c r="B8" s="10" t="s">
        <v>405</v>
      </c>
      <c r="C8" s="10" t="s">
        <v>406</v>
      </c>
      <c r="D8" s="8" t="s">
        <v>407</v>
      </c>
      <c r="E8" s="33" t="s">
        <v>408</v>
      </c>
      <c r="F8" s="34"/>
      <c r="G8" s="34"/>
      <c r="H8" s="34"/>
      <c r="I8" s="35"/>
    </row>
    <row r="10" spans="1:9" ht="15.6" x14ac:dyDescent="0.3">
      <c r="A10" s="4" t="s">
        <v>409</v>
      </c>
    </row>
    <row r="11" spans="1:9" ht="30" customHeight="1" x14ac:dyDescent="0.3">
      <c r="A11" s="3" t="s">
        <v>410</v>
      </c>
      <c r="B11" s="31" t="s">
        <v>411</v>
      </c>
      <c r="C11" s="30"/>
      <c r="D11" s="30"/>
      <c r="E11" s="30"/>
      <c r="F11" s="30"/>
      <c r="G11" s="30"/>
      <c r="H11" s="30"/>
      <c r="I11" s="30"/>
    </row>
    <row r="12" spans="1:9" ht="30" customHeight="1" x14ac:dyDescent="0.3">
      <c r="A12" s="3" t="s">
        <v>412</v>
      </c>
      <c r="B12" s="31" t="s">
        <v>413</v>
      </c>
      <c r="C12" s="30"/>
      <c r="D12" s="30"/>
      <c r="E12" s="30"/>
      <c r="F12" s="30"/>
      <c r="G12" s="30"/>
      <c r="H12" s="30"/>
      <c r="I12" s="30"/>
    </row>
    <row r="13" spans="1:9" ht="30" customHeight="1" x14ac:dyDescent="0.3">
      <c r="A13" s="3" t="s">
        <v>414</v>
      </c>
      <c r="B13" s="31" t="s">
        <v>415</v>
      </c>
      <c r="C13" s="30"/>
      <c r="D13" s="30"/>
      <c r="E13" s="30"/>
      <c r="F13" s="30"/>
      <c r="G13" s="30"/>
      <c r="H13" s="30"/>
      <c r="I13" s="30"/>
    </row>
    <row r="14" spans="1:9" ht="30" customHeight="1" x14ac:dyDescent="0.3">
      <c r="A14" s="3" t="s">
        <v>416</v>
      </c>
      <c r="B14" s="31" t="s">
        <v>417</v>
      </c>
      <c r="C14" s="30"/>
      <c r="D14" s="30"/>
      <c r="E14" s="30"/>
      <c r="F14" s="30"/>
      <c r="G14" s="30"/>
      <c r="H14" s="30"/>
      <c r="I14" s="30"/>
    </row>
    <row r="15" spans="1:9" ht="30" customHeight="1" x14ac:dyDescent="0.3">
      <c r="A15" s="3" t="s">
        <v>418</v>
      </c>
      <c r="B15" s="31" t="s">
        <v>419</v>
      </c>
      <c r="C15" s="30"/>
      <c r="D15" s="30"/>
      <c r="E15" s="30"/>
      <c r="F15" s="30"/>
      <c r="G15" s="30"/>
      <c r="H15" s="30"/>
      <c r="I15" s="30"/>
    </row>
    <row r="17" spans="1:10" ht="15.6" x14ac:dyDescent="0.3">
      <c r="A17" s="4" t="s">
        <v>420</v>
      </c>
    </row>
    <row r="18" spans="1:10" ht="30" customHeight="1" x14ac:dyDescent="0.3">
      <c r="A18" s="5" t="s">
        <v>421</v>
      </c>
      <c r="B18" s="5" t="s">
        <v>422</v>
      </c>
      <c r="C18" s="5" t="s">
        <v>423</v>
      </c>
      <c r="D18" s="5" t="s">
        <v>424</v>
      </c>
      <c r="E18" s="5" t="s">
        <v>425</v>
      </c>
      <c r="F18" s="5" t="s">
        <v>426</v>
      </c>
      <c r="G18" s="5" t="s">
        <v>427</v>
      </c>
      <c r="H18" s="5" t="s">
        <v>428</v>
      </c>
      <c r="I18" s="5" t="s">
        <v>429</v>
      </c>
      <c r="J18" s="5" t="s">
        <v>430</v>
      </c>
    </row>
    <row r="19" spans="1:10" ht="43.95" customHeight="1" x14ac:dyDescent="0.3">
      <c r="A19" s="8" t="s">
        <v>431</v>
      </c>
      <c r="B19" s="8" t="s">
        <v>432</v>
      </c>
      <c r="C19" s="10" t="s">
        <v>433</v>
      </c>
      <c r="D19" s="19">
        <v>30</v>
      </c>
      <c r="E19" s="10" t="s">
        <v>434</v>
      </c>
      <c r="F19" s="10" t="s">
        <v>435</v>
      </c>
      <c r="G19" s="10" t="s">
        <v>436</v>
      </c>
      <c r="H19" s="10" t="s">
        <v>437</v>
      </c>
      <c r="I19" s="10" t="s">
        <v>438</v>
      </c>
      <c r="J19" s="10" t="s">
        <v>439</v>
      </c>
    </row>
    <row r="20" spans="1:10" ht="43.95" customHeight="1" x14ac:dyDescent="0.3">
      <c r="A20" s="8" t="s">
        <v>440</v>
      </c>
      <c r="B20" s="8" t="s">
        <v>441</v>
      </c>
      <c r="C20" s="10" t="s">
        <v>442</v>
      </c>
      <c r="D20" s="19">
        <v>15</v>
      </c>
      <c r="E20" s="10" t="s">
        <v>443</v>
      </c>
      <c r="F20" s="10" t="s">
        <v>444</v>
      </c>
      <c r="G20" s="10" t="s">
        <v>443</v>
      </c>
      <c r="H20" s="10" t="s">
        <v>443</v>
      </c>
      <c r="I20" s="10" t="s">
        <v>445</v>
      </c>
      <c r="J20" s="10" t="s">
        <v>446</v>
      </c>
    </row>
    <row r="21" spans="1:10" ht="43.95" customHeight="1" x14ac:dyDescent="0.3">
      <c r="A21" s="8" t="s">
        <v>447</v>
      </c>
      <c r="B21" s="8" t="s">
        <v>448</v>
      </c>
      <c r="C21" s="10" t="s">
        <v>449</v>
      </c>
      <c r="D21" s="19">
        <v>25</v>
      </c>
      <c r="E21" s="10" t="s">
        <v>450</v>
      </c>
      <c r="F21" s="10" t="s">
        <v>451</v>
      </c>
      <c r="G21" s="10" t="s">
        <v>452</v>
      </c>
      <c r="H21" s="10" t="s">
        <v>453</v>
      </c>
      <c r="I21" s="10" t="s">
        <v>454</v>
      </c>
      <c r="J21" s="10" t="s">
        <v>455</v>
      </c>
    </row>
    <row r="22" spans="1:10" ht="43.95" customHeight="1" x14ac:dyDescent="0.3">
      <c r="A22" s="8" t="s">
        <v>456</v>
      </c>
      <c r="B22" s="8" t="s">
        <v>457</v>
      </c>
      <c r="C22" s="10" t="s">
        <v>458</v>
      </c>
      <c r="D22" s="19">
        <v>30</v>
      </c>
      <c r="E22" s="10" t="s">
        <v>459</v>
      </c>
      <c r="F22" s="10" t="s">
        <v>460</v>
      </c>
      <c r="G22" s="10" t="s">
        <v>461</v>
      </c>
      <c r="H22" s="10" t="s">
        <v>462</v>
      </c>
      <c r="I22" s="10" t="s">
        <v>463</v>
      </c>
      <c r="J22" s="10" t="s">
        <v>464</v>
      </c>
    </row>
    <row r="23" spans="1:10" x14ac:dyDescent="0.3">
      <c r="C23" s="8" t="s">
        <v>465</v>
      </c>
      <c r="D23" s="14">
        <f>SUM(D19:D22)</f>
        <v>100</v>
      </c>
      <c r="E23" s="37" t="s">
        <v>466</v>
      </c>
      <c r="F23" s="34"/>
      <c r="G23" s="34"/>
      <c r="H23" s="34"/>
      <c r="I23" s="35"/>
    </row>
    <row r="25" spans="1:10" ht="15.6" x14ac:dyDescent="0.3">
      <c r="A25" s="4" t="s">
        <v>467</v>
      </c>
    </row>
    <row r="26" spans="1:10" ht="30" customHeight="1" x14ac:dyDescent="0.3">
      <c r="A26" s="5" t="s">
        <v>421</v>
      </c>
      <c r="B26" s="5" t="s">
        <v>422</v>
      </c>
      <c r="C26" s="5" t="s">
        <v>423</v>
      </c>
      <c r="D26" s="5" t="s">
        <v>424</v>
      </c>
      <c r="E26" s="5" t="s">
        <v>425</v>
      </c>
      <c r="F26" s="5" t="s">
        <v>426</v>
      </c>
      <c r="G26" s="5" t="s">
        <v>427</v>
      </c>
      <c r="H26" s="5" t="s">
        <v>428</v>
      </c>
      <c r="I26" s="5" t="s">
        <v>429</v>
      </c>
      <c r="J26" s="5" t="s">
        <v>430</v>
      </c>
    </row>
    <row r="27" spans="1:10" ht="43.95" customHeight="1" x14ac:dyDescent="0.3">
      <c r="A27" s="8" t="s">
        <v>468</v>
      </c>
      <c r="B27" s="8" t="s">
        <v>469</v>
      </c>
      <c r="C27" s="10" t="s">
        <v>470</v>
      </c>
      <c r="D27" s="19">
        <v>35</v>
      </c>
      <c r="E27" s="10" t="s">
        <v>471</v>
      </c>
      <c r="F27" s="10" t="s">
        <v>472</v>
      </c>
      <c r="G27" s="10" t="s">
        <v>473</v>
      </c>
      <c r="H27" s="10" t="s">
        <v>474</v>
      </c>
      <c r="I27" s="10" t="s">
        <v>475</v>
      </c>
      <c r="J27" s="10" t="s">
        <v>476</v>
      </c>
    </row>
    <row r="28" spans="1:10" ht="43.95" customHeight="1" x14ac:dyDescent="0.3">
      <c r="A28" s="8" t="s">
        <v>477</v>
      </c>
      <c r="B28" s="8" t="s">
        <v>478</v>
      </c>
      <c r="C28" s="10" t="s">
        <v>479</v>
      </c>
      <c r="D28" s="19">
        <v>25</v>
      </c>
      <c r="E28" s="10" t="s">
        <v>480</v>
      </c>
      <c r="F28" s="10" t="s">
        <v>481</v>
      </c>
      <c r="G28" s="10" t="s">
        <v>482</v>
      </c>
      <c r="H28" s="10" t="s">
        <v>483</v>
      </c>
      <c r="I28" s="10" t="s">
        <v>484</v>
      </c>
      <c r="J28" s="10" t="s">
        <v>485</v>
      </c>
    </row>
    <row r="29" spans="1:10" ht="43.95" customHeight="1" x14ac:dyDescent="0.3">
      <c r="A29" s="8" t="s">
        <v>486</v>
      </c>
      <c r="B29" s="8" t="s">
        <v>487</v>
      </c>
      <c r="C29" s="10" t="s">
        <v>488</v>
      </c>
      <c r="D29" s="19">
        <v>25</v>
      </c>
      <c r="E29" s="10" t="s">
        <v>489</v>
      </c>
      <c r="F29" s="10" t="s">
        <v>490</v>
      </c>
      <c r="G29" s="10" t="s">
        <v>491</v>
      </c>
      <c r="H29" s="10" t="s">
        <v>492</v>
      </c>
      <c r="I29" s="10" t="s">
        <v>493</v>
      </c>
      <c r="J29" s="10" t="s">
        <v>494</v>
      </c>
    </row>
    <row r="30" spans="1:10" ht="43.95" customHeight="1" x14ac:dyDescent="0.3">
      <c r="A30" s="8" t="s">
        <v>495</v>
      </c>
      <c r="B30" s="8" t="s">
        <v>496</v>
      </c>
      <c r="C30" s="10" t="s">
        <v>497</v>
      </c>
      <c r="D30" s="19">
        <v>15</v>
      </c>
      <c r="E30" s="10" t="s">
        <v>498</v>
      </c>
      <c r="F30" s="10" t="s">
        <v>499</v>
      </c>
      <c r="G30" s="10" t="s">
        <v>500</v>
      </c>
      <c r="H30" s="10" t="s">
        <v>501</v>
      </c>
      <c r="I30" s="10" t="s">
        <v>502</v>
      </c>
      <c r="J30" s="10" t="s">
        <v>503</v>
      </c>
    </row>
    <row r="31" spans="1:10" x14ac:dyDescent="0.3">
      <c r="C31" s="8" t="s">
        <v>465</v>
      </c>
      <c r="D31" s="14">
        <f>SUM(D27:D30)</f>
        <v>100</v>
      </c>
      <c r="E31" s="37" t="s">
        <v>466</v>
      </c>
      <c r="F31" s="34"/>
      <c r="G31" s="34"/>
      <c r="H31" s="34"/>
      <c r="I31" s="35"/>
    </row>
    <row r="33" spans="1:9" ht="15.6" x14ac:dyDescent="0.3">
      <c r="A33" s="4" t="s">
        <v>504</v>
      </c>
    </row>
    <row r="34" spans="1:9" ht="30" customHeight="1" x14ac:dyDescent="0.3">
      <c r="A34" s="5" t="s">
        <v>421</v>
      </c>
      <c r="B34" s="5" t="s">
        <v>505</v>
      </c>
      <c r="C34" s="5" t="s">
        <v>506</v>
      </c>
      <c r="D34" s="36" t="s">
        <v>507</v>
      </c>
      <c r="E34" s="34"/>
      <c r="F34" s="34"/>
      <c r="G34" s="34"/>
      <c r="H34" s="34"/>
      <c r="I34" s="35"/>
    </row>
    <row r="35" spans="1:9" x14ac:dyDescent="0.3">
      <c r="A35" s="8" t="s">
        <v>508</v>
      </c>
      <c r="B35" s="10" t="s">
        <v>509</v>
      </c>
      <c r="C35" s="19">
        <v>65</v>
      </c>
      <c r="D35" s="33" t="s">
        <v>510</v>
      </c>
      <c r="E35" s="34"/>
      <c r="F35" s="34"/>
      <c r="G35" s="34"/>
      <c r="H35" s="34"/>
      <c r="I35" s="35"/>
    </row>
    <row r="36" spans="1:9" x14ac:dyDescent="0.3">
      <c r="A36" s="8" t="s">
        <v>511</v>
      </c>
      <c r="B36" s="10" t="s">
        <v>512</v>
      </c>
      <c r="C36" s="19">
        <v>65</v>
      </c>
      <c r="D36" s="33" t="s">
        <v>513</v>
      </c>
      <c r="E36" s="34"/>
      <c r="F36" s="34"/>
      <c r="G36" s="34"/>
      <c r="H36" s="34"/>
      <c r="I36" s="35"/>
    </row>
    <row r="37" spans="1:9" x14ac:dyDescent="0.3">
      <c r="A37" s="8" t="s">
        <v>514</v>
      </c>
      <c r="B37" s="10" t="s">
        <v>515</v>
      </c>
      <c r="C37" s="19">
        <v>2</v>
      </c>
      <c r="D37" s="33" t="s">
        <v>516</v>
      </c>
      <c r="E37" s="34"/>
      <c r="F37" s="34"/>
      <c r="G37" s="34"/>
      <c r="H37" s="34"/>
      <c r="I37" s="35"/>
    </row>
    <row r="38" spans="1:9" x14ac:dyDescent="0.3">
      <c r="A38" s="8" t="s">
        <v>517</v>
      </c>
      <c r="B38" s="10" t="s">
        <v>518</v>
      </c>
      <c r="C38" s="19">
        <v>7</v>
      </c>
      <c r="D38" s="33" t="s">
        <v>519</v>
      </c>
      <c r="E38" s="34"/>
      <c r="F38" s="34"/>
      <c r="G38" s="34"/>
      <c r="H38" s="34"/>
      <c r="I38" s="35"/>
    </row>
    <row r="39" spans="1:9" x14ac:dyDescent="0.3">
      <c r="A39" s="8" t="s">
        <v>520</v>
      </c>
      <c r="B39" s="10" t="s">
        <v>521</v>
      </c>
      <c r="C39" s="19">
        <v>7</v>
      </c>
      <c r="D39" s="33"/>
      <c r="E39" s="34"/>
      <c r="F39" s="34"/>
      <c r="G39" s="34"/>
      <c r="H39" s="34"/>
      <c r="I39" s="35"/>
    </row>
    <row r="40" spans="1:9" x14ac:dyDescent="0.3">
      <c r="A40" s="8" t="s">
        <v>522</v>
      </c>
      <c r="B40" s="10" t="s">
        <v>523</v>
      </c>
      <c r="C40" s="19">
        <v>6</v>
      </c>
      <c r="D40" s="33"/>
      <c r="E40" s="34"/>
      <c r="F40" s="34"/>
      <c r="G40" s="34"/>
      <c r="H40" s="34"/>
      <c r="I40" s="35"/>
    </row>
    <row r="41" spans="1:9" x14ac:dyDescent="0.3">
      <c r="A41" s="8" t="s">
        <v>524</v>
      </c>
      <c r="B41" s="10" t="s">
        <v>525</v>
      </c>
      <c r="C41" s="19">
        <v>3</v>
      </c>
      <c r="D41" s="33" t="s">
        <v>526</v>
      </c>
      <c r="E41" s="34"/>
      <c r="F41" s="34"/>
      <c r="G41" s="34"/>
      <c r="H41" s="34"/>
      <c r="I41" s="35"/>
    </row>
    <row r="42" spans="1:9" x14ac:dyDescent="0.3">
      <c r="A42" s="8" t="s">
        <v>527</v>
      </c>
      <c r="B42" s="10" t="s">
        <v>528</v>
      </c>
      <c r="C42" s="19">
        <v>1000</v>
      </c>
      <c r="D42" s="33"/>
      <c r="E42" s="34"/>
      <c r="F42" s="34"/>
      <c r="G42" s="34"/>
      <c r="H42" s="34"/>
      <c r="I42" s="35"/>
    </row>
    <row r="43" spans="1:9" x14ac:dyDescent="0.3">
      <c r="A43" s="8" t="s">
        <v>529</v>
      </c>
      <c r="B43" s="10" t="s">
        <v>530</v>
      </c>
      <c r="C43" s="19">
        <v>500</v>
      </c>
      <c r="D43" s="33"/>
      <c r="E43" s="34"/>
      <c r="F43" s="34"/>
      <c r="G43" s="34"/>
      <c r="H43" s="34"/>
      <c r="I43" s="35"/>
    </row>
    <row r="44" spans="1:9" x14ac:dyDescent="0.3">
      <c r="A44" s="8" t="s">
        <v>531</v>
      </c>
      <c r="B44" s="10" t="s">
        <v>532</v>
      </c>
      <c r="C44" s="19">
        <v>200</v>
      </c>
      <c r="D44" s="33"/>
      <c r="E44" s="34"/>
      <c r="F44" s="34"/>
      <c r="G44" s="34"/>
      <c r="H44" s="34"/>
      <c r="I44" s="35"/>
    </row>
    <row r="45" spans="1:9" x14ac:dyDescent="0.3">
      <c r="A45" s="8" t="s">
        <v>533</v>
      </c>
      <c r="B45" s="10" t="s">
        <v>534</v>
      </c>
      <c r="C45" s="19">
        <v>75</v>
      </c>
      <c r="D45" s="33"/>
      <c r="E45" s="34"/>
      <c r="F45" s="34"/>
      <c r="G45" s="34"/>
      <c r="H45" s="34"/>
      <c r="I45" s="35"/>
    </row>
    <row r="46" spans="1:9" ht="26.4" x14ac:dyDescent="0.3">
      <c r="A46" s="8" t="s">
        <v>535</v>
      </c>
      <c r="B46" s="10" t="s">
        <v>536</v>
      </c>
      <c r="C46" s="19">
        <v>5</v>
      </c>
      <c r="D46" s="33"/>
      <c r="E46" s="34"/>
      <c r="F46" s="34"/>
      <c r="G46" s="34"/>
      <c r="H46" s="34"/>
      <c r="I46" s="35"/>
    </row>
    <row r="47" spans="1:9" x14ac:dyDescent="0.3">
      <c r="A47" s="8" t="s">
        <v>537</v>
      </c>
      <c r="B47" s="10" t="s">
        <v>538</v>
      </c>
      <c r="C47" s="19">
        <v>2</v>
      </c>
      <c r="D47" s="33"/>
      <c r="E47" s="34"/>
      <c r="F47" s="34"/>
      <c r="G47" s="34"/>
      <c r="H47" s="34"/>
      <c r="I47" s="35"/>
    </row>
    <row r="48" spans="1:9" x14ac:dyDescent="0.3">
      <c r="B48" s="8" t="s">
        <v>539</v>
      </c>
      <c r="C48" s="14">
        <f>SUM(C38:C40)</f>
        <v>20</v>
      </c>
      <c r="D48" s="38" t="str">
        <f>IF(AND(MIN(C38:C40)&gt;=6,SUM(C38:C40)=20),"OK: 20 shelves, at least 6 per segment","Check: the brief asks for 20 shelves with at least 6 per segment")</f>
        <v>OK: 20 shelves, at least 6 per segment</v>
      </c>
      <c r="E48" s="34"/>
      <c r="F48" s="34"/>
      <c r="G48" s="34"/>
      <c r="H48" s="34"/>
      <c r="I48" s="35"/>
    </row>
    <row r="50" spans="1:9" ht="15.6" x14ac:dyDescent="0.3">
      <c r="A50" s="4" t="s">
        <v>540</v>
      </c>
    </row>
    <row r="51" spans="1:9" ht="30" customHeight="1" x14ac:dyDescent="0.3">
      <c r="A51" s="5" t="s">
        <v>389</v>
      </c>
      <c r="B51" s="5" t="s">
        <v>392</v>
      </c>
      <c r="C51" s="5" t="s">
        <v>541</v>
      </c>
      <c r="D51" s="36" t="s">
        <v>393</v>
      </c>
      <c r="E51" s="34"/>
      <c r="F51" s="34"/>
      <c r="G51" s="34"/>
      <c r="H51" s="34"/>
      <c r="I51" s="35"/>
    </row>
    <row r="52" spans="1:9" ht="36" customHeight="1" x14ac:dyDescent="0.3">
      <c r="A52" s="16" t="s">
        <v>394</v>
      </c>
      <c r="B52" s="8" t="s">
        <v>542</v>
      </c>
      <c r="C52" s="10" t="s">
        <v>543</v>
      </c>
      <c r="D52" s="33" t="s">
        <v>544</v>
      </c>
      <c r="E52" s="34"/>
      <c r="F52" s="34"/>
      <c r="G52" s="34"/>
      <c r="H52" s="34"/>
      <c r="I52" s="35"/>
    </row>
    <row r="53" spans="1:9" ht="36" customHeight="1" x14ac:dyDescent="0.3">
      <c r="A53" s="16" t="s">
        <v>394</v>
      </c>
      <c r="B53" s="8" t="s">
        <v>545</v>
      </c>
      <c r="C53" s="10" t="s">
        <v>546</v>
      </c>
      <c r="D53" s="33" t="s">
        <v>547</v>
      </c>
      <c r="E53" s="34"/>
      <c r="F53" s="34"/>
      <c r="G53" s="34"/>
      <c r="H53" s="34"/>
      <c r="I53" s="35"/>
    </row>
    <row r="54" spans="1:9" ht="36" customHeight="1" x14ac:dyDescent="0.3">
      <c r="A54" s="17" t="s">
        <v>399</v>
      </c>
      <c r="B54" s="8" t="s">
        <v>402</v>
      </c>
      <c r="C54" s="10" t="s">
        <v>548</v>
      </c>
      <c r="D54" s="33" t="s">
        <v>549</v>
      </c>
      <c r="E54" s="34"/>
      <c r="F54" s="34"/>
      <c r="G54" s="34"/>
      <c r="H54" s="34"/>
      <c r="I54" s="35"/>
    </row>
    <row r="55" spans="1:9" ht="36" customHeight="1" x14ac:dyDescent="0.3">
      <c r="A55" s="18" t="s">
        <v>404</v>
      </c>
      <c r="B55" s="8" t="s">
        <v>407</v>
      </c>
      <c r="C55" s="10" t="s">
        <v>550</v>
      </c>
      <c r="D55" s="33" t="s">
        <v>551</v>
      </c>
      <c r="E55" s="34"/>
      <c r="F55" s="34"/>
      <c r="G55" s="34"/>
      <c r="H55" s="34"/>
      <c r="I55" s="35"/>
    </row>
  </sheetData>
  <mergeCells count="31">
    <mergeCell ref="E5:I5"/>
    <mergeCell ref="E23:I23"/>
    <mergeCell ref="D48:I48"/>
    <mergeCell ref="E8:I8"/>
    <mergeCell ref="D53:I53"/>
    <mergeCell ref="D47:I47"/>
    <mergeCell ref="B12:I12"/>
    <mergeCell ref="D43:I43"/>
    <mergeCell ref="B11:I11"/>
    <mergeCell ref="D37:I37"/>
    <mergeCell ref="B14:I14"/>
    <mergeCell ref="E31:I31"/>
    <mergeCell ref="D39:I39"/>
    <mergeCell ref="B13:I13"/>
    <mergeCell ref="D41:I41"/>
    <mergeCell ref="D55:I55"/>
    <mergeCell ref="D42:I42"/>
    <mergeCell ref="D51:I51"/>
    <mergeCell ref="D38:I38"/>
    <mergeCell ref="E6:I6"/>
    <mergeCell ref="D54:I54"/>
    <mergeCell ref="D35:I35"/>
    <mergeCell ref="D44:I44"/>
    <mergeCell ref="D34:I34"/>
    <mergeCell ref="E7:I7"/>
    <mergeCell ref="B15:I15"/>
    <mergeCell ref="D46:I46"/>
    <mergeCell ref="D40:I40"/>
    <mergeCell ref="D45:I45"/>
    <mergeCell ref="D36:I36"/>
    <mergeCell ref="D52:I5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B6834"/>
  </sheetPr>
  <dimension ref="A1:F37"/>
  <sheetViews>
    <sheetView showGridLines="0" workbookViewId="0"/>
  </sheetViews>
  <sheetFormatPr defaultRowHeight="14.4" x14ac:dyDescent="0.3"/>
  <cols>
    <col min="1" max="1" width="8" customWidth="1"/>
    <col min="2" max="2" width="34" customWidth="1"/>
    <col min="3" max="3" width="52" customWidth="1"/>
    <col min="4" max="4" width="40" customWidth="1"/>
    <col min="5" max="5" width="36" customWidth="1"/>
    <col min="6" max="6" width="10" customWidth="1"/>
  </cols>
  <sheetData>
    <row r="1" spans="1:6" ht="21" x14ac:dyDescent="0.4">
      <c r="A1" s="1" t="s">
        <v>552</v>
      </c>
    </row>
    <row r="2" spans="1:6" x14ac:dyDescent="0.3">
      <c r="A2" s="2" t="s">
        <v>553</v>
      </c>
    </row>
    <row r="4" spans="1:6" ht="15.6" x14ac:dyDescent="0.3">
      <c r="A4" s="4" t="s">
        <v>554</v>
      </c>
    </row>
    <row r="5" spans="1:6" ht="40.049999999999997" customHeight="1" x14ac:dyDescent="0.3">
      <c r="A5" s="3" t="s">
        <v>2</v>
      </c>
      <c r="B5" s="31" t="s">
        <v>555</v>
      </c>
      <c r="C5" s="30"/>
      <c r="D5" s="30"/>
      <c r="E5" s="30"/>
      <c r="F5" s="30"/>
    </row>
    <row r="6" spans="1:6" ht="40.049999999999997" customHeight="1" x14ac:dyDescent="0.3">
      <c r="A6" s="3" t="s">
        <v>2</v>
      </c>
      <c r="B6" s="31" t="s">
        <v>556</v>
      </c>
      <c r="C6" s="30"/>
      <c r="D6" s="30"/>
      <c r="E6" s="30"/>
      <c r="F6" s="30"/>
    </row>
    <row r="7" spans="1:6" ht="40.049999999999997" customHeight="1" x14ac:dyDescent="0.3">
      <c r="A7" s="3" t="s">
        <v>2</v>
      </c>
      <c r="B7" s="31" t="s">
        <v>557</v>
      </c>
      <c r="C7" s="30"/>
      <c r="D7" s="30"/>
      <c r="E7" s="30"/>
      <c r="F7" s="30"/>
    </row>
    <row r="9" spans="1:6" ht="15.6" x14ac:dyDescent="0.3">
      <c r="A9" s="4" t="s">
        <v>558</v>
      </c>
    </row>
    <row r="10" spans="1:6" ht="30" customHeight="1" x14ac:dyDescent="0.3">
      <c r="A10" s="5" t="s">
        <v>421</v>
      </c>
      <c r="B10" s="5" t="s">
        <v>559</v>
      </c>
      <c r="C10" s="5" t="s">
        <v>423</v>
      </c>
      <c r="D10" s="5" t="s">
        <v>560</v>
      </c>
      <c r="E10" s="5" t="s">
        <v>561</v>
      </c>
      <c r="F10" s="5" t="s">
        <v>424</v>
      </c>
    </row>
    <row r="11" spans="1:6" ht="34.049999999999997" customHeight="1" x14ac:dyDescent="0.3">
      <c r="A11" s="8" t="s">
        <v>562</v>
      </c>
      <c r="B11" s="10" t="s">
        <v>563</v>
      </c>
      <c r="C11" s="10" t="s">
        <v>564</v>
      </c>
      <c r="D11" s="10" t="s">
        <v>565</v>
      </c>
      <c r="E11" s="10" t="s">
        <v>566</v>
      </c>
      <c r="F11" s="19">
        <v>30</v>
      </c>
    </row>
    <row r="12" spans="1:6" ht="34.049999999999997" customHeight="1" x14ac:dyDescent="0.3">
      <c r="A12" s="8" t="s">
        <v>567</v>
      </c>
      <c r="B12" s="10" t="s">
        <v>568</v>
      </c>
      <c r="C12" s="10" t="s">
        <v>569</v>
      </c>
      <c r="D12" s="10" t="s">
        <v>570</v>
      </c>
      <c r="E12" s="10" t="s">
        <v>571</v>
      </c>
      <c r="F12" s="19">
        <v>25</v>
      </c>
    </row>
    <row r="13" spans="1:6" ht="34.049999999999997" customHeight="1" x14ac:dyDescent="0.3">
      <c r="A13" s="8" t="s">
        <v>572</v>
      </c>
      <c r="B13" s="10" t="s">
        <v>573</v>
      </c>
      <c r="C13" s="10" t="s">
        <v>574</v>
      </c>
      <c r="D13" s="10" t="s">
        <v>575</v>
      </c>
      <c r="E13" s="10" t="s">
        <v>576</v>
      </c>
      <c r="F13" s="19">
        <v>15</v>
      </c>
    </row>
    <row r="14" spans="1:6" ht="34.049999999999997" customHeight="1" x14ac:dyDescent="0.3">
      <c r="A14" s="8" t="s">
        <v>577</v>
      </c>
      <c r="B14" s="10" t="s">
        <v>578</v>
      </c>
      <c r="C14" s="10" t="s">
        <v>579</v>
      </c>
      <c r="D14" s="10" t="s">
        <v>580</v>
      </c>
      <c r="E14" s="10" t="s">
        <v>581</v>
      </c>
      <c r="F14" s="19">
        <v>15</v>
      </c>
    </row>
    <row r="15" spans="1:6" ht="34.049999999999997" customHeight="1" x14ac:dyDescent="0.3">
      <c r="A15" s="8" t="s">
        <v>582</v>
      </c>
      <c r="B15" s="10" t="s">
        <v>583</v>
      </c>
      <c r="C15" s="10" t="s">
        <v>584</v>
      </c>
      <c r="D15" s="10" t="s">
        <v>585</v>
      </c>
      <c r="E15" s="10" t="s">
        <v>586</v>
      </c>
      <c r="F15" s="19">
        <v>15</v>
      </c>
    </row>
    <row r="16" spans="1:6" x14ac:dyDescent="0.3">
      <c r="E16" s="8" t="s">
        <v>465</v>
      </c>
      <c r="F16" s="14">
        <f>SUM(F11:F15)</f>
        <v>100</v>
      </c>
    </row>
    <row r="18" spans="1:6" ht="15.6" x14ac:dyDescent="0.3">
      <c r="A18" s="4" t="s">
        <v>587</v>
      </c>
    </row>
    <row r="19" spans="1:6" ht="30" customHeight="1" x14ac:dyDescent="0.3">
      <c r="A19" s="5" t="s">
        <v>421</v>
      </c>
      <c r="B19" s="5" t="s">
        <v>559</v>
      </c>
      <c r="C19" s="5" t="s">
        <v>423</v>
      </c>
      <c r="D19" s="5" t="s">
        <v>560</v>
      </c>
      <c r="E19" s="5" t="s">
        <v>561</v>
      </c>
      <c r="F19" s="5" t="s">
        <v>424</v>
      </c>
    </row>
    <row r="20" spans="1:6" ht="34.049999999999997" customHeight="1" x14ac:dyDescent="0.3">
      <c r="A20" s="8" t="s">
        <v>588</v>
      </c>
      <c r="B20" s="10" t="s">
        <v>589</v>
      </c>
      <c r="C20" s="10" t="s">
        <v>590</v>
      </c>
      <c r="D20" s="10" t="s">
        <v>591</v>
      </c>
      <c r="E20" s="10" t="s">
        <v>592</v>
      </c>
      <c r="F20" s="19">
        <v>25</v>
      </c>
    </row>
    <row r="21" spans="1:6" ht="34.049999999999997" customHeight="1" x14ac:dyDescent="0.3">
      <c r="A21" s="8" t="s">
        <v>593</v>
      </c>
      <c r="B21" s="10" t="s">
        <v>594</v>
      </c>
      <c r="C21" s="10" t="s">
        <v>595</v>
      </c>
      <c r="D21" s="10" t="s">
        <v>596</v>
      </c>
      <c r="E21" s="10" t="s">
        <v>597</v>
      </c>
      <c r="F21" s="19">
        <v>25</v>
      </c>
    </row>
    <row r="22" spans="1:6" ht="34.049999999999997" customHeight="1" x14ac:dyDescent="0.3">
      <c r="A22" s="8" t="s">
        <v>598</v>
      </c>
      <c r="B22" s="10" t="s">
        <v>599</v>
      </c>
      <c r="C22" s="10" t="s">
        <v>600</v>
      </c>
      <c r="D22" s="10" t="s">
        <v>601</v>
      </c>
      <c r="E22" s="10" t="s">
        <v>602</v>
      </c>
      <c r="F22" s="19">
        <v>15</v>
      </c>
    </row>
    <row r="23" spans="1:6" ht="34.049999999999997" customHeight="1" x14ac:dyDescent="0.3">
      <c r="A23" s="8" t="s">
        <v>603</v>
      </c>
      <c r="B23" s="10" t="s">
        <v>604</v>
      </c>
      <c r="C23" s="10" t="s">
        <v>605</v>
      </c>
      <c r="D23" s="10" t="s">
        <v>606</v>
      </c>
      <c r="E23" s="10" t="s">
        <v>607</v>
      </c>
      <c r="F23" s="19">
        <v>20</v>
      </c>
    </row>
    <row r="24" spans="1:6" ht="34.049999999999997" customHeight="1" x14ac:dyDescent="0.3">
      <c r="A24" s="8" t="s">
        <v>608</v>
      </c>
      <c r="B24" s="10" t="s">
        <v>609</v>
      </c>
      <c r="C24" s="10" t="s">
        <v>610</v>
      </c>
      <c r="D24" s="10" t="s">
        <v>611</v>
      </c>
      <c r="E24" s="10" t="s">
        <v>612</v>
      </c>
      <c r="F24" s="19">
        <v>15</v>
      </c>
    </row>
    <row r="25" spans="1:6" x14ac:dyDescent="0.3">
      <c r="E25" s="8" t="s">
        <v>465</v>
      </c>
      <c r="F25" s="14">
        <f>SUM(F20:F24)</f>
        <v>100</v>
      </c>
    </row>
    <row r="28" spans="1:6" ht="15.6" x14ac:dyDescent="0.3">
      <c r="A28" s="4" t="s">
        <v>613</v>
      </c>
    </row>
    <row r="29" spans="1:6" ht="30" customHeight="1" x14ac:dyDescent="0.3">
      <c r="A29" s="5" t="s">
        <v>614</v>
      </c>
      <c r="B29" s="5" t="s">
        <v>615</v>
      </c>
      <c r="C29" s="36" t="s">
        <v>616</v>
      </c>
      <c r="D29" s="34"/>
      <c r="E29" s="34"/>
      <c r="F29" s="35"/>
    </row>
    <row r="30" spans="1:6" ht="70.05" customHeight="1" x14ac:dyDescent="0.3">
      <c r="A30" s="8" t="s">
        <v>617</v>
      </c>
      <c r="B30" s="10" t="s">
        <v>618</v>
      </c>
      <c r="C30" s="33" t="s">
        <v>619</v>
      </c>
      <c r="D30" s="34"/>
      <c r="E30" s="34"/>
      <c r="F30" s="35"/>
    </row>
    <row r="31" spans="1:6" ht="70.05" customHeight="1" x14ac:dyDescent="0.3">
      <c r="A31" s="8" t="s">
        <v>620</v>
      </c>
      <c r="B31" s="10" t="s">
        <v>621</v>
      </c>
      <c r="C31" s="33" t="s">
        <v>622</v>
      </c>
      <c r="D31" s="34"/>
      <c r="E31" s="34"/>
      <c r="F31" s="35"/>
    </row>
    <row r="33" spans="1:6" ht="15.6" x14ac:dyDescent="0.3">
      <c r="A33" s="4" t="s">
        <v>623</v>
      </c>
    </row>
    <row r="34" spans="1:6" ht="34.049999999999997" customHeight="1" x14ac:dyDescent="0.3">
      <c r="A34" s="3" t="s">
        <v>88</v>
      </c>
      <c r="B34" s="31" t="s">
        <v>624</v>
      </c>
      <c r="C34" s="30"/>
      <c r="D34" s="30"/>
      <c r="E34" s="30"/>
      <c r="F34" s="30"/>
    </row>
    <row r="35" spans="1:6" ht="34.049999999999997" customHeight="1" x14ac:dyDescent="0.3">
      <c r="A35" s="3" t="s">
        <v>90</v>
      </c>
      <c r="B35" s="31" t="s">
        <v>625</v>
      </c>
      <c r="C35" s="30"/>
      <c r="D35" s="30"/>
      <c r="E35" s="30"/>
      <c r="F35" s="30"/>
    </row>
    <row r="36" spans="1:6" ht="34.049999999999997" customHeight="1" x14ac:dyDescent="0.3">
      <c r="A36" s="3" t="s">
        <v>92</v>
      </c>
      <c r="B36" s="31" t="s">
        <v>626</v>
      </c>
      <c r="C36" s="30"/>
      <c r="D36" s="30"/>
      <c r="E36" s="30"/>
      <c r="F36" s="30"/>
    </row>
    <row r="37" spans="1:6" ht="34.049999999999997" customHeight="1" x14ac:dyDescent="0.3">
      <c r="A37" s="3" t="s">
        <v>94</v>
      </c>
      <c r="B37" s="31" t="s">
        <v>627</v>
      </c>
      <c r="C37" s="30"/>
      <c r="D37" s="30"/>
      <c r="E37" s="30"/>
      <c r="F37" s="30"/>
    </row>
  </sheetData>
  <mergeCells count="10">
    <mergeCell ref="B6:F6"/>
    <mergeCell ref="B34:F34"/>
    <mergeCell ref="B5:F5"/>
    <mergeCell ref="C29:F29"/>
    <mergeCell ref="C30:F30"/>
    <mergeCell ref="B37:F37"/>
    <mergeCell ref="B36:F36"/>
    <mergeCell ref="B35:F35"/>
    <mergeCell ref="B7:F7"/>
    <mergeCell ref="C31:F3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M53"/>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4" customWidth="1"/>
    <col min="2" max="2" width="22" customWidth="1"/>
    <col min="3" max="3" width="13" customWidth="1"/>
    <col min="4" max="4" width="46" customWidth="1"/>
    <col min="5" max="5" width="30" customWidth="1"/>
    <col min="6" max="6" width="66" customWidth="1"/>
    <col min="7" max="7" width="56" customWidth="1"/>
    <col min="8" max="8" width="28" customWidth="1"/>
    <col min="9" max="9" width="24" customWidth="1"/>
    <col min="10" max="10" width="13" customWidth="1"/>
    <col min="11" max="11" width="28" customWidth="1"/>
    <col min="12" max="12" width="30" customWidth="1"/>
    <col min="13" max="13" width="40" customWidth="1"/>
  </cols>
  <sheetData>
    <row r="1" spans="1:13" ht="21" x14ac:dyDescent="0.4">
      <c r="A1" s="1" t="s">
        <v>628</v>
      </c>
    </row>
    <row r="2" spans="1:13" x14ac:dyDescent="0.3">
      <c r="A2" s="2" t="s">
        <v>629</v>
      </c>
    </row>
    <row r="4" spans="1:13" ht="30" customHeight="1" x14ac:dyDescent="0.3">
      <c r="A4" s="5" t="s">
        <v>10</v>
      </c>
      <c r="B4" s="5" t="s">
        <v>630</v>
      </c>
      <c r="C4" s="5" t="s">
        <v>631</v>
      </c>
      <c r="D4" s="5" t="s">
        <v>632</v>
      </c>
      <c r="E4" s="5" t="s">
        <v>633</v>
      </c>
      <c r="F4" s="5" t="s">
        <v>634</v>
      </c>
      <c r="G4" s="5" t="s">
        <v>635</v>
      </c>
      <c r="H4" s="5" t="s">
        <v>636</v>
      </c>
      <c r="I4" s="5" t="s">
        <v>637</v>
      </c>
    </row>
    <row r="5" spans="1:13" ht="96" customHeight="1" x14ac:dyDescent="0.3">
      <c r="A5" s="6" t="s">
        <v>638</v>
      </c>
      <c r="B5" s="8" t="s">
        <v>639</v>
      </c>
      <c r="C5" s="10" t="s">
        <v>640</v>
      </c>
      <c r="D5" s="10" t="s">
        <v>641</v>
      </c>
      <c r="E5" s="20" t="s">
        <v>642</v>
      </c>
      <c r="F5" s="10" t="s">
        <v>643</v>
      </c>
      <c r="G5" s="10" t="s">
        <v>644</v>
      </c>
      <c r="H5" s="10" t="s">
        <v>645</v>
      </c>
      <c r="I5" s="10" t="str">
        <f>"Hero "&amp;COUNTIFS('Hero Segmentation'!$C$5:$C$80,"1. Chairs &amp; Seating",'Hero Segmentation'!$Q$5:$Q$80,"Hero",'Hero Segmentation'!$S$5:$S$80,"&lt;&gt;Parked (gate)")&amp;CHAR(10)&amp;"Probable Hero "&amp;COUNTIFS('Hero Segmentation'!$C$5:$C$80,"1. Chairs &amp; Seating",'Hero Segmentation'!$Q$5:$Q$80,"Probable Hero",'Hero Segmentation'!$S$5:$S$80,"&lt;&gt;Parked (gate)")&amp;CHAR(10)&amp;"Non-Hero "&amp;COUNTIFS('Hero Segmentation'!$C$5:$C$80,"1. Chairs &amp; Seating",'Hero Segmentation'!$Q$5:$Q$80,"Non-Hero",'Hero Segmentation'!$S$5:$S$80,"&lt;&gt;Parked (gate)")&amp;CHAR(10)&amp;"Parked "&amp;COUNTIFS('Hero Segmentation'!$C$5:$C$80,"1. Chairs &amp; Seating",'Hero Segmentation'!$S$5:$S$80,"Parked (gate)")</f>
        <v>Hero 1
Probable Hero 5
Non-Hero 2
Parked 0</v>
      </c>
    </row>
    <row r="6" spans="1:13" ht="96" customHeight="1" x14ac:dyDescent="0.3">
      <c r="A6" s="6" t="s">
        <v>646</v>
      </c>
      <c r="B6" s="8" t="s">
        <v>647</v>
      </c>
      <c r="C6" s="10" t="s">
        <v>640</v>
      </c>
      <c r="D6" s="10" t="s">
        <v>648</v>
      </c>
      <c r="E6" s="20" t="s">
        <v>649</v>
      </c>
      <c r="F6" s="10" t="s">
        <v>650</v>
      </c>
      <c r="G6" s="10" t="s">
        <v>651</v>
      </c>
      <c r="H6" s="10" t="s">
        <v>652</v>
      </c>
      <c r="I6" s="10" t="str">
        <f>"Hero "&amp;COUNTIFS('Hero Segmentation'!$C$5:$C$80,"2. Desks",'Hero Segmentation'!$Q$5:$Q$80,"Hero",'Hero Segmentation'!$S$5:$S$80,"&lt;&gt;Parked (gate)")&amp;CHAR(10)&amp;"Probable Hero "&amp;COUNTIFS('Hero Segmentation'!$C$5:$C$80,"2. Desks",'Hero Segmentation'!$Q$5:$Q$80,"Probable Hero",'Hero Segmentation'!$S$5:$S$80,"&lt;&gt;Parked (gate)")&amp;CHAR(10)&amp;"Non-Hero "&amp;COUNTIFS('Hero Segmentation'!$C$5:$C$80,"2. Desks",'Hero Segmentation'!$Q$5:$Q$80,"Non-Hero",'Hero Segmentation'!$S$5:$S$80,"&lt;&gt;Parked (gate)")&amp;CHAR(10)&amp;"Parked "&amp;COUNTIFS('Hero Segmentation'!$C$5:$C$80,"2. Desks",'Hero Segmentation'!$S$5:$S$80,"Parked (gate)")</f>
        <v>Hero 2
Probable Hero 0
Non-Hero 1
Parked 0</v>
      </c>
    </row>
    <row r="7" spans="1:13" ht="96" customHeight="1" x14ac:dyDescent="0.3">
      <c r="A7" s="6" t="s">
        <v>653</v>
      </c>
      <c r="B7" s="8" t="s">
        <v>654</v>
      </c>
      <c r="C7" s="10" t="s">
        <v>640</v>
      </c>
      <c r="D7" s="10" t="s">
        <v>655</v>
      </c>
      <c r="E7" s="20" t="s">
        <v>656</v>
      </c>
      <c r="F7" s="10" t="s">
        <v>657</v>
      </c>
      <c r="G7" s="10" t="s">
        <v>658</v>
      </c>
      <c r="H7" s="10" t="s">
        <v>659</v>
      </c>
      <c r="I7" s="10" t="str">
        <f>"Hero "&amp;COUNTIFS('Hero Segmentation'!$C$5:$C$80,"3. Lamps &amp; Lighting",'Hero Segmentation'!$Q$5:$Q$80,"Hero",'Hero Segmentation'!$S$5:$S$80,"&lt;&gt;Parked (gate)")&amp;CHAR(10)&amp;"Probable Hero "&amp;COUNTIFS('Hero Segmentation'!$C$5:$C$80,"3. Lamps &amp; Lighting",'Hero Segmentation'!$Q$5:$Q$80,"Probable Hero",'Hero Segmentation'!$S$5:$S$80,"&lt;&gt;Parked (gate)")&amp;CHAR(10)&amp;"Non-Hero "&amp;COUNTIFS('Hero Segmentation'!$C$5:$C$80,"3. Lamps &amp; Lighting",'Hero Segmentation'!$Q$5:$Q$80,"Non-Hero",'Hero Segmentation'!$S$5:$S$80,"&lt;&gt;Parked (gate)")&amp;CHAR(10)&amp;"Parked "&amp;COUNTIFS('Hero Segmentation'!$C$5:$C$80,"3. Lamps &amp; Lighting",'Hero Segmentation'!$S$5:$S$80,"Parked (gate)")</f>
        <v>Hero 0
Probable Hero 3
Non-Hero 0
Parked 0</v>
      </c>
    </row>
    <row r="8" spans="1:13" ht="96" customHeight="1" x14ac:dyDescent="0.3">
      <c r="A8" s="6" t="s">
        <v>660</v>
      </c>
      <c r="B8" s="8" t="s">
        <v>661</v>
      </c>
      <c r="C8" s="10" t="s">
        <v>640</v>
      </c>
      <c r="D8" s="10" t="s">
        <v>662</v>
      </c>
      <c r="E8" s="21" t="s">
        <v>663</v>
      </c>
      <c r="F8" s="10" t="s">
        <v>664</v>
      </c>
      <c r="G8" s="10" t="s">
        <v>665</v>
      </c>
      <c r="H8" s="10" t="s">
        <v>666</v>
      </c>
      <c r="I8" s="10" t="str">
        <f>"Hero "&amp;COUNTIFS('Hero Segmentation'!$C$5:$C$80,"4. Rugs",'Hero Segmentation'!$Q$5:$Q$80,"Hero",'Hero Segmentation'!$S$5:$S$80,"&lt;&gt;Parked (gate)")&amp;CHAR(10)&amp;"Probable Hero "&amp;COUNTIFS('Hero Segmentation'!$C$5:$C$80,"4. Rugs",'Hero Segmentation'!$Q$5:$Q$80,"Probable Hero",'Hero Segmentation'!$S$5:$S$80,"&lt;&gt;Parked (gate)")&amp;CHAR(10)&amp;"Non-Hero "&amp;COUNTIFS('Hero Segmentation'!$C$5:$C$80,"4. Rugs",'Hero Segmentation'!$Q$5:$Q$80,"Non-Hero",'Hero Segmentation'!$S$5:$S$80,"&lt;&gt;Parked (gate)")&amp;CHAR(10)&amp;"Parked "&amp;COUNTIFS('Hero Segmentation'!$C$5:$C$80,"4. Rugs",'Hero Segmentation'!$S$5:$S$80,"Parked (gate)")</f>
        <v>Hero 0
Probable Hero 0
Non-Hero 0
Parked 1</v>
      </c>
    </row>
    <row r="9" spans="1:13" ht="96" customHeight="1" x14ac:dyDescent="0.3">
      <c r="A9" s="6" t="s">
        <v>667</v>
      </c>
      <c r="B9" s="8" t="s">
        <v>668</v>
      </c>
      <c r="C9" s="10" t="s">
        <v>669</v>
      </c>
      <c r="D9" s="10" t="s">
        <v>670</v>
      </c>
      <c r="E9" s="22" t="s">
        <v>671</v>
      </c>
      <c r="F9" s="10" t="s">
        <v>672</v>
      </c>
      <c r="G9" s="10" t="s">
        <v>673</v>
      </c>
      <c r="H9" s="10" t="s">
        <v>674</v>
      </c>
      <c r="I9" s="10" t="str">
        <f>"Hero "&amp;COUNTIFS('Hero Segmentation'!$C$5:$C$80,"5. Fitness Equipment",'Hero Segmentation'!$Q$5:$Q$80,"Hero",'Hero Segmentation'!$S$5:$S$80,"&lt;&gt;Parked (gate)")&amp;CHAR(10)&amp;"Probable Hero "&amp;COUNTIFS('Hero Segmentation'!$C$5:$C$80,"5. Fitness Equipment",'Hero Segmentation'!$Q$5:$Q$80,"Probable Hero",'Hero Segmentation'!$S$5:$S$80,"&lt;&gt;Parked (gate)")&amp;CHAR(10)&amp;"Non-Hero "&amp;COUNTIFS('Hero Segmentation'!$C$5:$C$80,"5. Fitness Equipment",'Hero Segmentation'!$Q$5:$Q$80,"Non-Hero",'Hero Segmentation'!$S$5:$S$80,"&lt;&gt;Parked (gate)")&amp;CHAR(10)&amp;"Parked "&amp;COUNTIFS('Hero Segmentation'!$C$5:$C$80,"5. Fitness Equipment",'Hero Segmentation'!$S$5:$S$80,"Parked (gate)")</f>
        <v>Hero 0
Probable Hero 1
Non-Hero 0
Parked 0</v>
      </c>
    </row>
    <row r="10" spans="1:13" ht="96" customHeight="1" x14ac:dyDescent="0.3">
      <c r="A10" s="6" t="s">
        <v>675</v>
      </c>
      <c r="B10" s="8" t="s">
        <v>676</v>
      </c>
      <c r="C10" s="10" t="s">
        <v>677</v>
      </c>
      <c r="D10" s="10" t="s">
        <v>678</v>
      </c>
      <c r="E10" s="20" t="s">
        <v>679</v>
      </c>
      <c r="F10" s="10" t="s">
        <v>680</v>
      </c>
      <c r="G10" s="10" t="s">
        <v>681</v>
      </c>
      <c r="H10" s="10" t="s">
        <v>682</v>
      </c>
      <c r="I10" s="10" t="str">
        <f>"Hero "&amp;COUNTIFS('Hero Segmentation'!$C$5:$C$80,"6. Backpacks &amp; Bags",'Hero Segmentation'!$Q$5:$Q$80,"Hero",'Hero Segmentation'!$S$5:$S$80,"&lt;&gt;Parked (gate)")&amp;CHAR(10)&amp;"Probable Hero "&amp;COUNTIFS('Hero Segmentation'!$C$5:$C$80,"6. Backpacks &amp; Bags",'Hero Segmentation'!$Q$5:$Q$80,"Probable Hero",'Hero Segmentation'!$S$5:$S$80,"&lt;&gt;Parked (gate)")&amp;CHAR(10)&amp;"Non-Hero "&amp;COUNTIFS('Hero Segmentation'!$C$5:$C$80,"6. Backpacks &amp; Bags",'Hero Segmentation'!$Q$5:$Q$80,"Non-Hero",'Hero Segmentation'!$S$5:$S$80,"&lt;&gt;Parked (gate)")&amp;CHAR(10)&amp;"Parked "&amp;COUNTIFS('Hero Segmentation'!$C$5:$C$80,"6. Backpacks &amp; Bags",'Hero Segmentation'!$S$5:$S$80,"Parked (gate)")</f>
        <v>Hero 1
Probable Hero 3
Non-Hero 0
Parked 1</v>
      </c>
    </row>
    <row r="11" spans="1:13" ht="96" customHeight="1" x14ac:dyDescent="0.3">
      <c r="A11" s="6" t="s">
        <v>683</v>
      </c>
      <c r="B11" s="8" t="s">
        <v>684</v>
      </c>
      <c r="C11" s="10" t="s">
        <v>677</v>
      </c>
      <c r="D11" s="10" t="s">
        <v>42</v>
      </c>
      <c r="E11" s="20" t="s">
        <v>685</v>
      </c>
      <c r="F11" s="10" t="s">
        <v>686</v>
      </c>
      <c r="G11" s="10" t="s">
        <v>687</v>
      </c>
      <c r="H11" s="10" t="s">
        <v>688</v>
      </c>
      <c r="I11" s="10" t="str">
        <f>"Hero "&amp;COUNTIFS('Hero Segmentation'!$C$5:$C$80,"7. Hydration &amp; Drinkware",'Hero Segmentation'!$Q$5:$Q$80,"Hero",'Hero Segmentation'!$S$5:$S$80,"&lt;&gt;Parked (gate)")&amp;CHAR(10)&amp;"Probable Hero "&amp;COUNTIFS('Hero Segmentation'!$C$5:$C$80,"7. Hydration &amp; Drinkware",'Hero Segmentation'!$Q$5:$Q$80,"Probable Hero",'Hero Segmentation'!$S$5:$S$80,"&lt;&gt;Parked (gate)")&amp;CHAR(10)&amp;"Non-Hero "&amp;COUNTIFS('Hero Segmentation'!$C$5:$C$80,"7. Hydration &amp; Drinkware",'Hero Segmentation'!$Q$5:$Q$80,"Non-Hero",'Hero Segmentation'!$S$5:$S$80,"&lt;&gt;Parked (gate)")&amp;CHAR(10)&amp;"Parked "&amp;COUNTIFS('Hero Segmentation'!$C$5:$C$80,"7. Hydration &amp; Drinkware",'Hero Segmentation'!$S$5:$S$80,"Parked (gate)")</f>
        <v>Hero 0
Probable Hero 1
Non-Hero 0
Parked 1</v>
      </c>
    </row>
    <row r="12" spans="1:13" ht="96" customHeight="1" x14ac:dyDescent="0.3">
      <c r="A12" s="6" t="s">
        <v>689</v>
      </c>
      <c r="B12" s="8" t="s">
        <v>690</v>
      </c>
      <c r="C12" s="10" t="s">
        <v>691</v>
      </c>
      <c r="D12" s="10" t="s">
        <v>692</v>
      </c>
      <c r="E12" s="22" t="s">
        <v>693</v>
      </c>
      <c r="F12" s="10" t="s">
        <v>694</v>
      </c>
      <c r="G12" s="10" t="s">
        <v>695</v>
      </c>
      <c r="H12" s="10" t="s">
        <v>696</v>
      </c>
      <c r="I12" s="10" t="str">
        <f>"Hero "&amp;COUNTIFS('Hero Segmentation'!$C$5:$C$80,"8. Labels &amp; Packaging Accessories",'Hero Segmentation'!$Q$5:$Q$80,"Hero",'Hero Segmentation'!$S$5:$S$80,"&lt;&gt;Parked (gate)")&amp;CHAR(10)&amp;"Probable Hero "&amp;COUNTIFS('Hero Segmentation'!$C$5:$C$80,"8. Labels &amp; Packaging Accessories",'Hero Segmentation'!$Q$5:$Q$80,"Probable Hero",'Hero Segmentation'!$S$5:$S$80,"&lt;&gt;Parked (gate)")&amp;CHAR(10)&amp;"Non-Hero "&amp;COUNTIFS('Hero Segmentation'!$C$5:$C$80,"8. Labels &amp; Packaging Accessories",'Hero Segmentation'!$Q$5:$Q$80,"Non-Hero",'Hero Segmentation'!$S$5:$S$80,"&lt;&gt;Parked (gate)")&amp;CHAR(10)&amp;"Parked "&amp;COUNTIFS('Hero Segmentation'!$C$5:$C$80,"8. Labels &amp; Packaging Accessories",'Hero Segmentation'!$S$5:$S$80,"Parked (gate)")</f>
        <v>Hero 2
Probable Hero 1
Non-Hero 0
Parked 3</v>
      </c>
    </row>
    <row r="13" spans="1:13" ht="96" customHeight="1" x14ac:dyDescent="0.3">
      <c r="A13" s="6" t="s">
        <v>697</v>
      </c>
      <c r="B13" s="8" t="s">
        <v>698</v>
      </c>
      <c r="C13" s="10" t="s">
        <v>691</v>
      </c>
      <c r="D13" s="10" t="s">
        <v>699</v>
      </c>
      <c r="E13" s="20" t="s">
        <v>700</v>
      </c>
      <c r="F13" s="10" t="s">
        <v>701</v>
      </c>
      <c r="G13" s="10" t="s">
        <v>702</v>
      </c>
      <c r="H13" s="10" t="s">
        <v>703</v>
      </c>
      <c r="I13" s="10" t="str">
        <f>"Hero "&amp;COUNTIFS('Hero Segmentation'!$C$5:$C$80,"9. Planning &amp; Craft Organization",'Hero Segmentation'!$Q$5:$Q$80,"Hero",'Hero Segmentation'!$S$5:$S$80,"&lt;&gt;Parked (gate)")&amp;CHAR(10)&amp;"Probable Hero "&amp;COUNTIFS('Hero Segmentation'!$C$5:$C$80,"9. Planning &amp; Craft Organization",'Hero Segmentation'!$Q$5:$Q$80,"Probable Hero",'Hero Segmentation'!$S$5:$S$80,"&lt;&gt;Parked (gate)")&amp;CHAR(10)&amp;"Non-Hero "&amp;COUNTIFS('Hero Segmentation'!$C$5:$C$80,"9. Planning &amp; Craft Organization",'Hero Segmentation'!$Q$5:$Q$80,"Non-Hero",'Hero Segmentation'!$S$5:$S$80,"&lt;&gt;Parked (gate)")&amp;CHAR(10)&amp;"Parked "&amp;COUNTIFS('Hero Segmentation'!$C$5:$C$80,"9. Planning &amp; Craft Organization",'Hero Segmentation'!$S$5:$S$80,"Parked (gate)")</f>
        <v>Hero 3
Probable Hero 3
Non-Hero 1
Parked 0</v>
      </c>
    </row>
    <row r="15" spans="1:13" ht="15.6" x14ac:dyDescent="0.3">
      <c r="A15" s="4" t="s">
        <v>704</v>
      </c>
    </row>
    <row r="16" spans="1:13" ht="26.4" x14ac:dyDescent="0.3">
      <c r="A16" s="5" t="s">
        <v>10</v>
      </c>
      <c r="B16" s="5" t="s">
        <v>705</v>
      </c>
      <c r="C16" s="5" t="s">
        <v>128</v>
      </c>
      <c r="D16" s="5" t="s">
        <v>129</v>
      </c>
      <c r="E16" s="5" t="s">
        <v>130</v>
      </c>
      <c r="F16" s="5" t="s">
        <v>131</v>
      </c>
      <c r="G16" s="5" t="s">
        <v>123</v>
      </c>
      <c r="H16" s="5" t="s">
        <v>126</v>
      </c>
      <c r="I16" s="5" t="s">
        <v>706</v>
      </c>
      <c r="J16" s="5" t="s">
        <v>127</v>
      </c>
      <c r="K16" s="5" t="s">
        <v>707</v>
      </c>
      <c r="L16" s="5" t="s">
        <v>708</v>
      </c>
      <c r="M16" s="5" t="s">
        <v>709</v>
      </c>
    </row>
    <row r="17" spans="1:13" ht="79.2" x14ac:dyDescent="0.3">
      <c r="A17" s="6" t="s">
        <v>638</v>
      </c>
      <c r="B17" s="6" t="s">
        <v>710</v>
      </c>
      <c r="C17" s="8" t="s">
        <v>45</v>
      </c>
      <c r="D17" s="6">
        <v>3</v>
      </c>
      <c r="E17" s="6" t="s">
        <v>198</v>
      </c>
      <c r="F17" s="15">
        <v>229</v>
      </c>
      <c r="G17" s="14" t="str">
        <f>INDEX('Path Scorecard'!$Q$5:$Q$80,MATCH($E17,'Path Scorecard'!$H$5:$H$80,0))</f>
        <v>Probable Hero</v>
      </c>
      <c r="H17" s="6" t="str">
        <f>INDEX('Path Scorecard'!$AC$5:$AC$80,MATCH($E17,'Path Scorecard'!$H$5:$H$80,0))</f>
        <v>BUILD</v>
      </c>
      <c r="I17" s="14" t="str">
        <f>INDEX('Path Scorecard'!$AB$5:$AB$80,MATCH($E17,'Path Scorecard'!$H$5:$H$80,0))</f>
        <v>Recommended</v>
      </c>
      <c r="J17" s="9">
        <f>INDEX('Path Scorecard'!$Z$5:$Z$80,MATCH($E17,'Path Scorecard'!$H$5:$H$80,0))</f>
        <v>89</v>
      </c>
      <c r="K17" s="10" t="str">
        <f>INDEX('Path Scorecard'!$AE$5:$AE$80,MATCH($E17,'Path Scorecard'!$H$5:$H$80,0))&amp;" / "&amp;INDEX('Path Scorecard'!$AF$5:$AF$80,MATCH($E17,'Path Scorecard'!$H$5:$H$80,0))</f>
        <v>Wayfair / Amazon</v>
      </c>
      <c r="L17" s="10" t="str">
        <f>INDEX('Path Scorecard'!$AG$5:$AG$80,MATCH($E17,'Path Scorecard'!$H$5:$H$80,0))&amp;" / "&amp;INDEX('Path Scorecard'!$AH$5:$AH$80,MATCH($E17,'Path Scorecard'!$H$5:$H$80,0))</f>
        <v>Article / West Elm</v>
      </c>
      <c r="M17" s="10" t="s">
        <v>711</v>
      </c>
    </row>
    <row r="18" spans="1:13" ht="92.4" x14ac:dyDescent="0.3">
      <c r="A18" s="6" t="s">
        <v>638</v>
      </c>
      <c r="B18" s="6" t="s">
        <v>712</v>
      </c>
      <c r="C18" s="8" t="s">
        <v>713</v>
      </c>
      <c r="D18" s="6">
        <v>4</v>
      </c>
      <c r="E18" s="6" t="s">
        <v>714</v>
      </c>
      <c r="F18" s="15">
        <v>49</v>
      </c>
      <c r="G18" s="14" t="str">
        <f>INDEX('Path Scorecard'!$Q$5:$Q$80,MATCH($E18,'Path Scorecard'!$H$5:$H$80,0))</f>
        <v>Probable Hero</v>
      </c>
      <c r="H18" s="6" t="str">
        <f>INDEX('Path Scorecard'!$AC$5:$AC$80,MATCH($E18,'Path Scorecard'!$H$5:$H$80,0))</f>
        <v>BUILD</v>
      </c>
      <c r="I18" s="14" t="str">
        <f>INDEX('Path Scorecard'!$AB$5:$AB$80,MATCH($E18,'Path Scorecard'!$H$5:$H$80,0))</f>
        <v>Backlog</v>
      </c>
      <c r="J18" s="9">
        <f>INDEX('Path Scorecard'!$Z$5:$Z$80,MATCH($E18,'Path Scorecard'!$H$5:$H$80,0))</f>
        <v>75</v>
      </c>
      <c r="K18" s="10" t="str">
        <f>INDEX('Path Scorecard'!$AE$5:$AE$80,MATCH($E18,'Path Scorecard'!$H$5:$H$80,0))&amp;" / "&amp;INDEX('Path Scorecard'!$AF$5:$AF$80,MATCH($E18,'Path Scorecard'!$H$5:$H$80,0))</f>
        <v>- / -</v>
      </c>
      <c r="L18" s="10" t="str">
        <f>INDEX('Path Scorecard'!$AG$5:$AG$80,MATCH($E18,'Path Scorecard'!$H$5:$H$80,0))&amp;" / "&amp;INDEX('Path Scorecard'!$AH$5:$AH$80,MATCH($E18,'Path Scorecard'!$H$5:$H$80,0))</f>
        <v>- / -</v>
      </c>
      <c r="M18" s="10" t="s">
        <v>674</v>
      </c>
    </row>
    <row r="19" spans="1:13" ht="92.4" x14ac:dyDescent="0.3">
      <c r="A19" s="6" t="s">
        <v>638</v>
      </c>
      <c r="B19" s="6" t="s">
        <v>715</v>
      </c>
      <c r="C19" s="8" t="s">
        <v>716</v>
      </c>
      <c r="D19" s="6">
        <v>4</v>
      </c>
      <c r="E19" s="6" t="s">
        <v>717</v>
      </c>
      <c r="F19" s="15">
        <v>617</v>
      </c>
      <c r="G19" s="14" t="str">
        <f>INDEX('Path Scorecard'!$Q$5:$Q$80,MATCH($E19,'Path Scorecard'!$H$5:$H$80,0))</f>
        <v>Probable Hero</v>
      </c>
      <c r="H19" s="6" t="str">
        <f>INDEX('Path Scorecard'!$AC$5:$AC$80,MATCH($E19,'Path Scorecard'!$H$5:$H$80,0))</f>
        <v>BUILD</v>
      </c>
      <c r="I19" s="14" t="str">
        <f>INDEX('Path Scorecard'!$AB$5:$AB$80,MATCH($E19,'Path Scorecard'!$H$5:$H$80,0))</f>
        <v>Backlog</v>
      </c>
      <c r="J19" s="9">
        <f>INDEX('Path Scorecard'!$Z$5:$Z$80,MATCH($E19,'Path Scorecard'!$H$5:$H$80,0))</f>
        <v>73</v>
      </c>
      <c r="K19" s="10" t="str">
        <f>INDEX('Path Scorecard'!$AE$5:$AE$80,MATCH($E19,'Path Scorecard'!$H$5:$H$80,0))&amp;" / "&amp;INDEX('Path Scorecard'!$AF$5:$AF$80,MATCH($E19,'Path Scorecard'!$H$5:$H$80,0))</f>
        <v>- / -</v>
      </c>
      <c r="L19" s="10" t="str">
        <f>INDEX('Path Scorecard'!$AG$5:$AG$80,MATCH($E19,'Path Scorecard'!$H$5:$H$80,0))&amp;" / "&amp;INDEX('Path Scorecard'!$AH$5:$AH$80,MATCH($E19,'Path Scorecard'!$H$5:$H$80,0))</f>
        <v>- / -</v>
      </c>
      <c r="M19" s="10" t="s">
        <v>674</v>
      </c>
    </row>
    <row r="20" spans="1:13" ht="66" x14ac:dyDescent="0.3">
      <c r="A20" s="6" t="s">
        <v>638</v>
      </c>
      <c r="B20" s="6" t="s">
        <v>718</v>
      </c>
      <c r="C20" s="8" t="s">
        <v>719</v>
      </c>
      <c r="D20" s="6">
        <v>3</v>
      </c>
      <c r="E20" s="6" t="s">
        <v>720</v>
      </c>
      <c r="F20" s="15">
        <v>75</v>
      </c>
      <c r="G20" s="14" t="str">
        <f>INDEX('Path Scorecard'!$Q$5:$Q$80,MATCH($E20,'Path Scorecard'!$H$5:$H$80,0))</f>
        <v>Probable Hero</v>
      </c>
      <c r="H20" s="6" t="str">
        <f>INDEX('Path Scorecard'!$AC$5:$AC$80,MATCH($E20,'Path Scorecard'!$H$5:$H$80,0))</f>
        <v>BUILD</v>
      </c>
      <c r="I20" s="14" t="str">
        <f>INDEX('Path Scorecard'!$AB$5:$AB$80,MATCH($E20,'Path Scorecard'!$H$5:$H$80,0))</f>
        <v>Backlog</v>
      </c>
      <c r="J20" s="9">
        <f>INDEX('Path Scorecard'!$Z$5:$Z$80,MATCH($E20,'Path Scorecard'!$H$5:$H$80,0))</f>
        <v>74</v>
      </c>
      <c r="K20" s="10" t="str">
        <f>INDEX('Path Scorecard'!$AE$5:$AE$80,MATCH($E20,'Path Scorecard'!$H$5:$H$80,0))&amp;" / "&amp;INDEX('Path Scorecard'!$AF$5:$AF$80,MATCH($E20,'Path Scorecard'!$H$5:$H$80,0))</f>
        <v>- / -</v>
      </c>
      <c r="L20" s="10" t="str">
        <f>INDEX('Path Scorecard'!$AG$5:$AG$80,MATCH($E20,'Path Scorecard'!$H$5:$H$80,0))&amp;" / "&amp;INDEX('Path Scorecard'!$AH$5:$AH$80,MATCH($E20,'Path Scorecard'!$H$5:$H$80,0))</f>
        <v>- / -</v>
      </c>
      <c r="M20" s="10" t="s">
        <v>674</v>
      </c>
    </row>
    <row r="21" spans="1:13" ht="79.2" x14ac:dyDescent="0.3">
      <c r="A21" s="6" t="s">
        <v>638</v>
      </c>
      <c r="B21" s="6" t="s">
        <v>721</v>
      </c>
      <c r="C21" s="8" t="s">
        <v>722</v>
      </c>
      <c r="D21" s="6">
        <v>4</v>
      </c>
      <c r="E21" s="6" t="s">
        <v>723</v>
      </c>
      <c r="F21" s="15">
        <v>64</v>
      </c>
      <c r="G21" s="14" t="str">
        <f>INDEX('Path Scorecard'!$Q$5:$Q$80,MATCH($E21,'Path Scorecard'!$H$5:$H$80,0))</f>
        <v>Probable Hero</v>
      </c>
      <c r="H21" s="6" t="str">
        <f>INDEX('Path Scorecard'!$AC$5:$AC$80,MATCH($E21,'Path Scorecard'!$H$5:$H$80,0))</f>
        <v>BUILD</v>
      </c>
      <c r="I21" s="14" t="str">
        <f>INDEX('Path Scorecard'!$AB$5:$AB$80,MATCH($E21,'Path Scorecard'!$H$5:$H$80,0))</f>
        <v>Backlog</v>
      </c>
      <c r="J21" s="9">
        <f>INDEX('Path Scorecard'!$Z$5:$Z$80,MATCH($E21,'Path Scorecard'!$H$5:$H$80,0))</f>
        <v>69</v>
      </c>
      <c r="K21" s="10" t="str">
        <f>INDEX('Path Scorecard'!$AE$5:$AE$80,MATCH($E21,'Path Scorecard'!$H$5:$H$80,0))&amp;" / "&amp;INDEX('Path Scorecard'!$AF$5:$AF$80,MATCH($E21,'Path Scorecard'!$H$5:$H$80,0))</f>
        <v>Wayfair / Amazon</v>
      </c>
      <c r="L21" s="10" t="str">
        <f>INDEX('Path Scorecard'!$AG$5:$AG$80,MATCH($E21,'Path Scorecard'!$H$5:$H$80,0))&amp;" / "&amp;INDEX('Path Scorecard'!$AH$5:$AH$80,MATCH($E21,'Path Scorecard'!$H$5:$H$80,0))</f>
        <v>- / -</v>
      </c>
      <c r="M21" s="10" t="s">
        <v>674</v>
      </c>
    </row>
    <row r="22" spans="1:13" ht="52.8" x14ac:dyDescent="0.3">
      <c r="A22" s="6" t="s">
        <v>638</v>
      </c>
      <c r="B22" s="6" t="s">
        <v>724</v>
      </c>
      <c r="C22" s="8" t="s">
        <v>725</v>
      </c>
      <c r="D22" s="6">
        <v>3</v>
      </c>
      <c r="E22" s="6" t="s">
        <v>726</v>
      </c>
      <c r="F22" s="15">
        <v>1008</v>
      </c>
      <c r="G22" s="14" t="str">
        <f>INDEX('Path Scorecard'!$Q$5:$Q$80,MATCH($E22,'Path Scorecard'!$H$5:$H$80,0))</f>
        <v>Hero</v>
      </c>
      <c r="H22" s="6" t="str">
        <f>INDEX('Path Scorecard'!$AC$5:$AC$80,MATCH($E22,'Path Scorecard'!$H$5:$H$80,0))</f>
        <v>PROTECT</v>
      </c>
      <c r="I22" s="14" t="str">
        <f>INDEX('Path Scorecard'!$AB$5:$AB$80,MATCH($E22,'Path Scorecard'!$H$5:$H$80,0))</f>
        <v>Protect (control)</v>
      </c>
      <c r="J22" s="9">
        <f>INDEX('Path Scorecard'!$Z$5:$Z$80,MATCH($E22,'Path Scorecard'!$H$5:$H$80,0))</f>
        <v>65</v>
      </c>
      <c r="K22" s="10" t="str">
        <f>INDEX('Path Scorecard'!$AE$5:$AE$80,MATCH($E22,'Path Scorecard'!$H$5:$H$80,0))&amp;" / "&amp;INDEX('Path Scorecard'!$AF$5:$AF$80,MATCH($E22,'Path Scorecard'!$H$5:$H$80,0))</f>
        <v>Wayfair / Amazon (control shelf)</v>
      </c>
      <c r="L22" s="10" t="str">
        <f>INDEX('Path Scorecard'!$AG$5:$AG$80,MATCH($E22,'Path Scorecard'!$H$5:$H$80,0))&amp;" / "&amp;INDEX('Path Scorecard'!$AH$5:$AH$80,MATCH($E22,'Path Scorecard'!$H$5:$H$80,0))</f>
        <v>- / -</v>
      </c>
      <c r="M22" s="10" t="s">
        <v>727</v>
      </c>
    </row>
    <row r="23" spans="1:13" ht="52.8" x14ac:dyDescent="0.3">
      <c r="A23" s="6" t="s">
        <v>638</v>
      </c>
      <c r="B23" s="6" t="s">
        <v>728</v>
      </c>
      <c r="C23" s="8" t="s">
        <v>729</v>
      </c>
      <c r="D23" s="6">
        <v>3</v>
      </c>
      <c r="E23" s="6" t="s">
        <v>730</v>
      </c>
      <c r="F23" s="15">
        <v>147</v>
      </c>
      <c r="G23" s="14" t="str">
        <f>INDEX('Path Scorecard'!$Q$5:$Q$80,MATCH($E23,'Path Scorecard'!$H$5:$H$80,0))</f>
        <v>Non-Hero</v>
      </c>
      <c r="H23" s="6" t="str">
        <f>INDEX('Path Scorecard'!$AC$5:$AC$80,MATCH($E23,'Path Scorecard'!$H$5:$H$80,0))</f>
        <v>EXPLORE</v>
      </c>
      <c r="I23" s="14" t="str">
        <f>INDEX('Path Scorecard'!$AB$5:$AB$80,MATCH($E23,'Path Scorecard'!$H$5:$H$80,0))</f>
        <v>Backlog</v>
      </c>
      <c r="J23" s="9">
        <f>INDEX('Path Scorecard'!$Z$5:$Z$80,MATCH($E23,'Path Scorecard'!$H$5:$H$80,0))</f>
        <v>59</v>
      </c>
      <c r="K23" s="10" t="str">
        <f>INDEX('Path Scorecard'!$AE$5:$AE$80,MATCH($E23,'Path Scorecard'!$H$5:$H$80,0))&amp;" / "&amp;INDEX('Path Scorecard'!$AF$5:$AF$80,MATCH($E23,'Path Scorecard'!$H$5:$H$80,0))</f>
        <v>Wayfair / Target</v>
      </c>
      <c r="L23" s="10" t="str">
        <f>INDEX('Path Scorecard'!$AG$5:$AG$80,MATCH($E23,'Path Scorecard'!$H$5:$H$80,0))&amp;" / "&amp;INDEX('Path Scorecard'!$AH$5:$AH$80,MATCH($E23,'Path Scorecard'!$H$5:$H$80,0))</f>
        <v>- / -</v>
      </c>
      <c r="M23" s="10" t="s">
        <v>674</v>
      </c>
    </row>
    <row r="24" spans="1:13" ht="66" x14ac:dyDescent="0.3">
      <c r="A24" s="6" t="s">
        <v>638</v>
      </c>
      <c r="B24" s="6" t="s">
        <v>731</v>
      </c>
      <c r="C24" s="8" t="s">
        <v>732</v>
      </c>
      <c r="D24" s="6">
        <v>3</v>
      </c>
      <c r="E24" s="6" t="s">
        <v>733</v>
      </c>
      <c r="F24" s="15">
        <v>87</v>
      </c>
      <c r="G24" s="14" t="str">
        <f>INDEX('Path Scorecard'!$Q$5:$Q$80,MATCH($E24,'Path Scorecard'!$H$5:$H$80,0))</f>
        <v>Non-Hero</v>
      </c>
      <c r="H24" s="6" t="str">
        <f>INDEX('Path Scorecard'!$AC$5:$AC$80,MATCH($E24,'Path Scorecard'!$H$5:$H$80,0))</f>
        <v>EXPLORE</v>
      </c>
      <c r="I24" s="14" t="str">
        <f>INDEX('Path Scorecard'!$AB$5:$AB$80,MATCH($E24,'Path Scorecard'!$H$5:$H$80,0))</f>
        <v>Backlog</v>
      </c>
      <c r="J24" s="9">
        <f>INDEX('Path Scorecard'!$Z$5:$Z$80,MATCH($E24,'Path Scorecard'!$H$5:$H$80,0))</f>
        <v>50</v>
      </c>
      <c r="K24" s="10" t="str">
        <f>INDEX('Path Scorecard'!$AE$5:$AE$80,MATCH($E24,'Path Scorecard'!$H$5:$H$80,0))&amp;" / "&amp;INDEX('Path Scorecard'!$AF$5:$AF$80,MATCH($E24,'Path Scorecard'!$H$5:$H$80,0))</f>
        <v>Best Buy / Amazon</v>
      </c>
      <c r="L24" s="10" t="str">
        <f>INDEX('Path Scorecard'!$AG$5:$AG$80,MATCH($E24,'Path Scorecard'!$H$5:$H$80,0))&amp;" / "&amp;INDEX('Path Scorecard'!$AH$5:$AH$80,MATCH($E24,'Path Scorecard'!$H$5:$H$80,0))</f>
        <v>- / -</v>
      </c>
      <c r="M24" s="10" t="s">
        <v>674</v>
      </c>
    </row>
    <row r="25" spans="1:13" ht="39.6" x14ac:dyDescent="0.3">
      <c r="A25" s="6" t="s">
        <v>646</v>
      </c>
      <c r="B25" s="6" t="s">
        <v>734</v>
      </c>
      <c r="C25" s="8" t="s">
        <v>33</v>
      </c>
      <c r="D25" s="6">
        <v>3</v>
      </c>
      <c r="E25" s="6" t="s">
        <v>170</v>
      </c>
      <c r="F25" s="15">
        <v>1501</v>
      </c>
      <c r="G25" s="14" t="str">
        <f>INDEX('Path Scorecard'!$Q$5:$Q$80,MATCH($E25,'Path Scorecard'!$H$5:$H$80,0))</f>
        <v>Hero</v>
      </c>
      <c r="H25" s="6" t="str">
        <f>INDEX('Path Scorecard'!$AC$5:$AC$80,MATCH($E25,'Path Scorecard'!$H$5:$H$80,0))</f>
        <v>EXTEND</v>
      </c>
      <c r="I25" s="14" t="str">
        <f>INDEX('Path Scorecard'!$AB$5:$AB$80,MATCH($E25,'Path Scorecard'!$H$5:$H$80,0))</f>
        <v>Recommended</v>
      </c>
      <c r="J25" s="9">
        <f>INDEX('Path Scorecard'!$Z$5:$Z$80,MATCH($E25,'Path Scorecard'!$H$5:$H$80,0))</f>
        <v>81</v>
      </c>
      <c r="K25" s="10" t="str">
        <f>INDEX('Path Scorecard'!$AE$5:$AE$80,MATCH($E25,'Path Scorecard'!$H$5:$H$80,0))&amp;" / "&amp;INDEX('Path Scorecard'!$AF$5:$AF$80,MATCH($E25,'Path Scorecard'!$H$5:$H$80,0))</f>
        <v>Wayfair / Amazon</v>
      </c>
      <c r="L25" s="10" t="str">
        <f>INDEX('Path Scorecard'!$AG$5:$AG$80,MATCH($E25,'Path Scorecard'!$H$5:$H$80,0))&amp;" / "&amp;INDEX('Path Scorecard'!$AH$5:$AH$80,MATCH($E25,'Path Scorecard'!$H$5:$H$80,0))</f>
        <v>Design Within Reach / West Elm</v>
      </c>
      <c r="M25" s="10" t="s">
        <v>711</v>
      </c>
    </row>
    <row r="26" spans="1:13" ht="39.6" x14ac:dyDescent="0.3">
      <c r="A26" s="6" t="s">
        <v>646</v>
      </c>
      <c r="B26" s="6" t="s">
        <v>735</v>
      </c>
      <c r="C26" s="8" t="s">
        <v>736</v>
      </c>
      <c r="D26" s="6">
        <v>3</v>
      </c>
      <c r="E26" s="6" t="s">
        <v>737</v>
      </c>
      <c r="F26" s="15">
        <v>576</v>
      </c>
      <c r="G26" s="14" t="str">
        <f>INDEX('Path Scorecard'!$Q$5:$Q$80,MATCH($E26,'Path Scorecard'!$H$5:$H$80,0))</f>
        <v>Hero</v>
      </c>
      <c r="H26" s="6" t="str">
        <f>INDEX('Path Scorecard'!$AC$5:$AC$80,MATCH($E26,'Path Scorecard'!$H$5:$H$80,0))</f>
        <v>PROTECT</v>
      </c>
      <c r="I26" s="14" t="str">
        <f>INDEX('Path Scorecard'!$AB$5:$AB$80,MATCH($E26,'Path Scorecard'!$H$5:$H$80,0))</f>
        <v>Protect (control)</v>
      </c>
      <c r="J26" s="9">
        <f>INDEX('Path Scorecard'!$Z$5:$Z$80,MATCH($E26,'Path Scorecard'!$H$5:$H$80,0))</f>
        <v>66</v>
      </c>
      <c r="K26" s="10" t="str">
        <f>INDEX('Path Scorecard'!$AE$5:$AE$80,MATCH($E26,'Path Scorecard'!$H$5:$H$80,0))&amp;" / "&amp;INDEX('Path Scorecard'!$AF$5:$AF$80,MATCH($E26,'Path Scorecard'!$H$5:$H$80,0))</f>
        <v>Amazon / Wayfair</v>
      </c>
      <c r="L26" s="10" t="str">
        <f>INDEX('Path Scorecard'!$AG$5:$AG$80,MATCH($E26,'Path Scorecard'!$H$5:$H$80,0))&amp;" / "&amp;INDEX('Path Scorecard'!$AH$5:$AH$80,MATCH($E26,'Path Scorecard'!$H$5:$H$80,0))</f>
        <v>- / -</v>
      </c>
      <c r="M26" s="10" t="s">
        <v>738</v>
      </c>
    </row>
    <row r="27" spans="1:13" ht="66" x14ac:dyDescent="0.3">
      <c r="A27" s="6" t="s">
        <v>646</v>
      </c>
      <c r="B27" s="6" t="s">
        <v>739</v>
      </c>
      <c r="C27" s="8" t="s">
        <v>740</v>
      </c>
      <c r="D27" s="6">
        <v>4</v>
      </c>
      <c r="E27" s="6" t="s">
        <v>741</v>
      </c>
      <c r="F27" s="15">
        <v>77</v>
      </c>
      <c r="G27" s="14" t="str">
        <f>INDEX('Path Scorecard'!$Q$5:$Q$80,MATCH($E27,'Path Scorecard'!$H$5:$H$80,0))</f>
        <v>Non-Hero</v>
      </c>
      <c r="H27" s="6" t="str">
        <f>INDEX('Path Scorecard'!$AC$5:$AC$80,MATCH($E27,'Path Scorecard'!$H$5:$H$80,0))</f>
        <v>EXPLORE</v>
      </c>
      <c r="I27" s="14" t="str">
        <f>INDEX('Path Scorecard'!$AB$5:$AB$80,MATCH($E27,'Path Scorecard'!$H$5:$H$80,0))</f>
        <v>Backlog</v>
      </c>
      <c r="J27" s="9">
        <f>INDEX('Path Scorecard'!$Z$5:$Z$80,MATCH($E27,'Path Scorecard'!$H$5:$H$80,0))</f>
        <v>52</v>
      </c>
      <c r="K27" s="10" t="str">
        <f>INDEX('Path Scorecard'!$AE$5:$AE$80,MATCH($E27,'Path Scorecard'!$H$5:$H$80,0))&amp;" / "&amp;INDEX('Path Scorecard'!$AF$5:$AF$80,MATCH($E27,'Path Scorecard'!$H$5:$H$80,0))</f>
        <v>Wayfair / Amazon</v>
      </c>
      <c r="L27" s="10" t="str">
        <f>INDEX('Path Scorecard'!$AG$5:$AG$80,MATCH($E27,'Path Scorecard'!$H$5:$H$80,0))&amp;" / "&amp;INDEX('Path Scorecard'!$AH$5:$AH$80,MATCH($E27,'Path Scorecard'!$H$5:$H$80,0))</f>
        <v>- / -</v>
      </c>
      <c r="M27" s="10" t="s">
        <v>674</v>
      </c>
    </row>
    <row r="28" spans="1:13" ht="52.8" x14ac:dyDescent="0.3">
      <c r="A28" s="6" t="s">
        <v>653</v>
      </c>
      <c r="B28" s="6" t="s">
        <v>742</v>
      </c>
      <c r="C28" s="8" t="s">
        <v>48</v>
      </c>
      <c r="D28" s="6">
        <v>3</v>
      </c>
      <c r="E28" s="6" t="s">
        <v>205</v>
      </c>
      <c r="F28" s="15">
        <v>210</v>
      </c>
      <c r="G28" s="14" t="str">
        <f>INDEX('Path Scorecard'!$Q$5:$Q$80,MATCH($E28,'Path Scorecard'!$H$5:$H$80,0))</f>
        <v>Probable Hero</v>
      </c>
      <c r="H28" s="6" t="str">
        <f>INDEX('Path Scorecard'!$AC$5:$AC$80,MATCH($E28,'Path Scorecard'!$H$5:$H$80,0))</f>
        <v>BUILD</v>
      </c>
      <c r="I28" s="14" t="str">
        <f>INDEX('Path Scorecard'!$AB$5:$AB$80,MATCH($E28,'Path Scorecard'!$H$5:$H$80,0))</f>
        <v>Recommended</v>
      </c>
      <c r="J28" s="9">
        <f>INDEX('Path Scorecard'!$Z$5:$Z$80,MATCH($E28,'Path Scorecard'!$H$5:$H$80,0))</f>
        <v>86</v>
      </c>
      <c r="K28" s="10" t="str">
        <f>INDEX('Path Scorecard'!$AE$5:$AE$80,MATCH($E28,'Path Scorecard'!$H$5:$H$80,0))&amp;" / "&amp;INDEX('Path Scorecard'!$AF$5:$AF$80,MATCH($E28,'Path Scorecard'!$H$5:$H$80,0))</f>
        <v>Wayfair / Amazon</v>
      </c>
      <c r="L28" s="10" t="str">
        <f>INDEX('Path Scorecard'!$AG$5:$AG$80,MATCH($E28,'Path Scorecard'!$H$5:$H$80,0))&amp;" / "&amp;INDEX('Path Scorecard'!$AH$5:$AH$80,MATCH($E28,'Path Scorecard'!$H$5:$H$80,0))</f>
        <v>Lamps Plus / Urban Outfitters</v>
      </c>
      <c r="M28" s="10" t="s">
        <v>711</v>
      </c>
    </row>
    <row r="29" spans="1:13" ht="52.8" x14ac:dyDescent="0.3">
      <c r="A29" s="6" t="s">
        <v>653</v>
      </c>
      <c r="B29" s="6" t="s">
        <v>743</v>
      </c>
      <c r="C29" s="8" t="s">
        <v>744</v>
      </c>
      <c r="D29" s="6">
        <v>3</v>
      </c>
      <c r="E29" s="6" t="s">
        <v>745</v>
      </c>
      <c r="F29" s="15">
        <v>211</v>
      </c>
      <c r="G29" s="14" t="str">
        <f>INDEX('Path Scorecard'!$Q$5:$Q$80,MATCH($E29,'Path Scorecard'!$H$5:$H$80,0))</f>
        <v>Probable Hero</v>
      </c>
      <c r="H29" s="6" t="str">
        <f>INDEX('Path Scorecard'!$AC$5:$AC$80,MATCH($E29,'Path Scorecard'!$H$5:$H$80,0))</f>
        <v>BUILD</v>
      </c>
      <c r="I29" s="14" t="str">
        <f>INDEX('Path Scorecard'!$AB$5:$AB$80,MATCH($E29,'Path Scorecard'!$H$5:$H$80,0))</f>
        <v>Backlog</v>
      </c>
      <c r="J29" s="9">
        <f>INDEX('Path Scorecard'!$Z$5:$Z$80,MATCH($E29,'Path Scorecard'!$H$5:$H$80,0))</f>
        <v>75</v>
      </c>
      <c r="K29" s="10" t="str">
        <f>INDEX('Path Scorecard'!$AE$5:$AE$80,MATCH($E29,'Path Scorecard'!$H$5:$H$80,0))&amp;" / "&amp;INDEX('Path Scorecard'!$AF$5:$AF$80,MATCH($E29,'Path Scorecard'!$H$5:$H$80,0))</f>
        <v>- / -</v>
      </c>
      <c r="L29" s="10" t="str">
        <f>INDEX('Path Scorecard'!$AG$5:$AG$80,MATCH($E29,'Path Scorecard'!$H$5:$H$80,0))&amp;" / "&amp;INDEX('Path Scorecard'!$AH$5:$AH$80,MATCH($E29,'Path Scorecard'!$H$5:$H$80,0))</f>
        <v>- / -</v>
      </c>
      <c r="M29" s="10" t="s">
        <v>674</v>
      </c>
    </row>
    <row r="30" spans="1:13" ht="52.8" x14ac:dyDescent="0.3">
      <c r="A30" s="6" t="s">
        <v>653</v>
      </c>
      <c r="B30" s="6" t="s">
        <v>746</v>
      </c>
      <c r="C30" s="8" t="s">
        <v>747</v>
      </c>
      <c r="D30" s="6">
        <v>3</v>
      </c>
      <c r="E30" s="6" t="s">
        <v>748</v>
      </c>
      <c r="F30" s="15">
        <v>132</v>
      </c>
      <c r="G30" s="14" t="str">
        <f>INDEX('Path Scorecard'!$Q$5:$Q$80,MATCH($E30,'Path Scorecard'!$H$5:$H$80,0))</f>
        <v>Probable Hero</v>
      </c>
      <c r="H30" s="6" t="str">
        <f>INDEX('Path Scorecard'!$AC$5:$AC$80,MATCH($E30,'Path Scorecard'!$H$5:$H$80,0))</f>
        <v>BUILD</v>
      </c>
      <c r="I30" s="14" t="str">
        <f>INDEX('Path Scorecard'!$AB$5:$AB$80,MATCH($E30,'Path Scorecard'!$H$5:$H$80,0))</f>
        <v>Backlog</v>
      </c>
      <c r="J30" s="9">
        <f>INDEX('Path Scorecard'!$Z$5:$Z$80,MATCH($E30,'Path Scorecard'!$H$5:$H$80,0))</f>
        <v>73</v>
      </c>
      <c r="K30" s="10" t="str">
        <f>INDEX('Path Scorecard'!$AE$5:$AE$80,MATCH($E30,'Path Scorecard'!$H$5:$H$80,0))&amp;" / "&amp;INDEX('Path Scorecard'!$AF$5:$AF$80,MATCH($E30,'Path Scorecard'!$H$5:$H$80,0))</f>
        <v>- / -</v>
      </c>
      <c r="L30" s="10" t="str">
        <f>INDEX('Path Scorecard'!$AG$5:$AG$80,MATCH($E30,'Path Scorecard'!$H$5:$H$80,0))&amp;" / "&amp;INDEX('Path Scorecard'!$AH$5:$AH$80,MATCH($E30,'Path Scorecard'!$H$5:$H$80,0))</f>
        <v>- / -</v>
      </c>
      <c r="M30" s="10" t="s">
        <v>674</v>
      </c>
    </row>
    <row r="31" spans="1:13" x14ac:dyDescent="0.3">
      <c r="A31" s="6" t="s">
        <v>660</v>
      </c>
      <c r="B31" s="6" t="s">
        <v>749</v>
      </c>
      <c r="C31" s="8" t="s">
        <v>750</v>
      </c>
      <c r="D31" s="6">
        <v>2</v>
      </c>
      <c r="E31" s="6" t="s">
        <v>751</v>
      </c>
      <c r="F31" s="15">
        <v>804</v>
      </c>
      <c r="G31" s="14" t="str">
        <f>INDEX('Path Scorecard'!$Q$5:$Q$80,MATCH($E31,'Path Scorecard'!$H$5:$H$80,0))</f>
        <v>Probable Hero</v>
      </c>
      <c r="H31" s="6" t="str">
        <f>INDEX('Path Scorecard'!$AC$5:$AC$80,MATCH($E31,'Path Scorecard'!$H$5:$H$80,0))</f>
        <v>BUILD</v>
      </c>
      <c r="I31" s="14" t="str">
        <f>INDEX('Path Scorecard'!$AB$5:$AB$80,MATCH($E31,'Path Scorecard'!$H$5:$H$80,0))</f>
        <v>Parked (gate)</v>
      </c>
      <c r="J31" s="9" t="str">
        <f>INDEX('Path Scorecard'!$Z$5:$Z$80,MATCH($E31,'Path Scorecard'!$H$5:$H$80,0))</f>
        <v>-</v>
      </c>
      <c r="K31" s="10" t="str">
        <f>INDEX('Path Scorecard'!$AE$5:$AE$80,MATCH($E31,'Path Scorecard'!$H$5:$H$80,0))&amp;" / "&amp;INDEX('Path Scorecard'!$AF$5:$AF$80,MATCH($E31,'Path Scorecard'!$H$5:$H$80,0))</f>
        <v>- / -</v>
      </c>
      <c r="L31" s="10" t="str">
        <f>INDEX('Path Scorecard'!$AG$5:$AG$80,MATCH($E31,'Path Scorecard'!$H$5:$H$80,0))&amp;" / "&amp;INDEX('Path Scorecard'!$AH$5:$AH$80,MATCH($E31,'Path Scorecard'!$H$5:$H$80,0))</f>
        <v>- / -</v>
      </c>
      <c r="M31" s="10" t="s">
        <v>752</v>
      </c>
    </row>
    <row r="32" spans="1:13" ht="92.4" x14ac:dyDescent="0.3">
      <c r="A32" s="6" t="s">
        <v>667</v>
      </c>
      <c r="B32" s="6" t="s">
        <v>753</v>
      </c>
      <c r="C32" s="8" t="s">
        <v>754</v>
      </c>
      <c r="D32" s="6">
        <v>4</v>
      </c>
      <c r="E32" s="6" t="s">
        <v>755</v>
      </c>
      <c r="F32" s="15">
        <v>43</v>
      </c>
      <c r="G32" s="14" t="str">
        <f>INDEX('Path Scorecard'!$Q$5:$Q$80,MATCH($E32,'Path Scorecard'!$H$5:$H$80,0))</f>
        <v>Probable Hero</v>
      </c>
      <c r="H32" s="6" t="str">
        <f>INDEX('Path Scorecard'!$AC$5:$AC$80,MATCH($E32,'Path Scorecard'!$H$5:$H$80,0))</f>
        <v>BUILD</v>
      </c>
      <c r="I32" s="14" t="str">
        <f>INDEX('Path Scorecard'!$AB$5:$AB$80,MATCH($E32,'Path Scorecard'!$H$5:$H$80,0))</f>
        <v>Backlog</v>
      </c>
      <c r="J32" s="9">
        <f>INDEX('Path Scorecard'!$Z$5:$Z$80,MATCH($E32,'Path Scorecard'!$H$5:$H$80,0))</f>
        <v>67</v>
      </c>
      <c r="K32" s="10" t="str">
        <f>INDEX('Path Scorecard'!$AE$5:$AE$80,MATCH($E32,'Path Scorecard'!$H$5:$H$80,0))&amp;" / "&amp;INDEX('Path Scorecard'!$AF$5:$AF$80,MATCH($E32,'Path Scorecard'!$H$5:$H$80,0))</f>
        <v>Amazon / Dick's Sporting Goods</v>
      </c>
      <c r="L32" s="10" t="str">
        <f>INDEX('Path Scorecard'!$AG$5:$AG$80,MATCH($E32,'Path Scorecard'!$H$5:$H$80,0))&amp;" / "&amp;INDEX('Path Scorecard'!$AH$5:$AH$80,MATCH($E32,'Path Scorecard'!$H$5:$H$80,0))</f>
        <v>- / -</v>
      </c>
      <c r="M32" s="10" t="s">
        <v>674</v>
      </c>
    </row>
    <row r="33" spans="1:13" ht="79.2" x14ac:dyDescent="0.3">
      <c r="A33" s="6" t="s">
        <v>675</v>
      </c>
      <c r="B33" s="6" t="s">
        <v>756</v>
      </c>
      <c r="C33" s="8" t="s">
        <v>30</v>
      </c>
      <c r="D33" s="6">
        <v>3</v>
      </c>
      <c r="E33" s="6" t="s">
        <v>163</v>
      </c>
      <c r="F33" s="15">
        <v>585</v>
      </c>
      <c r="G33" s="14" t="str">
        <f>INDEX('Path Scorecard'!$Q$5:$Q$80,MATCH($E33,'Path Scorecard'!$H$5:$H$80,0))</f>
        <v>Hero</v>
      </c>
      <c r="H33" s="6" t="str">
        <f>INDEX('Path Scorecard'!$AC$5:$AC$80,MATCH($E33,'Path Scorecard'!$H$5:$H$80,0))</f>
        <v>EXTEND</v>
      </c>
      <c r="I33" s="14" t="str">
        <f>INDEX('Path Scorecard'!$AB$5:$AB$80,MATCH($E33,'Path Scorecard'!$H$5:$H$80,0))</f>
        <v>Recommended</v>
      </c>
      <c r="J33" s="9">
        <f>INDEX('Path Scorecard'!$Z$5:$Z$80,MATCH($E33,'Path Scorecard'!$H$5:$H$80,0))</f>
        <v>86</v>
      </c>
      <c r="K33" s="10" t="str">
        <f>INDEX('Path Scorecard'!$AE$5:$AE$80,MATCH($E33,'Path Scorecard'!$H$5:$H$80,0))&amp;" / "&amp;INDEX('Path Scorecard'!$AF$5:$AF$80,MATCH($E33,'Path Scorecard'!$H$5:$H$80,0))</f>
        <v>Amazon / Target</v>
      </c>
      <c r="L33" s="10" t="str">
        <f>INDEX('Path Scorecard'!$AG$5:$AG$80,MATCH($E33,'Path Scorecard'!$H$5:$H$80,0))&amp;" / "&amp;INDEX('Path Scorecard'!$AH$5:$AH$80,MATCH($E33,'Path Scorecard'!$H$5:$H$80,0))</f>
        <v>Bellroy / Urban Outfitters</v>
      </c>
      <c r="M33" s="10" t="s">
        <v>711</v>
      </c>
    </row>
    <row r="34" spans="1:13" ht="92.4" x14ac:dyDescent="0.3">
      <c r="A34" s="6" t="s">
        <v>675</v>
      </c>
      <c r="B34" s="6" t="s">
        <v>757</v>
      </c>
      <c r="C34" s="8" t="s">
        <v>54</v>
      </c>
      <c r="D34" s="6">
        <v>3</v>
      </c>
      <c r="E34" s="6" t="s">
        <v>219</v>
      </c>
      <c r="F34" s="15">
        <v>404</v>
      </c>
      <c r="G34" s="14" t="str">
        <f>INDEX('Path Scorecard'!$Q$5:$Q$80,MATCH($E34,'Path Scorecard'!$H$5:$H$80,0))</f>
        <v>Probable Hero</v>
      </c>
      <c r="H34" s="6" t="str">
        <f>INDEX('Path Scorecard'!$AC$5:$AC$80,MATCH($E34,'Path Scorecard'!$H$5:$H$80,0))</f>
        <v>BUILD</v>
      </c>
      <c r="I34" s="14" t="str">
        <f>INDEX('Path Scorecard'!$AB$5:$AB$80,MATCH($E34,'Path Scorecard'!$H$5:$H$80,0))</f>
        <v>Recommended</v>
      </c>
      <c r="J34" s="9">
        <f>INDEX('Path Scorecard'!$Z$5:$Z$80,MATCH($E34,'Path Scorecard'!$H$5:$H$80,0))</f>
        <v>86</v>
      </c>
      <c r="K34" s="10" t="str">
        <f>INDEX('Path Scorecard'!$AE$5:$AE$80,MATCH($E34,'Path Scorecard'!$H$5:$H$80,0))&amp;" / "&amp;INDEX('Path Scorecard'!$AF$5:$AF$80,MATCH($E34,'Path Scorecard'!$H$5:$H$80,0))</f>
        <v>Amazon / Target</v>
      </c>
      <c r="L34" s="10" t="str">
        <f>INDEX('Path Scorecard'!$AG$5:$AG$80,MATCH($E34,'Path Scorecard'!$H$5:$H$80,0))&amp;" / "&amp;INDEX('Path Scorecard'!$AH$5:$AH$80,MATCH($E34,'Path Scorecard'!$H$5:$H$80,0))</f>
        <v>Bentgo / Pottery Barn Kids</v>
      </c>
      <c r="M34" s="10" t="s">
        <v>711</v>
      </c>
    </row>
    <row r="35" spans="1:13" ht="105.6" x14ac:dyDescent="0.3">
      <c r="A35" s="6" t="s">
        <v>675</v>
      </c>
      <c r="B35" s="6" t="s">
        <v>758</v>
      </c>
      <c r="C35" s="8" t="s">
        <v>60</v>
      </c>
      <c r="D35" s="6">
        <v>3</v>
      </c>
      <c r="E35" s="6" t="s">
        <v>233</v>
      </c>
      <c r="F35" s="15">
        <v>300</v>
      </c>
      <c r="G35" s="14" t="str">
        <f>INDEX('Path Scorecard'!$Q$5:$Q$80,MATCH($E35,'Path Scorecard'!$H$5:$H$80,0))</f>
        <v>Probable Hero</v>
      </c>
      <c r="H35" s="6" t="str">
        <f>INDEX('Path Scorecard'!$AC$5:$AC$80,MATCH($E35,'Path Scorecard'!$H$5:$H$80,0))</f>
        <v>BUILD</v>
      </c>
      <c r="I35" s="14" t="str">
        <f>INDEX('Path Scorecard'!$AB$5:$AB$80,MATCH($E35,'Path Scorecard'!$H$5:$H$80,0))</f>
        <v>Recommended</v>
      </c>
      <c r="J35" s="9">
        <f>INDEX('Path Scorecard'!$Z$5:$Z$80,MATCH($E35,'Path Scorecard'!$H$5:$H$80,0))</f>
        <v>83</v>
      </c>
      <c r="K35" s="10" t="str">
        <f>INDEX('Path Scorecard'!$AE$5:$AE$80,MATCH($E35,'Path Scorecard'!$H$5:$H$80,0))&amp;" / "&amp;INDEX('Path Scorecard'!$AF$5:$AF$80,MATCH($E35,'Path Scorecard'!$H$5:$H$80,0))</f>
        <v>Amazon / Target</v>
      </c>
      <c r="L35" s="10" t="str">
        <f>INDEX('Path Scorecard'!$AG$5:$AG$80,MATCH($E35,'Path Scorecard'!$H$5:$H$80,0))&amp;" / "&amp;INDEX('Path Scorecard'!$AH$5:$AH$80,MATCH($E35,'Path Scorecard'!$H$5:$H$80,0))</f>
        <v>Bellroy / Urban Outfitters</v>
      </c>
      <c r="M35" s="10" t="s">
        <v>711</v>
      </c>
    </row>
    <row r="36" spans="1:13" ht="92.4" x14ac:dyDescent="0.3">
      <c r="A36" s="6" t="s">
        <v>675</v>
      </c>
      <c r="B36" s="6" t="s">
        <v>759</v>
      </c>
      <c r="C36" s="8" t="s">
        <v>317</v>
      </c>
      <c r="D36" s="6">
        <v>3</v>
      </c>
      <c r="E36" s="6" t="s">
        <v>318</v>
      </c>
      <c r="F36" s="15">
        <v>173</v>
      </c>
      <c r="G36" s="14" t="str">
        <f>INDEX('Path Scorecard'!$Q$5:$Q$80,MATCH($E36,'Path Scorecard'!$H$5:$H$80,0))</f>
        <v>Probable Hero</v>
      </c>
      <c r="H36" s="6" t="str">
        <f>INDEX('Path Scorecard'!$AC$5:$AC$80,MATCH($E36,'Path Scorecard'!$H$5:$H$80,0))</f>
        <v>BUILD</v>
      </c>
      <c r="I36" s="14" t="str">
        <f>INDEX('Path Scorecard'!$AB$5:$AB$80,MATCH($E36,'Path Scorecard'!$H$5:$H$80,0))</f>
        <v>Reserve</v>
      </c>
      <c r="J36" s="9">
        <f>INDEX('Path Scorecard'!$Z$5:$Z$80,MATCH($E36,'Path Scorecard'!$H$5:$H$80,0))</f>
        <v>82</v>
      </c>
      <c r="K36" s="10" t="str">
        <f>INDEX('Path Scorecard'!$AE$5:$AE$80,MATCH($E36,'Path Scorecard'!$H$5:$H$80,0))&amp;" / "&amp;INDEX('Path Scorecard'!$AF$5:$AF$80,MATCH($E36,'Path Scorecard'!$H$5:$H$80,0))</f>
        <v>Amazon / Target</v>
      </c>
      <c r="L36" s="10" t="str">
        <f>INDEX('Path Scorecard'!$AG$5:$AG$80,MATCH($E36,'Path Scorecard'!$H$5:$H$80,0))&amp;" / "&amp;INDEX('Path Scorecard'!$AH$5:$AH$80,MATCH($E36,'Path Scorecard'!$H$5:$H$80,0))</f>
        <v>Bellroy / Nordstrom</v>
      </c>
      <c r="M36" s="10" t="s">
        <v>760</v>
      </c>
    </row>
    <row r="37" spans="1:13" ht="132" x14ac:dyDescent="0.3">
      <c r="A37" s="6" t="s">
        <v>675</v>
      </c>
      <c r="B37" s="6" t="s">
        <v>761</v>
      </c>
      <c r="C37" s="8" t="s">
        <v>762</v>
      </c>
      <c r="D37" s="6">
        <v>4</v>
      </c>
      <c r="E37" s="6" t="s">
        <v>763</v>
      </c>
      <c r="F37" s="15">
        <v>881</v>
      </c>
      <c r="G37" s="14" t="str">
        <f>INDEX('Path Scorecard'!$Q$5:$Q$80,MATCH($E37,'Path Scorecard'!$H$5:$H$80,0))</f>
        <v>Probable Hero</v>
      </c>
      <c r="H37" s="6" t="str">
        <f>INDEX('Path Scorecard'!$AC$5:$AC$80,MATCH($E37,'Path Scorecard'!$H$5:$H$80,0))</f>
        <v>BUILD</v>
      </c>
      <c r="I37" s="14" t="str">
        <f>INDEX('Path Scorecard'!$AB$5:$AB$80,MATCH($E37,'Path Scorecard'!$H$5:$H$80,0))</f>
        <v>Parked (gate)</v>
      </c>
      <c r="J37" s="9" t="str">
        <f>INDEX('Path Scorecard'!$Z$5:$Z$80,MATCH($E37,'Path Scorecard'!$H$5:$H$80,0))</f>
        <v>-</v>
      </c>
      <c r="K37" s="10" t="str">
        <f>INDEX('Path Scorecard'!$AE$5:$AE$80,MATCH($E37,'Path Scorecard'!$H$5:$H$80,0))&amp;" / "&amp;INDEX('Path Scorecard'!$AF$5:$AF$80,MATCH($E37,'Path Scorecard'!$H$5:$H$80,0))</f>
        <v>- / -</v>
      </c>
      <c r="L37" s="10" t="str">
        <f>INDEX('Path Scorecard'!$AG$5:$AG$80,MATCH($E37,'Path Scorecard'!$H$5:$H$80,0))&amp;" / "&amp;INDEX('Path Scorecard'!$AH$5:$AH$80,MATCH($E37,'Path Scorecard'!$H$5:$H$80,0))</f>
        <v>- / -</v>
      </c>
      <c r="M37" s="10" t="s">
        <v>764</v>
      </c>
    </row>
    <row r="38" spans="1:13" ht="105.6" x14ac:dyDescent="0.3">
      <c r="A38" s="6" t="s">
        <v>683</v>
      </c>
      <c r="B38" s="6" t="s">
        <v>765</v>
      </c>
      <c r="C38" s="8" t="s">
        <v>42</v>
      </c>
      <c r="D38" s="6">
        <v>3</v>
      </c>
      <c r="E38" s="6" t="s">
        <v>191</v>
      </c>
      <c r="F38" s="15">
        <v>463</v>
      </c>
      <c r="G38" s="14" t="str">
        <f>INDEX('Path Scorecard'!$Q$5:$Q$80,MATCH($E38,'Path Scorecard'!$H$5:$H$80,0))</f>
        <v>Probable Hero</v>
      </c>
      <c r="H38" s="6" t="str">
        <f>INDEX('Path Scorecard'!$AC$5:$AC$80,MATCH($E38,'Path Scorecard'!$H$5:$H$80,0))</f>
        <v>BUILD</v>
      </c>
      <c r="I38" s="14" t="str">
        <f>INDEX('Path Scorecard'!$AB$5:$AB$80,MATCH($E38,'Path Scorecard'!$H$5:$H$80,0))</f>
        <v>Recommended</v>
      </c>
      <c r="J38" s="9">
        <f>INDEX('Path Scorecard'!$Z$5:$Z$80,MATCH($E38,'Path Scorecard'!$H$5:$H$80,0))</f>
        <v>91</v>
      </c>
      <c r="K38" s="10" t="str">
        <f>INDEX('Path Scorecard'!$AE$5:$AE$80,MATCH($E38,'Path Scorecard'!$H$5:$H$80,0))&amp;" / "&amp;INDEX('Path Scorecard'!$AF$5:$AF$80,MATCH($E38,'Path Scorecard'!$H$5:$H$80,0))</f>
        <v>Dick's Sporting Goods / Target</v>
      </c>
      <c r="L38" s="10" t="str">
        <f>INDEX('Path Scorecard'!$AG$5:$AG$80,MATCH($E38,'Path Scorecard'!$H$5:$H$80,0))&amp;" / "&amp;INDEX('Path Scorecard'!$AH$5:$AH$80,MATCH($E38,'Path Scorecard'!$H$5:$H$80,0))</f>
        <v>Scheels / YETI</v>
      </c>
      <c r="M38" s="10" t="s">
        <v>711</v>
      </c>
    </row>
    <row r="39" spans="1:13" ht="105.6" x14ac:dyDescent="0.3">
      <c r="A39" s="6" t="s">
        <v>683</v>
      </c>
      <c r="B39" s="6" t="s">
        <v>766</v>
      </c>
      <c r="C39" s="8" t="s">
        <v>767</v>
      </c>
      <c r="D39" s="6">
        <v>4</v>
      </c>
      <c r="E39" s="6" t="s">
        <v>768</v>
      </c>
      <c r="F39" s="15">
        <v>15</v>
      </c>
      <c r="G39" s="14" t="str">
        <f>INDEX('Path Scorecard'!$Q$5:$Q$80,MATCH($E39,'Path Scorecard'!$H$5:$H$80,0))</f>
        <v>Probable Hero</v>
      </c>
      <c r="H39" s="6" t="str">
        <f>INDEX('Path Scorecard'!$AC$5:$AC$80,MATCH($E39,'Path Scorecard'!$H$5:$H$80,0))</f>
        <v>BUILD</v>
      </c>
      <c r="I39" s="14" t="str">
        <f>INDEX('Path Scorecard'!$AB$5:$AB$80,MATCH($E39,'Path Scorecard'!$H$5:$H$80,0))</f>
        <v>Parked (gate)</v>
      </c>
      <c r="J39" s="9" t="str">
        <f>INDEX('Path Scorecard'!$Z$5:$Z$80,MATCH($E39,'Path Scorecard'!$H$5:$H$80,0))</f>
        <v>-</v>
      </c>
      <c r="K39" s="10" t="str">
        <f>INDEX('Path Scorecard'!$AE$5:$AE$80,MATCH($E39,'Path Scorecard'!$H$5:$H$80,0))&amp;" / "&amp;INDEX('Path Scorecard'!$AF$5:$AF$80,MATCH($E39,'Path Scorecard'!$H$5:$H$80,0))</f>
        <v>- / -</v>
      </c>
      <c r="L39" s="10" t="str">
        <f>INDEX('Path Scorecard'!$AG$5:$AG$80,MATCH($E39,'Path Scorecard'!$H$5:$H$80,0))&amp;" / "&amp;INDEX('Path Scorecard'!$AH$5:$AH$80,MATCH($E39,'Path Scorecard'!$H$5:$H$80,0))</f>
        <v>- / -</v>
      </c>
      <c r="M39" s="10" t="s">
        <v>769</v>
      </c>
    </row>
    <row r="40" spans="1:13" ht="66" x14ac:dyDescent="0.3">
      <c r="A40" s="6" t="s">
        <v>689</v>
      </c>
      <c r="B40" s="6" t="s">
        <v>770</v>
      </c>
      <c r="C40" s="8" t="s">
        <v>295</v>
      </c>
      <c r="D40" s="6">
        <v>3</v>
      </c>
      <c r="E40" s="6" t="s">
        <v>296</v>
      </c>
      <c r="F40" s="15">
        <v>148</v>
      </c>
      <c r="G40" s="14" t="str">
        <f>INDEX('Path Scorecard'!$Q$5:$Q$80,MATCH($E40,'Path Scorecard'!$H$5:$H$80,0))</f>
        <v>Hero</v>
      </c>
      <c r="H40" s="6" t="str">
        <f>INDEX('Path Scorecard'!$AC$5:$AC$80,MATCH($E40,'Path Scorecard'!$H$5:$H$80,0))</f>
        <v>EXTEND</v>
      </c>
      <c r="I40" s="14" t="str">
        <f>INDEX('Path Scorecard'!$AB$5:$AB$80,MATCH($E40,'Path Scorecard'!$H$5:$H$80,0))</f>
        <v>Reserve</v>
      </c>
      <c r="J40" s="9">
        <f>INDEX('Path Scorecard'!$Z$5:$Z$80,MATCH($E40,'Path Scorecard'!$H$5:$H$80,0))</f>
        <v>73</v>
      </c>
      <c r="K40" s="10" t="str">
        <f>INDEX('Path Scorecard'!$AE$5:$AE$80,MATCH($E40,'Path Scorecard'!$H$5:$H$80,0))&amp;" / "&amp;INDEX('Path Scorecard'!$AF$5:$AF$80,MATCH($E40,'Path Scorecard'!$H$5:$H$80,0))</f>
        <v>Amazon / Walmart</v>
      </c>
      <c r="L40" s="10" t="str">
        <f>INDEX('Path Scorecard'!$AG$5:$AG$80,MATCH($E40,'Path Scorecard'!$H$5:$H$80,0))&amp;" / "&amp;INDEX('Path Scorecard'!$AH$5:$AH$80,MATCH($E40,'Path Scorecard'!$H$5:$H$80,0))</f>
        <v>Michaels / The Container Store</v>
      </c>
      <c r="M40" s="10" t="s">
        <v>760</v>
      </c>
    </row>
    <row r="41" spans="1:13" ht="92.4" x14ac:dyDescent="0.3">
      <c r="A41" s="6" t="s">
        <v>689</v>
      </c>
      <c r="B41" s="6" t="s">
        <v>771</v>
      </c>
      <c r="C41" s="8" t="s">
        <v>306</v>
      </c>
      <c r="D41" s="6">
        <v>3</v>
      </c>
      <c r="E41" s="6" t="s">
        <v>307</v>
      </c>
      <c r="F41" s="15">
        <v>396</v>
      </c>
      <c r="G41" s="14" t="str">
        <f>INDEX('Path Scorecard'!$Q$5:$Q$80,MATCH($E41,'Path Scorecard'!$H$5:$H$80,0))</f>
        <v>Hero</v>
      </c>
      <c r="H41" s="6" t="str">
        <f>INDEX('Path Scorecard'!$AC$5:$AC$80,MATCH($E41,'Path Scorecard'!$H$5:$H$80,0))</f>
        <v>EXTEND</v>
      </c>
      <c r="I41" s="14" t="str">
        <f>INDEX('Path Scorecard'!$AB$5:$AB$80,MATCH($E41,'Path Scorecard'!$H$5:$H$80,0))</f>
        <v>Reserve</v>
      </c>
      <c r="J41" s="9">
        <f>INDEX('Path Scorecard'!$Z$5:$Z$80,MATCH($E41,'Path Scorecard'!$H$5:$H$80,0))</f>
        <v>73</v>
      </c>
      <c r="K41" s="10" t="str">
        <f>INDEX('Path Scorecard'!$AE$5:$AE$80,MATCH($E41,'Path Scorecard'!$H$5:$H$80,0))&amp;" / "&amp;INDEX('Path Scorecard'!$AF$5:$AF$80,MATCH($E41,'Path Scorecard'!$H$5:$H$80,0))</f>
        <v>Amazon / Uline</v>
      </c>
      <c r="L41" s="10" t="str">
        <f>INDEX('Path Scorecard'!$AG$5:$AG$80,MATCH($E41,'Path Scorecard'!$H$5:$H$80,0))&amp;" / "&amp;INDEX('Path Scorecard'!$AH$5:$AH$80,MATCH($E41,'Path Scorecard'!$H$5:$H$80,0))</f>
        <v>noissue / Packhelp</v>
      </c>
      <c r="M41" s="10" t="s">
        <v>760</v>
      </c>
    </row>
    <row r="42" spans="1:13" ht="79.2" x14ac:dyDescent="0.3">
      <c r="A42" s="6" t="s">
        <v>689</v>
      </c>
      <c r="B42" s="6" t="s">
        <v>772</v>
      </c>
      <c r="C42" s="8" t="s">
        <v>773</v>
      </c>
      <c r="D42" s="6">
        <v>3</v>
      </c>
      <c r="E42" s="6" t="s">
        <v>774</v>
      </c>
      <c r="F42" s="15">
        <v>99</v>
      </c>
      <c r="G42" s="14" t="str">
        <f>INDEX('Path Scorecard'!$Q$5:$Q$80,MATCH($E42,'Path Scorecard'!$H$5:$H$80,0))</f>
        <v>Probable Hero</v>
      </c>
      <c r="H42" s="6" t="str">
        <f>INDEX('Path Scorecard'!$AC$5:$AC$80,MATCH($E42,'Path Scorecard'!$H$5:$H$80,0))</f>
        <v>BUILD</v>
      </c>
      <c r="I42" s="14" t="str">
        <f>INDEX('Path Scorecard'!$AB$5:$AB$80,MATCH($E42,'Path Scorecard'!$H$5:$H$80,0))</f>
        <v>Backlog</v>
      </c>
      <c r="J42" s="9">
        <f>INDEX('Path Scorecard'!$Z$5:$Z$80,MATCH($E42,'Path Scorecard'!$H$5:$H$80,0))</f>
        <v>77</v>
      </c>
      <c r="K42" s="10" t="str">
        <f>INDEX('Path Scorecard'!$AE$5:$AE$80,MATCH($E42,'Path Scorecard'!$H$5:$H$80,0))&amp;" / "&amp;INDEX('Path Scorecard'!$AF$5:$AF$80,MATCH($E42,'Path Scorecard'!$H$5:$H$80,0))</f>
        <v>- / -</v>
      </c>
      <c r="L42" s="10" t="str">
        <f>INDEX('Path Scorecard'!$AG$5:$AG$80,MATCH($E42,'Path Scorecard'!$H$5:$H$80,0))&amp;" / "&amp;INDEX('Path Scorecard'!$AH$5:$AH$80,MATCH($E42,'Path Scorecard'!$H$5:$H$80,0))</f>
        <v>- / -</v>
      </c>
      <c r="M42" s="10" t="s">
        <v>674</v>
      </c>
    </row>
    <row r="43" spans="1:13" ht="39.6" x14ac:dyDescent="0.3">
      <c r="A43" s="6" t="s">
        <v>689</v>
      </c>
      <c r="B43" s="6" t="s">
        <v>775</v>
      </c>
      <c r="C43" s="8" t="s">
        <v>776</v>
      </c>
      <c r="D43" s="6">
        <v>2</v>
      </c>
      <c r="E43" s="6" t="s">
        <v>777</v>
      </c>
      <c r="F43" s="15">
        <v>11493</v>
      </c>
      <c r="G43" s="14" t="str">
        <f>INDEX('Path Scorecard'!$Q$5:$Q$80,MATCH($E43,'Path Scorecard'!$H$5:$H$80,0))</f>
        <v>Hero</v>
      </c>
      <c r="H43" s="6" t="str">
        <f>INDEX('Path Scorecard'!$AC$5:$AC$80,MATCH($E43,'Path Scorecard'!$H$5:$H$80,0))</f>
        <v>PROTECT</v>
      </c>
      <c r="I43" s="14" t="str">
        <f>INDEX('Path Scorecard'!$AB$5:$AB$80,MATCH($E43,'Path Scorecard'!$H$5:$H$80,0))</f>
        <v>Parked (gate)</v>
      </c>
      <c r="J43" s="9" t="str">
        <f>INDEX('Path Scorecard'!$Z$5:$Z$80,MATCH($E43,'Path Scorecard'!$H$5:$H$80,0))</f>
        <v>-</v>
      </c>
      <c r="K43" s="10" t="str">
        <f>INDEX('Path Scorecard'!$AE$5:$AE$80,MATCH($E43,'Path Scorecard'!$H$5:$H$80,0))&amp;" / "&amp;INDEX('Path Scorecard'!$AF$5:$AF$80,MATCH($E43,'Path Scorecard'!$H$5:$H$80,0))</f>
        <v>- / -</v>
      </c>
      <c r="L43" s="10" t="str">
        <f>INDEX('Path Scorecard'!$AG$5:$AG$80,MATCH($E43,'Path Scorecard'!$H$5:$H$80,0))&amp;" / "&amp;INDEX('Path Scorecard'!$AH$5:$AH$80,MATCH($E43,'Path Scorecard'!$H$5:$H$80,0))</f>
        <v>- / -</v>
      </c>
      <c r="M43" s="10" t="s">
        <v>778</v>
      </c>
    </row>
    <row r="44" spans="1:13" ht="79.2" x14ac:dyDescent="0.3">
      <c r="A44" s="6" t="s">
        <v>689</v>
      </c>
      <c r="B44" s="6" t="s">
        <v>779</v>
      </c>
      <c r="C44" s="8" t="s">
        <v>780</v>
      </c>
      <c r="D44" s="6">
        <v>3</v>
      </c>
      <c r="E44" s="6" t="s">
        <v>781</v>
      </c>
      <c r="F44" s="15">
        <v>123</v>
      </c>
      <c r="G44" s="14" t="str">
        <f>INDEX('Path Scorecard'!$Q$5:$Q$80,MATCH($E44,'Path Scorecard'!$H$5:$H$80,0))</f>
        <v>Hero</v>
      </c>
      <c r="H44" s="6" t="str">
        <f>INDEX('Path Scorecard'!$AC$5:$AC$80,MATCH($E44,'Path Scorecard'!$H$5:$H$80,0))</f>
        <v>PROTECT</v>
      </c>
      <c r="I44" s="14" t="str">
        <f>INDEX('Path Scorecard'!$AB$5:$AB$80,MATCH($E44,'Path Scorecard'!$H$5:$H$80,0))</f>
        <v>Parked (gate)</v>
      </c>
      <c r="J44" s="9" t="str">
        <f>INDEX('Path Scorecard'!$Z$5:$Z$80,MATCH($E44,'Path Scorecard'!$H$5:$H$80,0))</f>
        <v>-</v>
      </c>
      <c r="K44" s="10" t="str">
        <f>INDEX('Path Scorecard'!$AE$5:$AE$80,MATCH($E44,'Path Scorecard'!$H$5:$H$80,0))&amp;" / "&amp;INDEX('Path Scorecard'!$AF$5:$AF$80,MATCH($E44,'Path Scorecard'!$H$5:$H$80,0))</f>
        <v>- / -</v>
      </c>
      <c r="L44" s="10" t="str">
        <f>INDEX('Path Scorecard'!$AG$5:$AG$80,MATCH($E44,'Path Scorecard'!$H$5:$H$80,0))&amp;" / "&amp;INDEX('Path Scorecard'!$AH$5:$AH$80,MATCH($E44,'Path Scorecard'!$H$5:$H$80,0))</f>
        <v>- / -</v>
      </c>
      <c r="M44" s="10" t="s">
        <v>782</v>
      </c>
    </row>
    <row r="45" spans="1:13" ht="92.4" x14ac:dyDescent="0.3">
      <c r="A45" s="6" t="s">
        <v>689</v>
      </c>
      <c r="B45" s="6" t="s">
        <v>783</v>
      </c>
      <c r="C45" s="8" t="s">
        <v>784</v>
      </c>
      <c r="D45" s="6">
        <v>3</v>
      </c>
      <c r="E45" s="6" t="s">
        <v>785</v>
      </c>
      <c r="F45" s="15">
        <v>149</v>
      </c>
      <c r="G45" s="14" t="str">
        <f>INDEX('Path Scorecard'!$Q$5:$Q$80,MATCH($E45,'Path Scorecard'!$H$5:$H$80,0))</f>
        <v>Hero</v>
      </c>
      <c r="H45" s="6" t="str">
        <f>INDEX('Path Scorecard'!$AC$5:$AC$80,MATCH($E45,'Path Scorecard'!$H$5:$H$80,0))</f>
        <v>PROTECT</v>
      </c>
      <c r="I45" s="14" t="str">
        <f>INDEX('Path Scorecard'!$AB$5:$AB$80,MATCH($E45,'Path Scorecard'!$H$5:$H$80,0))</f>
        <v>Parked (gate)</v>
      </c>
      <c r="J45" s="9" t="str">
        <f>INDEX('Path Scorecard'!$Z$5:$Z$80,MATCH($E45,'Path Scorecard'!$H$5:$H$80,0))</f>
        <v>-</v>
      </c>
      <c r="K45" s="10" t="str">
        <f>INDEX('Path Scorecard'!$AE$5:$AE$80,MATCH($E45,'Path Scorecard'!$H$5:$H$80,0))&amp;" / "&amp;INDEX('Path Scorecard'!$AF$5:$AF$80,MATCH($E45,'Path Scorecard'!$H$5:$H$80,0))</f>
        <v>- / -</v>
      </c>
      <c r="L45" s="10" t="str">
        <f>INDEX('Path Scorecard'!$AG$5:$AG$80,MATCH($E45,'Path Scorecard'!$H$5:$H$80,0))&amp;" / "&amp;INDEX('Path Scorecard'!$AH$5:$AH$80,MATCH($E45,'Path Scorecard'!$H$5:$H$80,0))</f>
        <v>- / -</v>
      </c>
      <c r="M45" s="10" t="s">
        <v>782</v>
      </c>
    </row>
    <row r="46" spans="1:13" ht="92.4" x14ac:dyDescent="0.3">
      <c r="A46" s="6" t="s">
        <v>697</v>
      </c>
      <c r="B46" s="6" t="s">
        <v>786</v>
      </c>
      <c r="C46" s="8" t="s">
        <v>21</v>
      </c>
      <c r="D46" s="6">
        <v>3</v>
      </c>
      <c r="E46" s="6" t="s">
        <v>142</v>
      </c>
      <c r="F46" s="15">
        <v>1037</v>
      </c>
      <c r="G46" s="14" t="str">
        <f>INDEX('Path Scorecard'!$Q$5:$Q$80,MATCH($E46,'Path Scorecard'!$H$5:$H$80,0))</f>
        <v>Hero</v>
      </c>
      <c r="H46" s="6" t="str">
        <f>INDEX('Path Scorecard'!$AC$5:$AC$80,MATCH($E46,'Path Scorecard'!$H$5:$H$80,0))</f>
        <v>EXTEND</v>
      </c>
      <c r="I46" s="14" t="str">
        <f>INDEX('Path Scorecard'!$AB$5:$AB$80,MATCH($E46,'Path Scorecard'!$H$5:$H$80,0))</f>
        <v>Recommended</v>
      </c>
      <c r="J46" s="9">
        <f>INDEX('Path Scorecard'!$Z$5:$Z$80,MATCH($E46,'Path Scorecard'!$H$5:$H$80,0))</f>
        <v>95</v>
      </c>
      <c r="K46" s="10" t="str">
        <f>INDEX('Path Scorecard'!$AE$5:$AE$80,MATCH($E46,'Path Scorecard'!$H$5:$H$80,0))&amp;" / "&amp;INDEX('Path Scorecard'!$AF$5:$AF$80,MATCH($E46,'Path Scorecard'!$H$5:$H$80,0))</f>
        <v>Amazon / Target</v>
      </c>
      <c r="L46" s="10" t="str">
        <f>INDEX('Path Scorecard'!$AG$5:$AG$80,MATCH($E46,'Path Scorecard'!$H$5:$H$80,0))&amp;" / "&amp;INDEX('Path Scorecard'!$AH$5:$AH$80,MATCH($E46,'Path Scorecard'!$H$5:$H$80,0))</f>
        <v>Erin Condren / Michaels</v>
      </c>
      <c r="M46" s="10" t="s">
        <v>711</v>
      </c>
    </row>
    <row r="47" spans="1:13" ht="79.2" x14ac:dyDescent="0.3">
      <c r="A47" s="6" t="s">
        <v>697</v>
      </c>
      <c r="B47" s="6" t="s">
        <v>787</v>
      </c>
      <c r="C47" s="8" t="s">
        <v>328</v>
      </c>
      <c r="D47" s="6">
        <v>3</v>
      </c>
      <c r="E47" s="6" t="s">
        <v>329</v>
      </c>
      <c r="F47" s="15">
        <v>253</v>
      </c>
      <c r="G47" s="14" t="str">
        <f>INDEX('Path Scorecard'!$Q$5:$Q$80,MATCH($E47,'Path Scorecard'!$H$5:$H$80,0))</f>
        <v>Probable Hero</v>
      </c>
      <c r="H47" s="6" t="str">
        <f>INDEX('Path Scorecard'!$AC$5:$AC$80,MATCH($E47,'Path Scorecard'!$H$5:$H$80,0))</f>
        <v>BUILD</v>
      </c>
      <c r="I47" s="14" t="str">
        <f>INDEX('Path Scorecard'!$AB$5:$AB$80,MATCH($E47,'Path Scorecard'!$H$5:$H$80,0))</f>
        <v>Reserve</v>
      </c>
      <c r="J47" s="9">
        <f>INDEX('Path Scorecard'!$Z$5:$Z$80,MATCH($E47,'Path Scorecard'!$H$5:$H$80,0))</f>
        <v>80</v>
      </c>
      <c r="K47" s="10" t="str">
        <f>INDEX('Path Scorecard'!$AE$5:$AE$80,MATCH($E47,'Path Scorecard'!$H$5:$H$80,0))&amp;" / "&amp;INDEX('Path Scorecard'!$AF$5:$AF$80,MATCH($E47,'Path Scorecard'!$H$5:$H$80,0))</f>
        <v>Amazon / Target</v>
      </c>
      <c r="L47" s="10" t="str">
        <f>INDEX('Path Scorecard'!$AG$5:$AG$80,MATCH($E47,'Path Scorecard'!$H$5:$H$80,0))&amp;" / "&amp;INDEX('Path Scorecard'!$AH$5:$AH$80,MATCH($E47,'Path Scorecard'!$H$5:$H$80,0))</f>
        <v>JetPens / Kinokuniya</v>
      </c>
      <c r="M47" s="10" t="s">
        <v>760</v>
      </c>
    </row>
    <row r="48" spans="1:13" ht="66" x14ac:dyDescent="0.3">
      <c r="A48" s="6" t="s">
        <v>697</v>
      </c>
      <c r="B48" s="6" t="s">
        <v>788</v>
      </c>
      <c r="C48" s="8" t="s">
        <v>284</v>
      </c>
      <c r="D48" s="6">
        <v>3</v>
      </c>
      <c r="E48" s="6" t="s">
        <v>285</v>
      </c>
      <c r="F48" s="15">
        <v>1234</v>
      </c>
      <c r="G48" s="14" t="str">
        <f>INDEX('Path Scorecard'!$Q$5:$Q$80,MATCH($E48,'Path Scorecard'!$H$5:$H$80,0))</f>
        <v>Hero</v>
      </c>
      <c r="H48" s="6" t="str">
        <f>INDEX('Path Scorecard'!$AC$5:$AC$80,MATCH($E48,'Path Scorecard'!$H$5:$H$80,0))</f>
        <v>EXTEND</v>
      </c>
      <c r="I48" s="14" t="str">
        <f>INDEX('Path Scorecard'!$AB$5:$AB$80,MATCH($E48,'Path Scorecard'!$H$5:$H$80,0))</f>
        <v>Reserve</v>
      </c>
      <c r="J48" s="9">
        <f>INDEX('Path Scorecard'!$Z$5:$Z$80,MATCH($E48,'Path Scorecard'!$H$5:$H$80,0))</f>
        <v>74</v>
      </c>
      <c r="K48" s="10" t="str">
        <f>INDEX('Path Scorecard'!$AE$5:$AE$80,MATCH($E48,'Path Scorecard'!$H$5:$H$80,0))&amp;" / "&amp;INDEX('Path Scorecard'!$AF$5:$AF$80,MATCH($E48,'Path Scorecard'!$H$5:$H$80,0))</f>
        <v>Amazon / Target</v>
      </c>
      <c r="L48" s="10" t="str">
        <f>INDEX('Path Scorecard'!$AG$5:$AG$80,MATCH($E48,'Path Scorecard'!$H$5:$H$80,0))&amp;" / "&amp;INDEX('Path Scorecard'!$AH$5:$AH$80,MATCH($E48,'Path Scorecard'!$H$5:$H$80,0))</f>
        <v>Erin Condren / Etsy</v>
      </c>
      <c r="M48" s="10" t="s">
        <v>760</v>
      </c>
    </row>
    <row r="49" spans="1:13" ht="92.4" x14ac:dyDescent="0.3">
      <c r="A49" s="6" t="s">
        <v>697</v>
      </c>
      <c r="B49" s="6" t="s">
        <v>789</v>
      </c>
      <c r="C49" s="8" t="s">
        <v>790</v>
      </c>
      <c r="D49" s="6">
        <v>3</v>
      </c>
      <c r="E49" s="6" t="s">
        <v>791</v>
      </c>
      <c r="F49" s="15">
        <v>166</v>
      </c>
      <c r="G49" s="14" t="str">
        <f>INDEX('Path Scorecard'!$Q$5:$Q$80,MATCH($E49,'Path Scorecard'!$H$5:$H$80,0))</f>
        <v>Probable Hero</v>
      </c>
      <c r="H49" s="6" t="str">
        <f>INDEX('Path Scorecard'!$AC$5:$AC$80,MATCH($E49,'Path Scorecard'!$H$5:$H$80,0))</f>
        <v>BUILD</v>
      </c>
      <c r="I49" s="14" t="str">
        <f>INDEX('Path Scorecard'!$AB$5:$AB$80,MATCH($E49,'Path Scorecard'!$H$5:$H$80,0))</f>
        <v>Backlog</v>
      </c>
      <c r="J49" s="9">
        <f>INDEX('Path Scorecard'!$Z$5:$Z$80,MATCH($E49,'Path Scorecard'!$H$5:$H$80,0))</f>
        <v>78</v>
      </c>
      <c r="K49" s="10" t="str">
        <f>INDEX('Path Scorecard'!$AE$5:$AE$80,MATCH($E49,'Path Scorecard'!$H$5:$H$80,0))&amp;" / "&amp;INDEX('Path Scorecard'!$AF$5:$AF$80,MATCH($E49,'Path Scorecard'!$H$5:$H$80,0))</f>
        <v>- / -</v>
      </c>
      <c r="L49" s="10" t="str">
        <f>INDEX('Path Scorecard'!$AG$5:$AG$80,MATCH($E49,'Path Scorecard'!$H$5:$H$80,0))&amp;" / "&amp;INDEX('Path Scorecard'!$AH$5:$AH$80,MATCH($E49,'Path Scorecard'!$H$5:$H$80,0))</f>
        <v>- / -</v>
      </c>
      <c r="M49" s="10" t="s">
        <v>674</v>
      </c>
    </row>
    <row r="50" spans="1:13" ht="92.4" x14ac:dyDescent="0.3">
      <c r="A50" s="6" t="s">
        <v>697</v>
      </c>
      <c r="B50" s="6" t="s">
        <v>792</v>
      </c>
      <c r="C50" s="8" t="s">
        <v>793</v>
      </c>
      <c r="D50" s="6">
        <v>4</v>
      </c>
      <c r="E50" s="6" t="s">
        <v>794</v>
      </c>
      <c r="F50" s="15">
        <v>32</v>
      </c>
      <c r="G50" s="14" t="str">
        <f>INDEX('Path Scorecard'!$Q$5:$Q$80,MATCH($E50,'Path Scorecard'!$H$5:$H$80,0))</f>
        <v>Probable Hero</v>
      </c>
      <c r="H50" s="6" t="str">
        <f>INDEX('Path Scorecard'!$AC$5:$AC$80,MATCH($E50,'Path Scorecard'!$H$5:$H$80,0))</f>
        <v>BUILD</v>
      </c>
      <c r="I50" s="14" t="str">
        <f>INDEX('Path Scorecard'!$AB$5:$AB$80,MATCH($E50,'Path Scorecard'!$H$5:$H$80,0))</f>
        <v>Backlog</v>
      </c>
      <c r="J50" s="9">
        <f>INDEX('Path Scorecard'!$Z$5:$Z$80,MATCH($E50,'Path Scorecard'!$H$5:$H$80,0))</f>
        <v>78</v>
      </c>
      <c r="K50" s="10" t="str">
        <f>INDEX('Path Scorecard'!$AE$5:$AE$80,MATCH($E50,'Path Scorecard'!$H$5:$H$80,0))&amp;" / "&amp;INDEX('Path Scorecard'!$AF$5:$AF$80,MATCH($E50,'Path Scorecard'!$H$5:$H$80,0))</f>
        <v>- / -</v>
      </c>
      <c r="L50" s="10" t="str">
        <f>INDEX('Path Scorecard'!$AG$5:$AG$80,MATCH($E50,'Path Scorecard'!$H$5:$H$80,0))&amp;" / "&amp;INDEX('Path Scorecard'!$AH$5:$AH$80,MATCH($E50,'Path Scorecard'!$H$5:$H$80,0))</f>
        <v>- / -</v>
      </c>
      <c r="M50" s="10" t="s">
        <v>674</v>
      </c>
    </row>
    <row r="51" spans="1:13" ht="66" x14ac:dyDescent="0.3">
      <c r="A51" s="6" t="s">
        <v>697</v>
      </c>
      <c r="B51" s="6" t="s">
        <v>795</v>
      </c>
      <c r="C51" s="8" t="s">
        <v>796</v>
      </c>
      <c r="D51" s="6">
        <v>3</v>
      </c>
      <c r="E51" s="6" t="s">
        <v>797</v>
      </c>
      <c r="F51" s="15">
        <v>63</v>
      </c>
      <c r="G51" s="14" t="str">
        <f>INDEX('Path Scorecard'!$Q$5:$Q$80,MATCH($E51,'Path Scorecard'!$H$5:$H$80,0))</f>
        <v>Probable Hero</v>
      </c>
      <c r="H51" s="6" t="str">
        <f>INDEX('Path Scorecard'!$AC$5:$AC$80,MATCH($E51,'Path Scorecard'!$H$5:$H$80,0))</f>
        <v>BUILD</v>
      </c>
      <c r="I51" s="14" t="str">
        <f>INDEX('Path Scorecard'!$AB$5:$AB$80,MATCH($E51,'Path Scorecard'!$H$5:$H$80,0))</f>
        <v>Backlog</v>
      </c>
      <c r="J51" s="9">
        <f>INDEX('Path Scorecard'!$Z$5:$Z$80,MATCH($E51,'Path Scorecard'!$H$5:$H$80,0))</f>
        <v>72</v>
      </c>
      <c r="K51" s="10" t="str">
        <f>INDEX('Path Scorecard'!$AE$5:$AE$80,MATCH($E51,'Path Scorecard'!$H$5:$H$80,0))&amp;" / "&amp;INDEX('Path Scorecard'!$AF$5:$AF$80,MATCH($E51,'Path Scorecard'!$H$5:$H$80,0))</f>
        <v>- / -</v>
      </c>
      <c r="L51" s="10" t="str">
        <f>INDEX('Path Scorecard'!$AG$5:$AG$80,MATCH($E51,'Path Scorecard'!$H$5:$H$80,0))&amp;" / "&amp;INDEX('Path Scorecard'!$AH$5:$AH$80,MATCH($E51,'Path Scorecard'!$H$5:$H$80,0))</f>
        <v>- / -</v>
      </c>
      <c r="M51" s="10" t="s">
        <v>674</v>
      </c>
    </row>
    <row r="52" spans="1:13" ht="66" x14ac:dyDescent="0.3">
      <c r="A52" s="6" t="s">
        <v>697</v>
      </c>
      <c r="B52" s="6" t="s">
        <v>798</v>
      </c>
      <c r="C52" s="8" t="s">
        <v>799</v>
      </c>
      <c r="D52" s="6">
        <v>3</v>
      </c>
      <c r="E52" s="6" t="s">
        <v>800</v>
      </c>
      <c r="F52" s="15">
        <v>66</v>
      </c>
      <c r="G52" s="14" t="str">
        <f>INDEX('Path Scorecard'!$Q$5:$Q$80,MATCH($E52,'Path Scorecard'!$H$5:$H$80,0))</f>
        <v>Non-Hero</v>
      </c>
      <c r="H52" s="6" t="str">
        <f>INDEX('Path Scorecard'!$AC$5:$AC$80,MATCH($E52,'Path Scorecard'!$H$5:$H$80,0))</f>
        <v>EXPLORE</v>
      </c>
      <c r="I52" s="14" t="str">
        <f>INDEX('Path Scorecard'!$AB$5:$AB$80,MATCH($E52,'Path Scorecard'!$H$5:$H$80,0))</f>
        <v>Backlog</v>
      </c>
      <c r="J52" s="9">
        <f>INDEX('Path Scorecard'!$Z$5:$Z$80,MATCH($E52,'Path Scorecard'!$H$5:$H$80,0))</f>
        <v>63</v>
      </c>
      <c r="K52" s="10" t="str">
        <f>INDEX('Path Scorecard'!$AE$5:$AE$80,MATCH($E52,'Path Scorecard'!$H$5:$H$80,0))&amp;" / "&amp;INDEX('Path Scorecard'!$AF$5:$AF$80,MATCH($E52,'Path Scorecard'!$H$5:$H$80,0))</f>
        <v>Michaels / Container Store</v>
      </c>
      <c r="L52" s="10" t="str">
        <f>INDEX('Path Scorecard'!$AG$5:$AG$80,MATCH($E52,'Path Scorecard'!$H$5:$H$80,0))&amp;" / "&amp;INDEX('Path Scorecard'!$AH$5:$AH$80,MATCH($E52,'Path Scorecard'!$H$5:$H$80,0))</f>
        <v>- / -</v>
      </c>
      <c r="M52" s="10" t="s">
        <v>674</v>
      </c>
    </row>
    <row r="53" spans="1:13" ht="79.2" x14ac:dyDescent="0.3">
      <c r="A53" s="6" t="s">
        <v>697</v>
      </c>
      <c r="B53" s="6" t="s">
        <v>801</v>
      </c>
      <c r="C53" s="8" t="s">
        <v>802</v>
      </c>
      <c r="D53" s="6">
        <v>3</v>
      </c>
      <c r="E53" s="6" t="s">
        <v>803</v>
      </c>
      <c r="F53" s="15">
        <v>660</v>
      </c>
      <c r="G53" s="14" t="str">
        <f>INDEX('Path Scorecard'!$Q$5:$Q$80,MATCH($E53,'Path Scorecard'!$H$5:$H$80,0))</f>
        <v>Hero</v>
      </c>
      <c r="H53" s="6" t="str">
        <f>INDEX('Path Scorecard'!$AC$5:$AC$80,MATCH($E53,'Path Scorecard'!$H$5:$H$80,0))</f>
        <v>EXTEND</v>
      </c>
      <c r="I53" s="14" t="str">
        <f>INDEX('Path Scorecard'!$AB$5:$AB$80,MATCH($E53,'Path Scorecard'!$H$5:$H$80,0))</f>
        <v>Backlog</v>
      </c>
      <c r="J53" s="9">
        <f>INDEX('Path Scorecard'!$Z$5:$Z$80,MATCH($E53,'Path Scorecard'!$H$5:$H$80,0))</f>
        <v>72</v>
      </c>
      <c r="K53" s="10" t="str">
        <f>INDEX('Path Scorecard'!$AE$5:$AE$80,MATCH($E53,'Path Scorecard'!$H$5:$H$80,0))&amp;" / "&amp;INDEX('Path Scorecard'!$AF$5:$AF$80,MATCH($E53,'Path Scorecard'!$H$5:$H$80,0))</f>
        <v>- / -</v>
      </c>
      <c r="L53" s="10" t="str">
        <f>INDEX('Path Scorecard'!$AG$5:$AG$80,MATCH($E53,'Path Scorecard'!$H$5:$H$80,0))&amp;" / "&amp;INDEX('Path Scorecard'!$AH$5:$AH$80,MATCH($E53,'Path Scorecard'!$H$5:$H$80,0))</f>
        <v>- / -</v>
      </c>
      <c r="M53" s="10" t="s">
        <v>674</v>
      </c>
    </row>
  </sheetData>
  <conditionalFormatting sqref="G17:G53">
    <cfRule type="expression" dxfId="35" priority="1">
      <formula>$G17="Hero"</formula>
    </cfRule>
    <cfRule type="expression" dxfId="34" priority="2">
      <formula>$G17="Probable Hero"</formula>
    </cfRule>
    <cfRule type="expression" dxfId="33" priority="3">
      <formula>$G17="Non-Hero"</formula>
    </cfRule>
  </conditionalFormatting>
  <conditionalFormatting sqref="I17:I53">
    <cfRule type="expression" dxfId="32" priority="4">
      <formula>LEFT($I17,11)="Recommended"</formula>
    </cfRule>
    <cfRule type="expression" dxfId="31" priority="5">
      <formula>LEFT($I17,7)="Reserve"</formula>
    </cfRule>
    <cfRule type="expression" dxfId="30" priority="6">
      <formula>LEFT($I17,7)="Backlog"</formula>
    </cfRule>
    <cfRule type="expression" dxfId="29" priority="7">
      <formula>LEFT($I17,7)="Protect"</formula>
    </cfRule>
    <cfRule type="expression" dxfId="28" priority="8">
      <formula>LEFT($I17,6)="Parked"</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6A6A6"/>
  </sheetPr>
  <dimension ref="A1:F34"/>
  <sheetViews>
    <sheetView showGridLines="0" workbookViewId="0"/>
  </sheetViews>
  <sheetFormatPr defaultRowHeight="14.4" x14ac:dyDescent="0.3"/>
  <cols>
    <col min="1" max="1" width="8" customWidth="1"/>
    <col min="2" max="2" width="34" customWidth="1"/>
    <col min="3" max="3" width="48" customWidth="1"/>
    <col min="4" max="5" width="38" customWidth="1"/>
    <col min="6" max="6" width="10" customWidth="1"/>
  </cols>
  <sheetData>
    <row r="1" spans="1:6" ht="21" x14ac:dyDescent="0.4">
      <c r="A1" s="1" t="s">
        <v>804</v>
      </c>
    </row>
    <row r="2" spans="1:6" x14ac:dyDescent="0.3">
      <c r="A2" s="2" t="s">
        <v>805</v>
      </c>
    </row>
    <row r="4" spans="1:6" ht="15.6" x14ac:dyDescent="0.3">
      <c r="A4" s="4" t="s">
        <v>806</v>
      </c>
    </row>
    <row r="5" spans="1:6" ht="30" customHeight="1" x14ac:dyDescent="0.3">
      <c r="A5" s="5" t="s">
        <v>421</v>
      </c>
      <c r="B5" s="5" t="s">
        <v>807</v>
      </c>
      <c r="C5" s="5" t="s">
        <v>616</v>
      </c>
      <c r="D5" s="5" t="s">
        <v>808</v>
      </c>
    </row>
    <row r="6" spans="1:6" ht="36" customHeight="1" x14ac:dyDescent="0.3">
      <c r="A6" s="8" t="s">
        <v>809</v>
      </c>
      <c r="B6" s="10" t="s">
        <v>810</v>
      </c>
      <c r="C6" s="10" t="s">
        <v>811</v>
      </c>
      <c r="D6" s="10" t="s">
        <v>812</v>
      </c>
    </row>
    <row r="7" spans="1:6" ht="36" customHeight="1" x14ac:dyDescent="0.3">
      <c r="A7" s="8" t="s">
        <v>813</v>
      </c>
      <c r="B7" s="10" t="s">
        <v>814</v>
      </c>
      <c r="C7" s="10" t="s">
        <v>815</v>
      </c>
      <c r="D7" s="10" t="s">
        <v>816</v>
      </c>
    </row>
    <row r="8" spans="1:6" ht="36" customHeight="1" x14ac:dyDescent="0.3">
      <c r="A8" s="8" t="s">
        <v>817</v>
      </c>
      <c r="B8" s="10" t="s">
        <v>818</v>
      </c>
      <c r="C8" s="10" t="s">
        <v>819</v>
      </c>
      <c r="D8" s="10" t="s">
        <v>820</v>
      </c>
    </row>
    <row r="9" spans="1:6" ht="36" customHeight="1" x14ac:dyDescent="0.3">
      <c r="A9" s="8" t="s">
        <v>821</v>
      </c>
      <c r="B9" s="10" t="s">
        <v>822</v>
      </c>
      <c r="C9" s="10" t="s">
        <v>823</v>
      </c>
      <c r="D9" s="10" t="s">
        <v>824</v>
      </c>
    </row>
    <row r="11" spans="1:6" ht="15.6" x14ac:dyDescent="0.3">
      <c r="A11" s="4" t="s">
        <v>825</v>
      </c>
    </row>
    <row r="12" spans="1:6" ht="30" customHeight="1" x14ac:dyDescent="0.3">
      <c r="A12" s="5" t="s">
        <v>421</v>
      </c>
      <c r="B12" s="5" t="s">
        <v>559</v>
      </c>
      <c r="C12" s="5" t="s">
        <v>423</v>
      </c>
      <c r="D12" s="5" t="s">
        <v>560</v>
      </c>
      <c r="E12" s="5" t="s">
        <v>561</v>
      </c>
      <c r="F12" s="5" t="s">
        <v>424</v>
      </c>
    </row>
    <row r="13" spans="1:6" ht="36" customHeight="1" x14ac:dyDescent="0.3">
      <c r="A13" s="8" t="s">
        <v>826</v>
      </c>
      <c r="B13" s="10" t="s">
        <v>827</v>
      </c>
      <c r="C13" s="10" t="s">
        <v>828</v>
      </c>
      <c r="D13" s="10" t="s">
        <v>829</v>
      </c>
      <c r="E13" s="10" t="s">
        <v>830</v>
      </c>
      <c r="F13" s="19">
        <v>20</v>
      </c>
    </row>
    <row r="14" spans="1:6" ht="36" customHeight="1" x14ac:dyDescent="0.3">
      <c r="A14" s="8" t="s">
        <v>831</v>
      </c>
      <c r="B14" s="10" t="s">
        <v>832</v>
      </c>
      <c r="C14" s="10" t="s">
        <v>833</v>
      </c>
      <c r="D14" s="10" t="s">
        <v>834</v>
      </c>
      <c r="E14" s="10" t="s">
        <v>835</v>
      </c>
      <c r="F14" s="19">
        <v>15</v>
      </c>
    </row>
    <row r="15" spans="1:6" ht="36" customHeight="1" x14ac:dyDescent="0.3">
      <c r="A15" s="8" t="s">
        <v>836</v>
      </c>
      <c r="B15" s="10" t="s">
        <v>837</v>
      </c>
      <c r="C15" s="10" t="s">
        <v>838</v>
      </c>
      <c r="D15" s="10" t="s">
        <v>839</v>
      </c>
      <c r="E15" s="10" t="s">
        <v>840</v>
      </c>
      <c r="F15" s="19">
        <v>15</v>
      </c>
    </row>
    <row r="16" spans="1:6" ht="36" customHeight="1" x14ac:dyDescent="0.3">
      <c r="A16" s="8" t="s">
        <v>841</v>
      </c>
      <c r="B16" s="10" t="s">
        <v>842</v>
      </c>
      <c r="C16" s="10" t="s">
        <v>843</v>
      </c>
      <c r="D16" s="10" t="s">
        <v>844</v>
      </c>
      <c r="E16" s="10" t="s">
        <v>845</v>
      </c>
      <c r="F16" s="19">
        <v>15</v>
      </c>
    </row>
    <row r="17" spans="1:6" ht="36" customHeight="1" x14ac:dyDescent="0.3">
      <c r="A17" s="8" t="s">
        <v>846</v>
      </c>
      <c r="B17" s="10" t="s">
        <v>847</v>
      </c>
      <c r="C17" s="10" t="s">
        <v>848</v>
      </c>
      <c r="D17" s="10" t="s">
        <v>849</v>
      </c>
      <c r="E17" s="10" t="s">
        <v>850</v>
      </c>
      <c r="F17" s="19">
        <v>10</v>
      </c>
    </row>
    <row r="18" spans="1:6" ht="36" customHeight="1" x14ac:dyDescent="0.3">
      <c r="A18" s="8" t="s">
        <v>851</v>
      </c>
      <c r="B18" s="10" t="s">
        <v>852</v>
      </c>
      <c r="C18" s="10" t="s">
        <v>853</v>
      </c>
      <c r="D18" s="10" t="s">
        <v>854</v>
      </c>
      <c r="E18" s="10" t="s">
        <v>855</v>
      </c>
      <c r="F18" s="19">
        <v>10</v>
      </c>
    </row>
    <row r="19" spans="1:6" ht="36" customHeight="1" x14ac:dyDescent="0.3">
      <c r="A19" s="8" t="s">
        <v>856</v>
      </c>
      <c r="B19" s="10" t="s">
        <v>19</v>
      </c>
      <c r="C19" s="10" t="s">
        <v>857</v>
      </c>
      <c r="D19" s="10" t="s">
        <v>858</v>
      </c>
      <c r="E19" s="10" t="s">
        <v>859</v>
      </c>
      <c r="F19" s="19">
        <v>5</v>
      </c>
    </row>
    <row r="20" spans="1:6" ht="36" customHeight="1" x14ac:dyDescent="0.3">
      <c r="A20" s="8" t="s">
        <v>860</v>
      </c>
      <c r="B20" s="10" t="s">
        <v>861</v>
      </c>
      <c r="C20" s="10" t="s">
        <v>862</v>
      </c>
      <c r="D20" s="10" t="s">
        <v>863</v>
      </c>
      <c r="E20" s="10" t="s">
        <v>864</v>
      </c>
      <c r="F20" s="19">
        <v>10</v>
      </c>
    </row>
    <row r="21" spans="1:6" x14ac:dyDescent="0.3">
      <c r="E21" s="8" t="s">
        <v>465</v>
      </c>
      <c r="F21" s="14">
        <f>SUM(F13:F20)</f>
        <v>100</v>
      </c>
    </row>
    <row r="23" spans="1:6" ht="15.6" x14ac:dyDescent="0.3">
      <c r="A23" s="4" t="s">
        <v>865</v>
      </c>
    </row>
    <row r="24" spans="1:6" ht="30" customHeight="1" x14ac:dyDescent="0.3">
      <c r="A24" s="5" t="s">
        <v>421</v>
      </c>
      <c r="B24" s="5" t="s">
        <v>866</v>
      </c>
      <c r="C24" s="5" t="s">
        <v>506</v>
      </c>
      <c r="D24" s="5" t="s">
        <v>507</v>
      </c>
    </row>
    <row r="25" spans="1:6" x14ac:dyDescent="0.3">
      <c r="A25" s="8" t="s">
        <v>817</v>
      </c>
      <c r="B25" s="10" t="s">
        <v>867</v>
      </c>
      <c r="C25" s="19">
        <v>20</v>
      </c>
      <c r="D25" s="10" t="s">
        <v>868</v>
      </c>
    </row>
    <row r="26" spans="1:6" ht="26.4" x14ac:dyDescent="0.3">
      <c r="A26" s="8" t="s">
        <v>869</v>
      </c>
      <c r="B26" s="10" t="s">
        <v>870</v>
      </c>
      <c r="C26" s="19">
        <v>100</v>
      </c>
      <c r="D26" s="10" t="s">
        <v>871</v>
      </c>
    </row>
    <row r="28" spans="1:6" ht="15.6" x14ac:dyDescent="0.3">
      <c r="A28" s="4" t="s">
        <v>872</v>
      </c>
    </row>
    <row r="29" spans="1:6" ht="28.05" customHeight="1" x14ac:dyDescent="0.3">
      <c r="A29" s="3" t="s">
        <v>88</v>
      </c>
      <c r="B29" s="31" t="s">
        <v>873</v>
      </c>
      <c r="C29" s="30"/>
      <c r="D29" s="30"/>
      <c r="E29" s="30"/>
      <c r="F29" s="30"/>
    </row>
    <row r="30" spans="1:6" ht="28.05" customHeight="1" x14ac:dyDescent="0.3">
      <c r="A30" s="3" t="s">
        <v>90</v>
      </c>
      <c r="B30" s="31" t="s">
        <v>874</v>
      </c>
      <c r="C30" s="30"/>
      <c r="D30" s="30"/>
      <c r="E30" s="30"/>
      <c r="F30" s="30"/>
    </row>
    <row r="31" spans="1:6" ht="28.05" customHeight="1" x14ac:dyDescent="0.3">
      <c r="A31" s="3" t="s">
        <v>92</v>
      </c>
      <c r="B31" s="31" t="s">
        <v>875</v>
      </c>
      <c r="C31" s="30"/>
      <c r="D31" s="30"/>
      <c r="E31" s="30"/>
      <c r="F31" s="30"/>
    </row>
    <row r="32" spans="1:6" ht="28.05" customHeight="1" x14ac:dyDescent="0.3">
      <c r="A32" s="3" t="s">
        <v>94</v>
      </c>
      <c r="B32" s="31" t="s">
        <v>876</v>
      </c>
      <c r="C32" s="30"/>
      <c r="D32" s="30"/>
      <c r="E32" s="30"/>
      <c r="F32" s="30"/>
    </row>
    <row r="33" spans="1:6" ht="28.05" customHeight="1" x14ac:dyDescent="0.3">
      <c r="A33" s="3" t="s">
        <v>877</v>
      </c>
      <c r="B33" s="31" t="s">
        <v>878</v>
      </c>
      <c r="C33" s="30"/>
      <c r="D33" s="30"/>
      <c r="E33" s="30"/>
      <c r="F33" s="30"/>
    </row>
    <row r="34" spans="1:6" ht="28.05" customHeight="1" x14ac:dyDescent="0.3">
      <c r="A34" s="3" t="s">
        <v>879</v>
      </c>
      <c r="B34" s="31" t="s">
        <v>880</v>
      </c>
      <c r="C34" s="30"/>
      <c r="D34" s="30"/>
      <c r="E34" s="30"/>
      <c r="F34" s="30"/>
    </row>
  </sheetData>
  <mergeCells count="6">
    <mergeCell ref="B30:F30"/>
    <mergeCell ref="B29:F29"/>
    <mergeCell ref="B34:F34"/>
    <mergeCell ref="B33:F33"/>
    <mergeCell ref="B31:F31"/>
    <mergeCell ref="B32:F3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6A6A6"/>
  </sheetPr>
  <dimension ref="A1:AJ80"/>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8" customWidth="1"/>
    <col min="2" max="2" width="60" customWidth="1"/>
    <col min="3" max="3" width="18" customWidth="1"/>
    <col min="4" max="4" width="20" customWidth="1"/>
    <col min="5" max="6" width="24" customWidth="1"/>
    <col min="7" max="7" width="6" customWidth="1"/>
    <col min="8" max="8" width="11" customWidth="1"/>
    <col min="9" max="9" width="9" customWidth="1"/>
    <col min="10" max="10" width="10" customWidth="1"/>
    <col min="11" max="11" width="22" customWidth="1"/>
    <col min="12" max="15" width="9" customWidth="1"/>
    <col min="16" max="16" width="8" customWidth="1"/>
    <col min="17" max="17" width="13" customWidth="1"/>
    <col min="18" max="25" width="7" customWidth="1"/>
    <col min="26" max="26" width="8" customWidth="1"/>
    <col min="27" max="27" width="7" customWidth="1"/>
    <col min="28" max="28" width="14" customWidth="1"/>
    <col min="29" max="29" width="11" customWidth="1"/>
    <col min="30" max="30" width="8" customWidth="1"/>
    <col min="31" max="32" width="18" customWidth="1"/>
    <col min="33" max="34" width="20" customWidth="1"/>
    <col min="35" max="35" width="60" customWidth="1"/>
    <col min="36" max="36" width="9" customWidth="1"/>
  </cols>
  <sheetData>
    <row r="1" spans="1:36" ht="21" x14ac:dyDescent="0.4">
      <c r="A1" s="1" t="s">
        <v>881</v>
      </c>
    </row>
    <row r="2" spans="1:36" x14ac:dyDescent="0.3">
      <c r="A2" s="2" t="s">
        <v>882</v>
      </c>
    </row>
    <row r="4" spans="1:36" ht="30" customHeight="1" x14ac:dyDescent="0.3">
      <c r="A4" s="5" t="s">
        <v>705</v>
      </c>
      <c r="B4" s="5" t="s">
        <v>883</v>
      </c>
      <c r="C4" s="5" t="s">
        <v>884</v>
      </c>
      <c r="D4" s="5" t="s">
        <v>885</v>
      </c>
      <c r="E4" s="5" t="s">
        <v>886</v>
      </c>
      <c r="F4" s="5" t="s">
        <v>887</v>
      </c>
      <c r="G4" s="5" t="s">
        <v>129</v>
      </c>
      <c r="H4" s="5" t="s">
        <v>130</v>
      </c>
      <c r="I4" s="5" t="s">
        <v>888</v>
      </c>
      <c r="J4" s="5" t="s">
        <v>889</v>
      </c>
      <c r="K4" s="5" t="s">
        <v>890</v>
      </c>
      <c r="L4" s="5" t="s">
        <v>891</v>
      </c>
      <c r="M4" s="5" t="s">
        <v>892</v>
      </c>
      <c r="N4" s="5" t="s">
        <v>893</v>
      </c>
      <c r="O4" s="5" t="s">
        <v>894</v>
      </c>
      <c r="P4" s="5" t="s">
        <v>895</v>
      </c>
      <c r="Q4" s="5" t="s">
        <v>123</v>
      </c>
      <c r="R4" s="5" t="s">
        <v>896</v>
      </c>
      <c r="S4" s="5" t="s">
        <v>897</v>
      </c>
      <c r="T4" s="5" t="s">
        <v>898</v>
      </c>
      <c r="U4" s="5" t="s">
        <v>899</v>
      </c>
      <c r="V4" s="5" t="s">
        <v>900</v>
      </c>
      <c r="W4" s="5" t="s">
        <v>901</v>
      </c>
      <c r="X4" s="5" t="s">
        <v>902</v>
      </c>
      <c r="Y4" s="5" t="s">
        <v>903</v>
      </c>
      <c r="Z4" s="5" t="s">
        <v>904</v>
      </c>
      <c r="AA4" s="5" t="s">
        <v>124</v>
      </c>
      <c r="AB4" s="5" t="s">
        <v>706</v>
      </c>
      <c r="AC4" s="5" t="s">
        <v>126</v>
      </c>
      <c r="AD4" s="5" t="s">
        <v>20</v>
      </c>
      <c r="AE4" s="5" t="s">
        <v>14</v>
      </c>
      <c r="AF4" s="5" t="s">
        <v>15</v>
      </c>
      <c r="AG4" s="5" t="s">
        <v>16</v>
      </c>
      <c r="AH4" s="5" t="s">
        <v>17</v>
      </c>
      <c r="AI4" s="5" t="s">
        <v>905</v>
      </c>
      <c r="AJ4" s="5" t="s">
        <v>906</v>
      </c>
    </row>
    <row r="5" spans="1:36" ht="26.4" x14ac:dyDescent="0.3">
      <c r="A5" s="6" t="s">
        <v>786</v>
      </c>
      <c r="B5" s="10" t="s">
        <v>21</v>
      </c>
      <c r="C5" s="10" t="s">
        <v>907</v>
      </c>
      <c r="D5" s="10" t="s">
        <v>908</v>
      </c>
      <c r="E5" s="10" t="s">
        <v>909</v>
      </c>
      <c r="F5" s="10"/>
      <c r="G5" s="6">
        <v>3</v>
      </c>
      <c r="H5" s="6" t="s">
        <v>142</v>
      </c>
      <c r="I5" s="15">
        <v>1037</v>
      </c>
      <c r="J5" s="15">
        <v>1016</v>
      </c>
      <c r="K5" s="10" t="s">
        <v>910</v>
      </c>
      <c r="L5" s="6" t="str">
        <f t="shared" ref="L5:L36" si="0">IF(OR(G5=3,G5=4),"Pass","Fail")</f>
        <v>Pass</v>
      </c>
      <c r="M5" s="19" t="s">
        <v>911</v>
      </c>
      <c r="N5" s="6" t="str">
        <f>IF(I5&gt;='Selection Criteria'!$C$25,"Pass","Fail")</f>
        <v>Pass</v>
      </c>
      <c r="O5" s="19" t="s">
        <v>911</v>
      </c>
      <c r="P5" s="14" t="str">
        <f t="shared" ref="P5:P36" si="1">IF(AND(L5="Pass",M5="Pass",N5="Pass",O5="Pass"),"Pass","Fail")</f>
        <v>Pass</v>
      </c>
      <c r="Q5" s="14" t="str">
        <f>INDEX('Hero Segmentation'!$Q$5:$Q$80,MATCH($A5,'Hero Segmentation'!$A$5:$A$80,0))</f>
        <v>Hero</v>
      </c>
      <c r="R5" s="19">
        <v>5</v>
      </c>
      <c r="S5" s="19">
        <v>5</v>
      </c>
      <c r="T5" s="19">
        <v>4</v>
      </c>
      <c r="U5" s="19">
        <v>5</v>
      </c>
      <c r="V5" s="19">
        <v>5</v>
      </c>
      <c r="W5" s="19">
        <v>5</v>
      </c>
      <c r="X5" s="19">
        <v>5</v>
      </c>
      <c r="Y5" s="19">
        <v>4</v>
      </c>
      <c r="Z5" s="23">
        <f>IF(P5="Pass",(R5*'Selection Criteria'!$F$13+S5*'Selection Criteria'!$F$14+T5*'Selection Criteria'!$F$15+U5*'Selection Criteria'!$F$16+V5*'Selection Criteria'!$F$17+W5*'Selection Criteria'!$F$18+X5*'Selection Criteria'!$F$19+Y5*'Selection Criteria'!$F$20)/(5*'Selection Criteria'!$F$21)*100,"-")</f>
        <v>95</v>
      </c>
      <c r="AA5" s="6">
        <f t="shared" ref="AA5:AA36" si="2">IF(AJ5&lt;0,"-",COUNTIFS($Q$5:$Q$80,Q5,$AJ$5:$AJ$80,"&gt;"&amp;AJ5)+1)</f>
        <v>1</v>
      </c>
      <c r="AB5" s="14" t="str">
        <f>IF(P5&lt;&gt;"Pass","Parked (gate)",IF(AC5="PROTECT","Protect (control)",IF(AA5&lt;=IF(Q5="Hero",'Hero Criteria'!$C$38,IF(Q5="Probable Hero",'Hero Criteria'!$C$39,'Hero Criteria'!$C$40)),"Recommended",IF(AA5&lt;=IF(Q5="Hero",'Hero Criteria'!$C$38,IF(Q5="Probable Hero",'Hero Criteria'!$C$39,'Hero Criteria'!$C$40))+'Hero Criteria'!$C$41,"Reserve","Backlog"))))</f>
        <v>Recommended</v>
      </c>
      <c r="AC5" s="6" t="str">
        <f>INDEX('Hero Segmentation'!$R$5:$R$80,MATCH($A5,'Hero Segmentation'!$A$5:$A$80,0))</f>
        <v>EXTEND</v>
      </c>
      <c r="AD5" s="6" t="str">
        <f>IF(AND(AB5="Recommended",J5&gt;='Selection Criteria'!$C$26),"Yes","")</f>
        <v>Yes</v>
      </c>
      <c r="AE5" s="10" t="str">
        <f>IFERROR(INDEX('Primary Competitor Fit'!$D$5:$D$91,MATCH($A5&amp;"|Primary 1",'Primary Competitor Fit'!$M$5:$M$91,0)),"-")</f>
        <v>Amazon</v>
      </c>
      <c r="AF5" s="10" t="str">
        <f>IFERROR(INDEX('Primary Competitor Fit'!$D$5:$D$91,MATCH($A5&amp;"|Primary 2",'Primary Competitor Fit'!$M$5:$M$91,0)),"-")</f>
        <v>Target</v>
      </c>
      <c r="AG5" s="10" t="str">
        <f>IFERROR(INDEX('Secondary Competitor Fit'!$D$5:$D$98,MATCH($A5&amp;"|Secondary 1",'Secondary Competitor Fit'!$M$5:$M$98,0)),"-")</f>
        <v>Erin Condren</v>
      </c>
      <c r="AH5" s="10" t="str">
        <f>IFERROR(INDEX('Secondary Competitor Fit'!$D$5:$D$98,MATCH($A5&amp;"|Secondary 2",'Secondary Competitor Fit'!$M$5:$M$98,0)),"-")</f>
        <v>Michaels</v>
      </c>
      <c r="AI5" s="10" t="s">
        <v>912</v>
      </c>
      <c r="AJ5" s="24">
        <f t="shared" ref="AJ5:AJ36" si="3">IF(AND(P5="Pass",AC5&lt;&gt;"PROTECT"),Z5+U5/100+R5/1000,-1)</f>
        <v>95.054999999999993</v>
      </c>
    </row>
    <row r="6" spans="1:36" ht="26.4" x14ac:dyDescent="0.3">
      <c r="A6" s="6" t="s">
        <v>913</v>
      </c>
      <c r="B6" s="10" t="s">
        <v>24</v>
      </c>
      <c r="C6" s="10" t="s">
        <v>907</v>
      </c>
      <c r="D6" s="10" t="s">
        <v>914</v>
      </c>
      <c r="E6" s="10" t="s">
        <v>915</v>
      </c>
      <c r="F6" s="10"/>
      <c r="G6" s="6">
        <v>3</v>
      </c>
      <c r="H6" s="6" t="s">
        <v>149</v>
      </c>
      <c r="I6" s="15">
        <v>342</v>
      </c>
      <c r="J6" s="15">
        <v>0</v>
      </c>
      <c r="K6" s="10" t="s">
        <v>916</v>
      </c>
      <c r="L6" s="6" t="str">
        <f t="shared" si="0"/>
        <v>Pass</v>
      </c>
      <c r="M6" s="19" t="s">
        <v>911</v>
      </c>
      <c r="N6" s="6" t="str">
        <f>IF(I6&gt;='Selection Criteria'!$C$25,"Pass","Fail")</f>
        <v>Pass</v>
      </c>
      <c r="O6" s="19" t="s">
        <v>911</v>
      </c>
      <c r="P6" s="14" t="str">
        <f t="shared" si="1"/>
        <v>Pass</v>
      </c>
      <c r="Q6" s="14" t="str">
        <f>INDEX('Hero Segmentation'!$Q$5:$Q$80,MATCH($A6,'Hero Segmentation'!$A$5:$A$80,0))</f>
        <v>Hero</v>
      </c>
      <c r="R6" s="19">
        <v>5</v>
      </c>
      <c r="S6" s="19">
        <v>5</v>
      </c>
      <c r="T6" s="19">
        <v>4</v>
      </c>
      <c r="U6" s="19">
        <v>5</v>
      </c>
      <c r="V6" s="19">
        <v>5</v>
      </c>
      <c r="W6" s="19">
        <v>5</v>
      </c>
      <c r="X6" s="19">
        <v>5</v>
      </c>
      <c r="Y6" s="19">
        <v>2</v>
      </c>
      <c r="Z6" s="23">
        <f>IF(P6="Pass",(R6*'Selection Criteria'!$F$13+S6*'Selection Criteria'!$F$14+T6*'Selection Criteria'!$F$15+U6*'Selection Criteria'!$F$16+V6*'Selection Criteria'!$F$17+W6*'Selection Criteria'!$F$18+X6*'Selection Criteria'!$F$19+Y6*'Selection Criteria'!$F$20)/(5*'Selection Criteria'!$F$21)*100,"-")</f>
        <v>91</v>
      </c>
      <c r="AA6" s="6">
        <f t="shared" si="2"/>
        <v>2</v>
      </c>
      <c r="AB6" s="14" t="str">
        <f>IF(P6&lt;&gt;"Pass","Parked (gate)",IF(AC6="PROTECT","Protect (control)",IF(AA6&lt;=IF(Q6="Hero",'Hero Criteria'!$C$38,IF(Q6="Probable Hero",'Hero Criteria'!$C$39,'Hero Criteria'!$C$40)),"Recommended",IF(AA6&lt;=IF(Q6="Hero",'Hero Criteria'!$C$38,IF(Q6="Probable Hero",'Hero Criteria'!$C$39,'Hero Criteria'!$C$40))+'Hero Criteria'!$C$41,"Reserve","Backlog"))))</f>
        <v>Recommended</v>
      </c>
      <c r="AC6" s="6" t="str">
        <f>INDEX('Hero Segmentation'!$R$5:$R$80,MATCH($A6,'Hero Segmentation'!$A$5:$A$80,0))</f>
        <v>EXTEND</v>
      </c>
      <c r="AD6" s="6" t="str">
        <f>IF(AND(AB6="Recommended",J6&gt;='Selection Criteria'!$C$26),"Yes","")</f>
        <v/>
      </c>
      <c r="AE6" s="10" t="str">
        <f>IFERROR(INDEX('Primary Competitor Fit'!$D$5:$D$91,MATCH($A6&amp;"|Primary 1",'Primary Competitor Fit'!$M$5:$M$91,0)),"-")</f>
        <v>Target</v>
      </c>
      <c r="AF6" s="10" t="str">
        <f>IFERROR(INDEX('Primary Competitor Fit'!$D$5:$D$91,MATCH($A6&amp;"|Primary 2",'Primary Competitor Fit'!$M$5:$M$91,0)),"-")</f>
        <v>Amazon</v>
      </c>
      <c r="AG6" s="10" t="str">
        <f>IFERROR(INDEX('Secondary Competitor Fit'!$D$5:$D$98,MATCH($A6&amp;"|Secondary 1",'Secondary Competitor Fit'!$M$5:$M$98,0)),"-")</f>
        <v>Grovemade</v>
      </c>
      <c r="AH6" s="10" t="str">
        <f>IFERROR(INDEX('Secondary Competitor Fit'!$D$5:$D$98,MATCH($A6&amp;"|Secondary 2",'Secondary Competitor Fit'!$M$5:$M$98,0)),"-")</f>
        <v>The Container Store</v>
      </c>
      <c r="AI6" s="10" t="s">
        <v>917</v>
      </c>
      <c r="AJ6" s="24">
        <f t="shared" si="3"/>
        <v>91.054999999999993</v>
      </c>
    </row>
    <row r="7" spans="1:36" ht="26.4" x14ac:dyDescent="0.3">
      <c r="A7" s="6" t="s">
        <v>765</v>
      </c>
      <c r="B7" s="10" t="s">
        <v>42</v>
      </c>
      <c r="C7" s="10" t="s">
        <v>918</v>
      </c>
      <c r="D7" s="10" t="s">
        <v>919</v>
      </c>
      <c r="E7" s="10" t="s">
        <v>920</v>
      </c>
      <c r="F7" s="10"/>
      <c r="G7" s="6">
        <v>3</v>
      </c>
      <c r="H7" s="6" t="s">
        <v>191</v>
      </c>
      <c r="I7" s="15">
        <v>463</v>
      </c>
      <c r="J7" s="15">
        <v>462</v>
      </c>
      <c r="K7" s="10" t="s">
        <v>921</v>
      </c>
      <c r="L7" s="6" t="str">
        <f t="shared" si="0"/>
        <v>Pass</v>
      </c>
      <c r="M7" s="19" t="s">
        <v>911</v>
      </c>
      <c r="N7" s="6" t="str">
        <f>IF(I7&gt;='Selection Criteria'!$C$25,"Pass","Fail")</f>
        <v>Pass</v>
      </c>
      <c r="O7" s="19" t="s">
        <v>911</v>
      </c>
      <c r="P7" s="14" t="str">
        <f t="shared" si="1"/>
        <v>Pass</v>
      </c>
      <c r="Q7" s="14" t="str">
        <f>INDEX('Hero Segmentation'!$Q$5:$Q$80,MATCH($A7,'Hero Segmentation'!$A$5:$A$80,0))</f>
        <v>Probable Hero</v>
      </c>
      <c r="R7" s="19">
        <v>5</v>
      </c>
      <c r="S7" s="19">
        <v>5</v>
      </c>
      <c r="T7" s="19">
        <v>4</v>
      </c>
      <c r="U7" s="19">
        <v>4</v>
      </c>
      <c r="V7" s="19">
        <v>5</v>
      </c>
      <c r="W7" s="19">
        <v>5</v>
      </c>
      <c r="X7" s="19">
        <v>4</v>
      </c>
      <c r="Y7" s="19">
        <v>4</v>
      </c>
      <c r="Z7" s="23">
        <f>IF(P7="Pass",(R7*'Selection Criteria'!$F$13+S7*'Selection Criteria'!$F$14+T7*'Selection Criteria'!$F$15+U7*'Selection Criteria'!$F$16+V7*'Selection Criteria'!$F$17+W7*'Selection Criteria'!$F$18+X7*'Selection Criteria'!$F$19+Y7*'Selection Criteria'!$F$20)/(5*'Selection Criteria'!$F$21)*100,"-")</f>
        <v>91</v>
      </c>
      <c r="AA7" s="6">
        <f t="shared" si="2"/>
        <v>1</v>
      </c>
      <c r="AB7" s="14" t="str">
        <f>IF(P7&lt;&gt;"Pass","Parked (gate)",IF(AC7="PROTECT","Protect (control)",IF(AA7&lt;=IF(Q7="Hero",'Hero Criteria'!$C$38,IF(Q7="Probable Hero",'Hero Criteria'!$C$39,'Hero Criteria'!$C$40)),"Recommended",IF(AA7&lt;=IF(Q7="Hero",'Hero Criteria'!$C$38,IF(Q7="Probable Hero",'Hero Criteria'!$C$39,'Hero Criteria'!$C$40))+'Hero Criteria'!$C$41,"Reserve","Backlog"))))</f>
        <v>Recommended</v>
      </c>
      <c r="AC7" s="6" t="str">
        <f>INDEX('Hero Segmentation'!$R$5:$R$80,MATCH($A7,'Hero Segmentation'!$A$5:$A$80,0))</f>
        <v>BUILD</v>
      </c>
      <c r="AD7" s="6" t="str">
        <f>IF(AND(AB7="Recommended",J7&gt;='Selection Criteria'!$C$26),"Yes","")</f>
        <v>Yes</v>
      </c>
      <c r="AE7" s="10" t="str">
        <f>IFERROR(INDEX('Primary Competitor Fit'!$D$5:$D$91,MATCH($A7&amp;"|Primary 1",'Primary Competitor Fit'!$M$5:$M$91,0)),"-")</f>
        <v>Dick's Sporting Goods</v>
      </c>
      <c r="AF7" s="10" t="str">
        <f>IFERROR(INDEX('Primary Competitor Fit'!$D$5:$D$91,MATCH($A7&amp;"|Primary 2",'Primary Competitor Fit'!$M$5:$M$91,0)),"-")</f>
        <v>Target</v>
      </c>
      <c r="AG7" s="10" t="str">
        <f>IFERROR(INDEX('Secondary Competitor Fit'!$D$5:$D$98,MATCH($A7&amp;"|Secondary 1",'Secondary Competitor Fit'!$M$5:$M$98,0)),"-")</f>
        <v>Scheels</v>
      </c>
      <c r="AH7" s="10" t="str">
        <f>IFERROR(INDEX('Secondary Competitor Fit'!$D$5:$D$98,MATCH($A7&amp;"|Secondary 2",'Secondary Competitor Fit'!$M$5:$M$98,0)),"-")</f>
        <v>YETI</v>
      </c>
      <c r="AI7" s="10" t="s">
        <v>922</v>
      </c>
      <c r="AJ7" s="24">
        <f t="shared" si="3"/>
        <v>91.045000000000002</v>
      </c>
    </row>
    <row r="8" spans="1:36" ht="26.4" x14ac:dyDescent="0.3">
      <c r="A8" s="6" t="s">
        <v>710</v>
      </c>
      <c r="B8" s="10" t="s">
        <v>45</v>
      </c>
      <c r="C8" s="10" t="s">
        <v>923</v>
      </c>
      <c r="D8" s="10" t="s">
        <v>639</v>
      </c>
      <c r="E8" s="10" t="s">
        <v>924</v>
      </c>
      <c r="F8" s="10"/>
      <c r="G8" s="6">
        <v>3</v>
      </c>
      <c r="H8" s="6" t="s">
        <v>198</v>
      </c>
      <c r="I8" s="15">
        <v>229</v>
      </c>
      <c r="J8" s="15">
        <v>199</v>
      </c>
      <c r="K8" s="10" t="s">
        <v>925</v>
      </c>
      <c r="L8" s="6" t="str">
        <f t="shared" si="0"/>
        <v>Pass</v>
      </c>
      <c r="M8" s="19" t="s">
        <v>911</v>
      </c>
      <c r="N8" s="6" t="str">
        <f>IF(I8&gt;='Selection Criteria'!$C$25,"Pass","Fail")</f>
        <v>Pass</v>
      </c>
      <c r="O8" s="19" t="s">
        <v>911</v>
      </c>
      <c r="P8" s="14" t="str">
        <f t="shared" si="1"/>
        <v>Pass</v>
      </c>
      <c r="Q8" s="14" t="str">
        <f>INDEX('Hero Segmentation'!$Q$5:$Q$80,MATCH($A8,'Hero Segmentation'!$A$5:$A$80,0))</f>
        <v>Probable Hero</v>
      </c>
      <c r="R8" s="19">
        <v>5</v>
      </c>
      <c r="S8" s="19">
        <v>5</v>
      </c>
      <c r="T8" s="19">
        <v>5</v>
      </c>
      <c r="U8" s="19">
        <v>4</v>
      </c>
      <c r="V8" s="19">
        <v>2</v>
      </c>
      <c r="W8" s="19">
        <v>5</v>
      </c>
      <c r="X8" s="19">
        <v>3</v>
      </c>
      <c r="Y8" s="19">
        <v>5</v>
      </c>
      <c r="Z8" s="23">
        <f>IF(P8="Pass",(R8*'Selection Criteria'!$F$13+S8*'Selection Criteria'!$F$14+T8*'Selection Criteria'!$F$15+U8*'Selection Criteria'!$F$16+V8*'Selection Criteria'!$F$17+W8*'Selection Criteria'!$F$18+X8*'Selection Criteria'!$F$19+Y8*'Selection Criteria'!$F$20)/(5*'Selection Criteria'!$F$21)*100,"-")</f>
        <v>89</v>
      </c>
      <c r="AA8" s="6">
        <f t="shared" si="2"/>
        <v>2</v>
      </c>
      <c r="AB8" s="14" t="str">
        <f>IF(P8&lt;&gt;"Pass","Parked (gate)",IF(AC8="PROTECT","Protect (control)",IF(AA8&lt;=IF(Q8="Hero",'Hero Criteria'!$C$38,IF(Q8="Probable Hero",'Hero Criteria'!$C$39,'Hero Criteria'!$C$40)),"Recommended",IF(AA8&lt;=IF(Q8="Hero",'Hero Criteria'!$C$38,IF(Q8="Probable Hero",'Hero Criteria'!$C$39,'Hero Criteria'!$C$40))+'Hero Criteria'!$C$41,"Reserve","Backlog"))))</f>
        <v>Recommended</v>
      </c>
      <c r="AC8" s="6" t="str">
        <f>INDEX('Hero Segmentation'!$R$5:$R$80,MATCH($A8,'Hero Segmentation'!$A$5:$A$80,0))</f>
        <v>BUILD</v>
      </c>
      <c r="AD8" s="6" t="str">
        <f>IF(AND(AB8="Recommended",J8&gt;='Selection Criteria'!$C$26),"Yes","")</f>
        <v>Yes</v>
      </c>
      <c r="AE8" s="10" t="str">
        <f>IFERROR(INDEX('Primary Competitor Fit'!$D$5:$D$91,MATCH($A8&amp;"|Primary 1",'Primary Competitor Fit'!$M$5:$M$91,0)),"-")</f>
        <v>Wayfair</v>
      </c>
      <c r="AF8" s="10" t="str">
        <f>IFERROR(INDEX('Primary Competitor Fit'!$D$5:$D$91,MATCH($A8&amp;"|Primary 2",'Primary Competitor Fit'!$M$5:$M$91,0)),"-")</f>
        <v>Amazon</v>
      </c>
      <c r="AG8" s="10" t="str">
        <f>IFERROR(INDEX('Secondary Competitor Fit'!$D$5:$D$98,MATCH($A8&amp;"|Secondary 1",'Secondary Competitor Fit'!$M$5:$M$98,0)),"-")</f>
        <v>Article</v>
      </c>
      <c r="AH8" s="10" t="str">
        <f>IFERROR(INDEX('Secondary Competitor Fit'!$D$5:$D$98,MATCH($A8&amp;"|Secondary 2",'Secondary Competitor Fit'!$M$5:$M$98,0)),"-")</f>
        <v>West Elm</v>
      </c>
      <c r="AI8" s="10" t="s">
        <v>926</v>
      </c>
      <c r="AJ8" s="24">
        <f t="shared" si="3"/>
        <v>89.045000000000002</v>
      </c>
    </row>
    <row r="9" spans="1:36" x14ac:dyDescent="0.3">
      <c r="A9" s="6" t="s">
        <v>742</v>
      </c>
      <c r="B9" s="10" t="s">
        <v>48</v>
      </c>
      <c r="C9" s="10" t="s">
        <v>923</v>
      </c>
      <c r="D9" s="10" t="s">
        <v>654</v>
      </c>
      <c r="E9" s="10" t="s">
        <v>927</v>
      </c>
      <c r="F9" s="10"/>
      <c r="G9" s="6">
        <v>3</v>
      </c>
      <c r="H9" s="6" t="s">
        <v>205</v>
      </c>
      <c r="I9" s="15">
        <v>210</v>
      </c>
      <c r="J9" s="15">
        <v>195</v>
      </c>
      <c r="K9" s="10" t="s">
        <v>928</v>
      </c>
      <c r="L9" s="6" t="str">
        <f t="shared" si="0"/>
        <v>Pass</v>
      </c>
      <c r="M9" s="19" t="s">
        <v>911</v>
      </c>
      <c r="N9" s="6" t="str">
        <f>IF(I9&gt;='Selection Criteria'!$C$25,"Pass","Fail")</f>
        <v>Pass</v>
      </c>
      <c r="O9" s="19" t="s">
        <v>911</v>
      </c>
      <c r="P9" s="14" t="str">
        <f t="shared" si="1"/>
        <v>Pass</v>
      </c>
      <c r="Q9" s="14" t="str">
        <f>INDEX('Hero Segmentation'!$Q$5:$Q$80,MATCH($A9,'Hero Segmentation'!$A$5:$A$80,0))</f>
        <v>Probable Hero</v>
      </c>
      <c r="R9" s="19">
        <v>5</v>
      </c>
      <c r="S9" s="19">
        <v>4</v>
      </c>
      <c r="T9" s="19">
        <v>4</v>
      </c>
      <c r="U9" s="19">
        <v>5</v>
      </c>
      <c r="V9" s="19">
        <v>4</v>
      </c>
      <c r="W9" s="19">
        <v>4</v>
      </c>
      <c r="X9" s="19">
        <v>3</v>
      </c>
      <c r="Y9" s="19">
        <v>4</v>
      </c>
      <c r="Z9" s="23">
        <f>IF(P9="Pass",(R9*'Selection Criteria'!$F$13+S9*'Selection Criteria'!$F$14+T9*'Selection Criteria'!$F$15+U9*'Selection Criteria'!$F$16+V9*'Selection Criteria'!$F$17+W9*'Selection Criteria'!$F$18+X9*'Selection Criteria'!$F$19+Y9*'Selection Criteria'!$F$20)/(5*'Selection Criteria'!$F$21)*100,"-")</f>
        <v>86</v>
      </c>
      <c r="AA9" s="6">
        <f t="shared" si="2"/>
        <v>3</v>
      </c>
      <c r="AB9" s="14" t="str">
        <f>IF(P9&lt;&gt;"Pass","Parked (gate)",IF(AC9="PROTECT","Protect (control)",IF(AA9&lt;=IF(Q9="Hero",'Hero Criteria'!$C$38,IF(Q9="Probable Hero",'Hero Criteria'!$C$39,'Hero Criteria'!$C$40)),"Recommended",IF(AA9&lt;=IF(Q9="Hero",'Hero Criteria'!$C$38,IF(Q9="Probable Hero",'Hero Criteria'!$C$39,'Hero Criteria'!$C$40))+'Hero Criteria'!$C$41,"Reserve","Backlog"))))</f>
        <v>Recommended</v>
      </c>
      <c r="AC9" s="6" t="str">
        <f>INDEX('Hero Segmentation'!$R$5:$R$80,MATCH($A9,'Hero Segmentation'!$A$5:$A$80,0))</f>
        <v>BUILD</v>
      </c>
      <c r="AD9" s="6" t="str">
        <f>IF(AND(AB9="Recommended",J9&gt;='Selection Criteria'!$C$26),"Yes","")</f>
        <v>Yes</v>
      </c>
      <c r="AE9" s="10" t="str">
        <f>IFERROR(INDEX('Primary Competitor Fit'!$D$5:$D$91,MATCH($A9&amp;"|Primary 1",'Primary Competitor Fit'!$M$5:$M$91,0)),"-")</f>
        <v>Wayfair</v>
      </c>
      <c r="AF9" s="10" t="str">
        <f>IFERROR(INDEX('Primary Competitor Fit'!$D$5:$D$91,MATCH($A9&amp;"|Primary 2",'Primary Competitor Fit'!$M$5:$M$91,0)),"-")</f>
        <v>Amazon</v>
      </c>
      <c r="AG9" s="10" t="str">
        <f>IFERROR(INDEX('Secondary Competitor Fit'!$D$5:$D$98,MATCH($A9&amp;"|Secondary 1",'Secondary Competitor Fit'!$M$5:$M$98,0)),"-")</f>
        <v>Lamps Plus</v>
      </c>
      <c r="AH9" s="10" t="str">
        <f>IFERROR(INDEX('Secondary Competitor Fit'!$D$5:$D$98,MATCH($A9&amp;"|Secondary 2",'Secondary Competitor Fit'!$M$5:$M$98,0)),"-")</f>
        <v>Urban Outfitters</v>
      </c>
      <c r="AI9" s="10" t="s">
        <v>929</v>
      </c>
      <c r="AJ9" s="24">
        <f t="shared" si="3"/>
        <v>86.054999999999993</v>
      </c>
    </row>
    <row r="10" spans="1:36" ht="26.4" x14ac:dyDescent="0.3">
      <c r="A10" s="6" t="s">
        <v>930</v>
      </c>
      <c r="B10" s="10" t="s">
        <v>51</v>
      </c>
      <c r="C10" s="10" t="s">
        <v>907</v>
      </c>
      <c r="D10" s="10" t="s">
        <v>931</v>
      </c>
      <c r="E10" s="10" t="s">
        <v>932</v>
      </c>
      <c r="F10" s="10" t="s">
        <v>933</v>
      </c>
      <c r="G10" s="6">
        <v>4</v>
      </c>
      <c r="H10" s="6" t="s">
        <v>212</v>
      </c>
      <c r="I10" s="15">
        <v>107</v>
      </c>
      <c r="J10" s="15">
        <v>0</v>
      </c>
      <c r="K10" s="10" t="s">
        <v>916</v>
      </c>
      <c r="L10" s="6" t="str">
        <f t="shared" si="0"/>
        <v>Pass</v>
      </c>
      <c r="M10" s="19" t="s">
        <v>911</v>
      </c>
      <c r="N10" s="6" t="str">
        <f>IF(I10&gt;='Selection Criteria'!$C$25,"Pass","Fail")</f>
        <v>Pass</v>
      </c>
      <c r="O10" s="19" t="s">
        <v>911</v>
      </c>
      <c r="P10" s="14" t="str">
        <f t="shared" si="1"/>
        <v>Pass</v>
      </c>
      <c r="Q10" s="14" t="str">
        <f>INDEX('Hero Segmentation'!$Q$5:$Q$80,MATCH($A10,'Hero Segmentation'!$A$5:$A$80,0))</f>
        <v>Probable Hero</v>
      </c>
      <c r="R10" s="19">
        <v>5</v>
      </c>
      <c r="S10" s="19">
        <v>4</v>
      </c>
      <c r="T10" s="19">
        <v>5</v>
      </c>
      <c r="U10" s="19">
        <v>4</v>
      </c>
      <c r="V10" s="19">
        <v>5</v>
      </c>
      <c r="W10" s="19">
        <v>4</v>
      </c>
      <c r="X10" s="19">
        <v>5</v>
      </c>
      <c r="Y10" s="19">
        <v>2</v>
      </c>
      <c r="Z10" s="23">
        <f>IF(P10="Pass",(R10*'Selection Criteria'!$F$13+S10*'Selection Criteria'!$F$14+T10*'Selection Criteria'!$F$15+U10*'Selection Criteria'!$F$16+V10*'Selection Criteria'!$F$17+W10*'Selection Criteria'!$F$18+X10*'Selection Criteria'!$F$19+Y10*'Selection Criteria'!$F$20)/(5*'Selection Criteria'!$F$21)*100,"-")</f>
        <v>86</v>
      </c>
      <c r="AA10" s="6">
        <f t="shared" si="2"/>
        <v>4</v>
      </c>
      <c r="AB10" s="14" t="str">
        <f>IF(P10&lt;&gt;"Pass","Parked (gate)",IF(AC10="PROTECT","Protect (control)",IF(AA10&lt;=IF(Q10="Hero",'Hero Criteria'!$C$38,IF(Q10="Probable Hero",'Hero Criteria'!$C$39,'Hero Criteria'!$C$40)),"Recommended",IF(AA10&lt;=IF(Q10="Hero",'Hero Criteria'!$C$38,IF(Q10="Probable Hero",'Hero Criteria'!$C$39,'Hero Criteria'!$C$40))+'Hero Criteria'!$C$41,"Reserve","Backlog"))))</f>
        <v>Recommended</v>
      </c>
      <c r="AC10" s="6" t="str">
        <f>INDEX('Hero Segmentation'!$R$5:$R$80,MATCH($A10,'Hero Segmentation'!$A$5:$A$80,0))</f>
        <v>BUILD</v>
      </c>
      <c r="AD10" s="6" t="str">
        <f>IF(AND(AB10="Recommended",J10&gt;='Selection Criteria'!$C$26),"Yes","")</f>
        <v/>
      </c>
      <c r="AE10" s="10" t="str">
        <f>IFERROR(INDEX('Primary Competitor Fit'!$D$5:$D$91,MATCH($A10&amp;"|Primary 1",'Primary Competitor Fit'!$M$5:$M$91,0)),"-")</f>
        <v>Amazon</v>
      </c>
      <c r="AF10" s="10" t="str">
        <f>IFERROR(INDEX('Primary Competitor Fit'!$D$5:$D$91,MATCH($A10&amp;"|Primary 2",'Primary Competitor Fit'!$M$5:$M$91,0)),"-")</f>
        <v>Target</v>
      </c>
      <c r="AG10" s="10" t="str">
        <f>IFERROR(INDEX('Secondary Competitor Fit'!$D$5:$D$98,MATCH($A10&amp;"|Secondary 1",'Secondary Competitor Fit'!$M$5:$M$98,0)),"-")</f>
        <v>JetPens</v>
      </c>
      <c r="AH10" s="10" t="str">
        <f>IFERROR(INDEX('Secondary Competitor Fit'!$D$5:$D$98,MATCH($A10&amp;"|Secondary 2",'Secondary Competitor Fit'!$M$5:$M$98,0)),"-")</f>
        <v>Kinokuniya</v>
      </c>
      <c r="AI10" s="10" t="s">
        <v>934</v>
      </c>
      <c r="AJ10" s="24">
        <f t="shared" si="3"/>
        <v>86.045000000000002</v>
      </c>
    </row>
    <row r="11" spans="1:36" ht="26.4" x14ac:dyDescent="0.3">
      <c r="A11" s="6" t="s">
        <v>756</v>
      </c>
      <c r="B11" s="10" t="s">
        <v>30</v>
      </c>
      <c r="C11" s="10" t="s">
        <v>935</v>
      </c>
      <c r="D11" s="10" t="s">
        <v>936</v>
      </c>
      <c r="E11" s="10" t="s">
        <v>937</v>
      </c>
      <c r="F11" s="10"/>
      <c r="G11" s="6">
        <v>3</v>
      </c>
      <c r="H11" s="6" t="s">
        <v>163</v>
      </c>
      <c r="I11" s="15">
        <v>585</v>
      </c>
      <c r="J11" s="15">
        <v>542</v>
      </c>
      <c r="K11" s="10" t="s">
        <v>938</v>
      </c>
      <c r="L11" s="6" t="str">
        <f t="shared" si="0"/>
        <v>Pass</v>
      </c>
      <c r="M11" s="19" t="s">
        <v>911</v>
      </c>
      <c r="N11" s="6" t="str">
        <f>IF(I11&gt;='Selection Criteria'!$C$25,"Pass","Fail")</f>
        <v>Pass</v>
      </c>
      <c r="O11" s="19" t="s">
        <v>911</v>
      </c>
      <c r="P11" s="14" t="str">
        <f t="shared" si="1"/>
        <v>Pass</v>
      </c>
      <c r="Q11" s="14" t="str">
        <f>INDEX('Hero Segmentation'!$Q$5:$Q$80,MATCH($A11,'Hero Segmentation'!$A$5:$A$80,0))</f>
        <v>Hero</v>
      </c>
      <c r="R11" s="19">
        <v>4</v>
      </c>
      <c r="S11" s="19">
        <v>5</v>
      </c>
      <c r="T11" s="19">
        <v>3</v>
      </c>
      <c r="U11" s="19">
        <v>5</v>
      </c>
      <c r="V11" s="19">
        <v>4</v>
      </c>
      <c r="W11" s="19">
        <v>5</v>
      </c>
      <c r="X11" s="19">
        <v>5</v>
      </c>
      <c r="Y11" s="19">
        <v>4</v>
      </c>
      <c r="Z11" s="23">
        <f>IF(P11="Pass",(R11*'Selection Criteria'!$F$13+S11*'Selection Criteria'!$F$14+T11*'Selection Criteria'!$F$15+U11*'Selection Criteria'!$F$16+V11*'Selection Criteria'!$F$17+W11*'Selection Criteria'!$F$18+X11*'Selection Criteria'!$F$19+Y11*'Selection Criteria'!$F$20)/(5*'Selection Criteria'!$F$21)*100,"-")</f>
        <v>86</v>
      </c>
      <c r="AA11" s="6">
        <f t="shared" si="2"/>
        <v>4</v>
      </c>
      <c r="AB11" s="14" t="str">
        <f>IF(P11&lt;&gt;"Pass","Parked (gate)",IF(AC11="PROTECT","Protect (control)",IF(AA11&lt;=IF(Q11="Hero",'Hero Criteria'!$C$38,IF(Q11="Probable Hero",'Hero Criteria'!$C$39,'Hero Criteria'!$C$40)),"Recommended",IF(AA11&lt;=IF(Q11="Hero",'Hero Criteria'!$C$38,IF(Q11="Probable Hero",'Hero Criteria'!$C$39,'Hero Criteria'!$C$40))+'Hero Criteria'!$C$41,"Reserve","Backlog"))))</f>
        <v>Recommended</v>
      </c>
      <c r="AC11" s="6" t="str">
        <f>INDEX('Hero Segmentation'!$R$5:$R$80,MATCH($A11,'Hero Segmentation'!$A$5:$A$80,0))</f>
        <v>EXTEND</v>
      </c>
      <c r="AD11" s="6" t="str">
        <f>IF(AND(AB11="Recommended",J11&gt;='Selection Criteria'!$C$26),"Yes","")</f>
        <v>Yes</v>
      </c>
      <c r="AE11" s="10" t="str">
        <f>IFERROR(INDEX('Primary Competitor Fit'!$D$5:$D$91,MATCH($A11&amp;"|Primary 1",'Primary Competitor Fit'!$M$5:$M$91,0)),"-")</f>
        <v>Amazon</v>
      </c>
      <c r="AF11" s="10" t="str">
        <f>IFERROR(INDEX('Primary Competitor Fit'!$D$5:$D$91,MATCH($A11&amp;"|Primary 2",'Primary Competitor Fit'!$M$5:$M$91,0)),"-")</f>
        <v>Target</v>
      </c>
      <c r="AG11" s="10" t="str">
        <f>IFERROR(INDEX('Secondary Competitor Fit'!$D$5:$D$98,MATCH($A11&amp;"|Secondary 1",'Secondary Competitor Fit'!$M$5:$M$98,0)),"-")</f>
        <v>Bellroy</v>
      </c>
      <c r="AH11" s="10" t="str">
        <f>IFERROR(INDEX('Secondary Competitor Fit'!$D$5:$D$98,MATCH($A11&amp;"|Secondary 2",'Secondary Competitor Fit'!$M$5:$M$98,0)),"-")</f>
        <v>Urban Outfitters</v>
      </c>
      <c r="AI11" s="10" t="s">
        <v>939</v>
      </c>
      <c r="AJ11" s="24">
        <f t="shared" si="3"/>
        <v>86.054000000000002</v>
      </c>
    </row>
    <row r="12" spans="1:36" ht="26.4" x14ac:dyDescent="0.3">
      <c r="A12" s="6" t="s">
        <v>757</v>
      </c>
      <c r="B12" s="10" t="s">
        <v>54</v>
      </c>
      <c r="C12" s="10" t="s">
        <v>935</v>
      </c>
      <c r="D12" s="10" t="s">
        <v>940</v>
      </c>
      <c r="E12" s="10" t="s">
        <v>941</v>
      </c>
      <c r="F12" s="10"/>
      <c r="G12" s="6">
        <v>3</v>
      </c>
      <c r="H12" s="6" t="s">
        <v>219</v>
      </c>
      <c r="I12" s="15">
        <v>404</v>
      </c>
      <c r="J12" s="15">
        <v>406</v>
      </c>
      <c r="K12" s="10" t="s">
        <v>938</v>
      </c>
      <c r="L12" s="6" t="str">
        <f t="shared" si="0"/>
        <v>Pass</v>
      </c>
      <c r="M12" s="19" t="s">
        <v>911</v>
      </c>
      <c r="N12" s="6" t="str">
        <f>IF(I12&gt;='Selection Criteria'!$C$25,"Pass","Fail")</f>
        <v>Pass</v>
      </c>
      <c r="O12" s="19" t="s">
        <v>911</v>
      </c>
      <c r="P12" s="14" t="str">
        <f t="shared" si="1"/>
        <v>Pass</v>
      </c>
      <c r="Q12" s="14" t="str">
        <f>INDEX('Hero Segmentation'!$Q$5:$Q$80,MATCH($A12,'Hero Segmentation'!$A$5:$A$80,0))</f>
        <v>Probable Hero</v>
      </c>
      <c r="R12" s="19">
        <v>4</v>
      </c>
      <c r="S12" s="19">
        <v>5</v>
      </c>
      <c r="T12" s="19">
        <v>4</v>
      </c>
      <c r="U12" s="19">
        <v>4</v>
      </c>
      <c r="V12" s="19">
        <v>5</v>
      </c>
      <c r="W12" s="19">
        <v>4</v>
      </c>
      <c r="X12" s="19">
        <v>5</v>
      </c>
      <c r="Y12" s="19">
        <v>4</v>
      </c>
      <c r="Z12" s="23">
        <f>IF(P12="Pass",(R12*'Selection Criteria'!$F$13+S12*'Selection Criteria'!$F$14+T12*'Selection Criteria'!$F$15+U12*'Selection Criteria'!$F$16+V12*'Selection Criteria'!$F$17+W12*'Selection Criteria'!$F$18+X12*'Selection Criteria'!$F$19+Y12*'Selection Criteria'!$F$20)/(5*'Selection Criteria'!$F$21)*100,"-")</f>
        <v>86</v>
      </c>
      <c r="AA12" s="6">
        <f t="shared" si="2"/>
        <v>5</v>
      </c>
      <c r="AB12" s="14" t="str">
        <f>IF(P12&lt;&gt;"Pass","Parked (gate)",IF(AC12="PROTECT","Protect (control)",IF(AA12&lt;=IF(Q12="Hero",'Hero Criteria'!$C$38,IF(Q12="Probable Hero",'Hero Criteria'!$C$39,'Hero Criteria'!$C$40)),"Recommended",IF(AA12&lt;=IF(Q12="Hero",'Hero Criteria'!$C$38,IF(Q12="Probable Hero",'Hero Criteria'!$C$39,'Hero Criteria'!$C$40))+'Hero Criteria'!$C$41,"Reserve","Backlog"))))</f>
        <v>Recommended</v>
      </c>
      <c r="AC12" s="6" t="str">
        <f>INDEX('Hero Segmentation'!$R$5:$R$80,MATCH($A12,'Hero Segmentation'!$A$5:$A$80,0))</f>
        <v>BUILD</v>
      </c>
      <c r="AD12" s="6" t="str">
        <f>IF(AND(AB12="Recommended",J12&gt;='Selection Criteria'!$C$26),"Yes","")</f>
        <v>Yes</v>
      </c>
      <c r="AE12" s="10" t="str">
        <f>IFERROR(INDEX('Primary Competitor Fit'!$D$5:$D$91,MATCH($A12&amp;"|Primary 1",'Primary Competitor Fit'!$M$5:$M$91,0)),"-")</f>
        <v>Amazon</v>
      </c>
      <c r="AF12" s="10" t="str">
        <f>IFERROR(INDEX('Primary Competitor Fit'!$D$5:$D$91,MATCH($A12&amp;"|Primary 2",'Primary Competitor Fit'!$M$5:$M$91,0)),"-")</f>
        <v>Target</v>
      </c>
      <c r="AG12" s="10" t="str">
        <f>IFERROR(INDEX('Secondary Competitor Fit'!$D$5:$D$98,MATCH($A12&amp;"|Secondary 1",'Secondary Competitor Fit'!$M$5:$M$98,0)),"-")</f>
        <v>Bentgo</v>
      </c>
      <c r="AH12" s="10" t="str">
        <f>IFERROR(INDEX('Secondary Competitor Fit'!$D$5:$D$98,MATCH($A12&amp;"|Secondary 2",'Secondary Competitor Fit'!$M$5:$M$98,0)),"-")</f>
        <v>Pottery Barn Kids</v>
      </c>
      <c r="AI12" s="10" t="s">
        <v>942</v>
      </c>
      <c r="AJ12" s="24">
        <f t="shared" si="3"/>
        <v>86.044000000000011</v>
      </c>
    </row>
    <row r="13" spans="1:36" ht="26.4" x14ac:dyDescent="0.3">
      <c r="A13" s="6" t="s">
        <v>943</v>
      </c>
      <c r="B13" s="10" t="s">
        <v>27</v>
      </c>
      <c r="C13" s="10" t="s">
        <v>944</v>
      </c>
      <c r="D13" s="10" t="s">
        <v>945</v>
      </c>
      <c r="E13" s="10" t="s">
        <v>946</v>
      </c>
      <c r="F13" s="10" t="s">
        <v>947</v>
      </c>
      <c r="G13" s="6">
        <v>4</v>
      </c>
      <c r="H13" s="6" t="s">
        <v>156</v>
      </c>
      <c r="I13" s="15">
        <v>607</v>
      </c>
      <c r="J13" s="15">
        <v>0</v>
      </c>
      <c r="K13" s="10" t="s">
        <v>916</v>
      </c>
      <c r="L13" s="6" t="str">
        <f t="shared" si="0"/>
        <v>Pass</v>
      </c>
      <c r="M13" s="19" t="s">
        <v>911</v>
      </c>
      <c r="N13" s="6" t="str">
        <f>IF(I13&gt;='Selection Criteria'!$C$25,"Pass","Fail")</f>
        <v>Pass</v>
      </c>
      <c r="O13" s="19" t="s">
        <v>911</v>
      </c>
      <c r="P13" s="14" t="str">
        <f t="shared" si="1"/>
        <v>Pass</v>
      </c>
      <c r="Q13" s="14" t="str">
        <f>INDEX('Hero Segmentation'!$Q$5:$Q$80,MATCH($A13,'Hero Segmentation'!$A$5:$A$80,0))</f>
        <v>Hero</v>
      </c>
      <c r="R13" s="19">
        <v>5</v>
      </c>
      <c r="S13" s="19">
        <v>4</v>
      </c>
      <c r="T13" s="19">
        <v>4</v>
      </c>
      <c r="U13" s="19">
        <v>5</v>
      </c>
      <c r="V13" s="19">
        <v>5</v>
      </c>
      <c r="W13" s="19">
        <v>4</v>
      </c>
      <c r="X13" s="19">
        <v>5</v>
      </c>
      <c r="Y13" s="19">
        <v>2</v>
      </c>
      <c r="Z13" s="23">
        <f>IF(P13="Pass",(R13*'Selection Criteria'!$F$13+S13*'Selection Criteria'!$F$14+T13*'Selection Criteria'!$F$15+U13*'Selection Criteria'!$F$16+V13*'Selection Criteria'!$F$17+W13*'Selection Criteria'!$F$18+X13*'Selection Criteria'!$F$19+Y13*'Selection Criteria'!$F$20)/(5*'Selection Criteria'!$F$21)*100,"-")</f>
        <v>86</v>
      </c>
      <c r="AA13" s="6">
        <f t="shared" si="2"/>
        <v>3</v>
      </c>
      <c r="AB13" s="14" t="str">
        <f>IF(P13&lt;&gt;"Pass","Parked (gate)",IF(AC13="PROTECT","Protect (control)",IF(AA13&lt;=IF(Q13="Hero",'Hero Criteria'!$C$38,IF(Q13="Probable Hero",'Hero Criteria'!$C$39,'Hero Criteria'!$C$40)),"Recommended",IF(AA13&lt;=IF(Q13="Hero",'Hero Criteria'!$C$38,IF(Q13="Probable Hero",'Hero Criteria'!$C$39,'Hero Criteria'!$C$40))+'Hero Criteria'!$C$41,"Reserve","Backlog"))))</f>
        <v>Recommended</v>
      </c>
      <c r="AC13" s="6" t="str">
        <f>INDEX('Hero Segmentation'!$R$5:$R$80,MATCH($A13,'Hero Segmentation'!$A$5:$A$80,0))</f>
        <v>EXTEND</v>
      </c>
      <c r="AD13" s="6" t="str">
        <f>IF(AND(AB13="Recommended",J13&gt;='Selection Criteria'!$C$26),"Yes","")</f>
        <v/>
      </c>
      <c r="AE13" s="10" t="str">
        <f>IFERROR(INDEX('Primary Competitor Fit'!$D$5:$D$91,MATCH($A13&amp;"|Primary 1",'Primary Competitor Fit'!$M$5:$M$91,0)),"-")</f>
        <v>Amazon</v>
      </c>
      <c r="AF13" s="10" t="str">
        <f>IFERROR(INDEX('Primary Competitor Fit'!$D$5:$D$91,MATCH($A13&amp;"|Primary 2",'Primary Competitor Fit'!$M$5:$M$91,0)),"-")</f>
        <v>Walmart</v>
      </c>
      <c r="AG13" s="10" t="str">
        <f>IFERROR(INDEX('Secondary Competitor Fit'!$D$5:$D$98,MATCH($A13&amp;"|Secondary 1",'Secondary Competitor Fit'!$M$5:$M$98,0)),"-")</f>
        <v>Etsy</v>
      </c>
      <c r="AH13" s="10" t="str">
        <f>IFERROR(INDEX('Secondary Competitor Fit'!$D$5:$D$98,MATCH($A13&amp;"|Secondary 2",'Secondary Competitor Fit'!$M$5:$M$98,0)),"-")</f>
        <v>Oriental Trading</v>
      </c>
      <c r="AI13" s="10" t="s">
        <v>948</v>
      </c>
      <c r="AJ13" s="24">
        <f t="shared" si="3"/>
        <v>86.054999999999993</v>
      </c>
    </row>
    <row r="14" spans="1:36" ht="26.4" x14ac:dyDescent="0.3">
      <c r="A14" s="6" t="s">
        <v>949</v>
      </c>
      <c r="B14" s="10" t="s">
        <v>57</v>
      </c>
      <c r="C14" s="10" t="s">
        <v>907</v>
      </c>
      <c r="D14" s="10" t="s">
        <v>950</v>
      </c>
      <c r="E14" s="10" t="s">
        <v>951</v>
      </c>
      <c r="F14" s="10"/>
      <c r="G14" s="6">
        <v>3</v>
      </c>
      <c r="H14" s="6" t="s">
        <v>226</v>
      </c>
      <c r="I14" s="15">
        <v>95</v>
      </c>
      <c r="J14" s="15">
        <v>0</v>
      </c>
      <c r="K14" s="10" t="s">
        <v>916</v>
      </c>
      <c r="L14" s="6" t="str">
        <f t="shared" si="0"/>
        <v>Pass</v>
      </c>
      <c r="M14" s="19" t="s">
        <v>911</v>
      </c>
      <c r="N14" s="6" t="str">
        <f>IF(I14&gt;='Selection Criteria'!$C$25,"Pass","Fail")</f>
        <v>Pass</v>
      </c>
      <c r="O14" s="19" t="s">
        <v>911</v>
      </c>
      <c r="P14" s="14" t="str">
        <f t="shared" si="1"/>
        <v>Pass</v>
      </c>
      <c r="Q14" s="14" t="str">
        <f>INDEX('Hero Segmentation'!$Q$5:$Q$80,MATCH($A14,'Hero Segmentation'!$A$5:$A$80,0))</f>
        <v>Probable Hero</v>
      </c>
      <c r="R14" s="19">
        <v>5</v>
      </c>
      <c r="S14" s="19">
        <v>5</v>
      </c>
      <c r="T14" s="19">
        <v>5</v>
      </c>
      <c r="U14" s="19">
        <v>4</v>
      </c>
      <c r="V14" s="19">
        <v>4</v>
      </c>
      <c r="W14" s="19">
        <v>3</v>
      </c>
      <c r="X14" s="19">
        <v>5</v>
      </c>
      <c r="Y14" s="19">
        <v>2</v>
      </c>
      <c r="Z14" s="23">
        <f>IF(P14="Pass",(R14*'Selection Criteria'!$F$13+S14*'Selection Criteria'!$F$14+T14*'Selection Criteria'!$F$15+U14*'Selection Criteria'!$F$16+V14*'Selection Criteria'!$F$17+W14*'Selection Criteria'!$F$18+X14*'Selection Criteria'!$F$19+Y14*'Selection Criteria'!$F$20)/(5*'Selection Criteria'!$F$21)*100,"-")</f>
        <v>85</v>
      </c>
      <c r="AA14" s="6">
        <f t="shared" si="2"/>
        <v>6</v>
      </c>
      <c r="AB14" s="14" t="str">
        <f>IF(P14&lt;&gt;"Pass","Parked (gate)",IF(AC14="PROTECT","Protect (control)",IF(AA14&lt;=IF(Q14="Hero",'Hero Criteria'!$C$38,IF(Q14="Probable Hero",'Hero Criteria'!$C$39,'Hero Criteria'!$C$40)),"Recommended",IF(AA14&lt;=IF(Q14="Hero",'Hero Criteria'!$C$38,IF(Q14="Probable Hero",'Hero Criteria'!$C$39,'Hero Criteria'!$C$40))+'Hero Criteria'!$C$41,"Reserve","Backlog"))))</f>
        <v>Recommended</v>
      </c>
      <c r="AC14" s="6" t="str">
        <f>INDEX('Hero Segmentation'!$R$5:$R$80,MATCH($A14,'Hero Segmentation'!$A$5:$A$80,0))</f>
        <v>BUILD</v>
      </c>
      <c r="AD14" s="6" t="str">
        <f>IF(AND(AB14="Recommended",J14&gt;='Selection Criteria'!$C$26),"Yes","")</f>
        <v/>
      </c>
      <c r="AE14" s="10" t="str">
        <f>IFERROR(INDEX('Primary Competitor Fit'!$D$5:$D$91,MATCH($A14&amp;"|Primary 1",'Primary Competitor Fit'!$M$5:$M$91,0)),"-")</f>
        <v>Wayfair</v>
      </c>
      <c r="AF14" s="10" t="str">
        <f>IFERROR(INDEX('Primary Competitor Fit'!$D$5:$D$91,MATCH($A14&amp;"|Primary 2",'Primary Competitor Fit'!$M$5:$M$91,0)),"-")</f>
        <v>Target</v>
      </c>
      <c r="AG14" s="10" t="str">
        <f>IFERROR(INDEX('Secondary Competitor Fit'!$D$5:$D$98,MATCH($A14&amp;"|Secondary 1",'Secondary Competitor Fit'!$M$5:$M$98,0)),"-")</f>
        <v>The Container Store</v>
      </c>
      <c r="AH14" s="10" t="str">
        <f>IFERROR(INDEX('Secondary Competitor Fit'!$D$5:$D$98,MATCH($A14&amp;"|Secondary 2",'Secondary Competitor Fit'!$M$5:$M$98,0)),"-")</f>
        <v>Pottery Barn</v>
      </c>
      <c r="AI14" s="10" t="s">
        <v>952</v>
      </c>
      <c r="AJ14" s="24">
        <f t="shared" si="3"/>
        <v>85.045000000000002</v>
      </c>
    </row>
    <row r="15" spans="1:36" ht="26.4" x14ac:dyDescent="0.3">
      <c r="A15" s="6" t="s">
        <v>758</v>
      </c>
      <c r="B15" s="10" t="s">
        <v>60</v>
      </c>
      <c r="C15" s="10" t="s">
        <v>935</v>
      </c>
      <c r="D15" s="10" t="s">
        <v>936</v>
      </c>
      <c r="E15" s="10" t="s">
        <v>953</v>
      </c>
      <c r="F15" s="10"/>
      <c r="G15" s="6">
        <v>3</v>
      </c>
      <c r="H15" s="6" t="s">
        <v>233</v>
      </c>
      <c r="I15" s="15">
        <v>300</v>
      </c>
      <c r="J15" s="15">
        <v>265</v>
      </c>
      <c r="K15" s="10" t="s">
        <v>938</v>
      </c>
      <c r="L15" s="6" t="str">
        <f t="shared" si="0"/>
        <v>Pass</v>
      </c>
      <c r="M15" s="19" t="s">
        <v>911</v>
      </c>
      <c r="N15" s="6" t="str">
        <f>IF(I15&gt;='Selection Criteria'!$C$25,"Pass","Fail")</f>
        <v>Pass</v>
      </c>
      <c r="O15" s="19" t="s">
        <v>911</v>
      </c>
      <c r="P15" s="14" t="str">
        <f t="shared" si="1"/>
        <v>Pass</v>
      </c>
      <c r="Q15" s="14" t="str">
        <f>INDEX('Hero Segmentation'!$Q$5:$Q$80,MATCH($A15,'Hero Segmentation'!$A$5:$A$80,0))</f>
        <v>Probable Hero</v>
      </c>
      <c r="R15" s="19">
        <v>4</v>
      </c>
      <c r="S15" s="19">
        <v>4</v>
      </c>
      <c r="T15" s="19">
        <v>4</v>
      </c>
      <c r="U15" s="19">
        <v>5</v>
      </c>
      <c r="V15" s="19">
        <v>5</v>
      </c>
      <c r="W15" s="19">
        <v>3</v>
      </c>
      <c r="X15" s="19">
        <v>4</v>
      </c>
      <c r="Y15" s="19">
        <v>4</v>
      </c>
      <c r="Z15" s="23">
        <f>IF(P15="Pass",(R15*'Selection Criteria'!$F$13+S15*'Selection Criteria'!$F$14+T15*'Selection Criteria'!$F$15+U15*'Selection Criteria'!$F$16+V15*'Selection Criteria'!$F$17+W15*'Selection Criteria'!$F$18+X15*'Selection Criteria'!$F$19+Y15*'Selection Criteria'!$F$20)/(5*'Selection Criteria'!$F$21)*100,"-")</f>
        <v>83</v>
      </c>
      <c r="AA15" s="6">
        <f t="shared" si="2"/>
        <v>7</v>
      </c>
      <c r="AB15" s="14" t="str">
        <f>IF(P15&lt;&gt;"Pass","Parked (gate)",IF(AC15="PROTECT","Protect (control)",IF(AA15&lt;=IF(Q15="Hero",'Hero Criteria'!$C$38,IF(Q15="Probable Hero",'Hero Criteria'!$C$39,'Hero Criteria'!$C$40)),"Recommended",IF(AA15&lt;=IF(Q15="Hero",'Hero Criteria'!$C$38,IF(Q15="Probable Hero",'Hero Criteria'!$C$39,'Hero Criteria'!$C$40))+'Hero Criteria'!$C$41,"Reserve","Backlog"))))</f>
        <v>Recommended</v>
      </c>
      <c r="AC15" s="6" t="str">
        <f>INDEX('Hero Segmentation'!$R$5:$R$80,MATCH($A15,'Hero Segmentation'!$A$5:$A$80,0))</f>
        <v>BUILD</v>
      </c>
      <c r="AD15" s="6" t="str">
        <f>IF(AND(AB15="Recommended",J15&gt;='Selection Criteria'!$C$26),"Yes","")</f>
        <v>Yes</v>
      </c>
      <c r="AE15" s="10" t="str">
        <f>IFERROR(INDEX('Primary Competitor Fit'!$D$5:$D$91,MATCH($A15&amp;"|Primary 1",'Primary Competitor Fit'!$M$5:$M$91,0)),"-")</f>
        <v>Amazon</v>
      </c>
      <c r="AF15" s="10" t="str">
        <f>IFERROR(INDEX('Primary Competitor Fit'!$D$5:$D$91,MATCH($A15&amp;"|Primary 2",'Primary Competitor Fit'!$M$5:$M$91,0)),"-")</f>
        <v>Target</v>
      </c>
      <c r="AG15" s="10" t="str">
        <f>IFERROR(INDEX('Secondary Competitor Fit'!$D$5:$D$98,MATCH($A15&amp;"|Secondary 1",'Secondary Competitor Fit'!$M$5:$M$98,0)),"-")</f>
        <v>Bellroy</v>
      </c>
      <c r="AH15" s="10" t="str">
        <f>IFERROR(INDEX('Secondary Competitor Fit'!$D$5:$D$98,MATCH($A15&amp;"|Secondary 2",'Secondary Competitor Fit'!$M$5:$M$98,0)),"-")</f>
        <v>Urban Outfitters</v>
      </c>
      <c r="AI15" s="10" t="s">
        <v>954</v>
      </c>
      <c r="AJ15" s="24">
        <f t="shared" si="3"/>
        <v>83.054000000000002</v>
      </c>
    </row>
    <row r="16" spans="1:36" ht="26.4" x14ac:dyDescent="0.3">
      <c r="A16" s="6" t="s">
        <v>759</v>
      </c>
      <c r="B16" s="10" t="s">
        <v>317</v>
      </c>
      <c r="C16" s="10" t="s">
        <v>935</v>
      </c>
      <c r="D16" s="10" t="s">
        <v>955</v>
      </c>
      <c r="E16" s="10" t="s">
        <v>940</v>
      </c>
      <c r="F16" s="10"/>
      <c r="G16" s="6">
        <v>3</v>
      </c>
      <c r="H16" s="6" t="s">
        <v>318</v>
      </c>
      <c r="I16" s="15">
        <v>173</v>
      </c>
      <c r="J16" s="15">
        <v>166</v>
      </c>
      <c r="K16" s="10" t="s">
        <v>938</v>
      </c>
      <c r="L16" s="6" t="str">
        <f t="shared" si="0"/>
        <v>Pass</v>
      </c>
      <c r="M16" s="19" t="s">
        <v>911</v>
      </c>
      <c r="N16" s="6" t="str">
        <f>IF(I16&gt;='Selection Criteria'!$C$25,"Pass","Fail")</f>
        <v>Pass</v>
      </c>
      <c r="O16" s="19" t="s">
        <v>911</v>
      </c>
      <c r="P16" s="14" t="str">
        <f t="shared" si="1"/>
        <v>Pass</v>
      </c>
      <c r="Q16" s="14" t="str">
        <f>INDEX('Hero Segmentation'!$Q$5:$Q$80,MATCH($A16,'Hero Segmentation'!$A$5:$A$80,0))</f>
        <v>Probable Hero</v>
      </c>
      <c r="R16" s="19">
        <v>5</v>
      </c>
      <c r="S16" s="19">
        <v>5</v>
      </c>
      <c r="T16" s="19">
        <v>4</v>
      </c>
      <c r="U16" s="19">
        <v>4</v>
      </c>
      <c r="V16" s="19">
        <v>3</v>
      </c>
      <c r="W16" s="19">
        <v>3</v>
      </c>
      <c r="X16" s="19">
        <v>3</v>
      </c>
      <c r="Y16" s="19">
        <v>4</v>
      </c>
      <c r="Z16" s="23">
        <f>IF(P16="Pass",(R16*'Selection Criteria'!$F$13+S16*'Selection Criteria'!$F$14+T16*'Selection Criteria'!$F$15+U16*'Selection Criteria'!$F$16+V16*'Selection Criteria'!$F$17+W16*'Selection Criteria'!$F$18+X16*'Selection Criteria'!$F$19+Y16*'Selection Criteria'!$F$20)/(5*'Selection Criteria'!$F$21)*100,"-")</f>
        <v>82</v>
      </c>
      <c r="AA16" s="6">
        <f t="shared" si="2"/>
        <v>8</v>
      </c>
      <c r="AB16" s="14" t="str">
        <f>IF(P16&lt;&gt;"Pass","Parked (gate)",IF(AC16="PROTECT","Protect (control)",IF(AA16&lt;=IF(Q16="Hero",'Hero Criteria'!$C$38,IF(Q16="Probable Hero",'Hero Criteria'!$C$39,'Hero Criteria'!$C$40)),"Recommended",IF(AA16&lt;=IF(Q16="Hero",'Hero Criteria'!$C$38,IF(Q16="Probable Hero",'Hero Criteria'!$C$39,'Hero Criteria'!$C$40))+'Hero Criteria'!$C$41,"Reserve","Backlog"))))</f>
        <v>Reserve</v>
      </c>
      <c r="AC16" s="6" t="str">
        <f>INDEX('Hero Segmentation'!$R$5:$R$80,MATCH($A16,'Hero Segmentation'!$A$5:$A$80,0))</f>
        <v>BUILD</v>
      </c>
      <c r="AD16" s="6" t="str">
        <f>IF(AND(AB16="Recommended",J16&gt;='Selection Criteria'!$C$26),"Yes","")</f>
        <v/>
      </c>
      <c r="AE16" s="10" t="str">
        <f>IFERROR(INDEX('Primary Competitor Fit'!$D$5:$D$91,MATCH($A16&amp;"|Primary 1",'Primary Competitor Fit'!$M$5:$M$91,0)),"-")</f>
        <v>Amazon</v>
      </c>
      <c r="AF16" s="10" t="str">
        <f>IFERROR(INDEX('Primary Competitor Fit'!$D$5:$D$91,MATCH($A16&amp;"|Primary 2",'Primary Competitor Fit'!$M$5:$M$91,0)),"-")</f>
        <v>Target</v>
      </c>
      <c r="AG16" s="10" t="str">
        <f>IFERROR(INDEX('Secondary Competitor Fit'!$D$5:$D$98,MATCH($A16&amp;"|Secondary 1",'Secondary Competitor Fit'!$M$5:$M$98,0)),"-")</f>
        <v>Bellroy</v>
      </c>
      <c r="AH16" s="10" t="str">
        <f>IFERROR(INDEX('Secondary Competitor Fit'!$D$5:$D$98,MATCH($A16&amp;"|Secondary 2",'Secondary Competitor Fit'!$M$5:$M$98,0)),"-")</f>
        <v>Nordstrom</v>
      </c>
      <c r="AI16" s="10" t="s">
        <v>956</v>
      </c>
      <c r="AJ16" s="24">
        <f t="shared" si="3"/>
        <v>82.045000000000002</v>
      </c>
    </row>
    <row r="17" spans="1:36" ht="26.4" x14ac:dyDescent="0.3">
      <c r="A17" s="6" t="s">
        <v>734</v>
      </c>
      <c r="B17" s="10" t="s">
        <v>33</v>
      </c>
      <c r="C17" s="10" t="s">
        <v>923</v>
      </c>
      <c r="D17" s="10" t="s">
        <v>647</v>
      </c>
      <c r="E17" s="10" t="s">
        <v>957</v>
      </c>
      <c r="F17" s="10"/>
      <c r="G17" s="6">
        <v>3</v>
      </c>
      <c r="H17" s="6" t="s">
        <v>170</v>
      </c>
      <c r="I17" s="15">
        <v>1501</v>
      </c>
      <c r="J17" s="15">
        <v>1265</v>
      </c>
      <c r="K17" s="10" t="s">
        <v>958</v>
      </c>
      <c r="L17" s="6" t="str">
        <f t="shared" si="0"/>
        <v>Pass</v>
      </c>
      <c r="M17" s="19" t="s">
        <v>911</v>
      </c>
      <c r="N17" s="6" t="str">
        <f>IF(I17&gt;='Selection Criteria'!$C$25,"Pass","Fail")</f>
        <v>Pass</v>
      </c>
      <c r="O17" s="19" t="s">
        <v>911</v>
      </c>
      <c r="P17" s="14" t="str">
        <f t="shared" si="1"/>
        <v>Pass</v>
      </c>
      <c r="Q17" s="14" t="str">
        <f>INDEX('Hero Segmentation'!$Q$5:$Q$80,MATCH($A17,'Hero Segmentation'!$A$5:$A$80,0))</f>
        <v>Hero</v>
      </c>
      <c r="R17" s="19">
        <v>4</v>
      </c>
      <c r="S17" s="19">
        <v>5</v>
      </c>
      <c r="T17" s="19">
        <v>3</v>
      </c>
      <c r="U17" s="19">
        <v>5</v>
      </c>
      <c r="V17" s="19">
        <v>1</v>
      </c>
      <c r="W17" s="19">
        <v>5</v>
      </c>
      <c r="X17" s="19">
        <v>4</v>
      </c>
      <c r="Y17" s="19">
        <v>5</v>
      </c>
      <c r="Z17" s="23">
        <f>IF(P17="Pass",(R17*'Selection Criteria'!$F$13+S17*'Selection Criteria'!$F$14+T17*'Selection Criteria'!$F$15+U17*'Selection Criteria'!$F$16+V17*'Selection Criteria'!$F$17+W17*'Selection Criteria'!$F$18+X17*'Selection Criteria'!$F$19+Y17*'Selection Criteria'!$F$20)/(5*'Selection Criteria'!$F$21)*100,"-")</f>
        <v>81</v>
      </c>
      <c r="AA17" s="6">
        <f t="shared" si="2"/>
        <v>5</v>
      </c>
      <c r="AB17" s="14" t="str">
        <f>IF(P17&lt;&gt;"Pass","Parked (gate)",IF(AC17="PROTECT","Protect (control)",IF(AA17&lt;=IF(Q17="Hero",'Hero Criteria'!$C$38,IF(Q17="Probable Hero",'Hero Criteria'!$C$39,'Hero Criteria'!$C$40)),"Recommended",IF(AA17&lt;=IF(Q17="Hero",'Hero Criteria'!$C$38,IF(Q17="Probable Hero",'Hero Criteria'!$C$39,'Hero Criteria'!$C$40))+'Hero Criteria'!$C$41,"Reserve","Backlog"))))</f>
        <v>Recommended</v>
      </c>
      <c r="AC17" s="6" t="str">
        <f>INDEX('Hero Segmentation'!$R$5:$R$80,MATCH($A17,'Hero Segmentation'!$A$5:$A$80,0))</f>
        <v>EXTEND</v>
      </c>
      <c r="AD17" s="6" t="str">
        <f>IF(AND(AB17="Recommended",J17&gt;='Selection Criteria'!$C$26),"Yes","")</f>
        <v>Yes</v>
      </c>
      <c r="AE17" s="10" t="str">
        <f>IFERROR(INDEX('Primary Competitor Fit'!$D$5:$D$91,MATCH($A17&amp;"|Primary 1",'Primary Competitor Fit'!$M$5:$M$91,0)),"-")</f>
        <v>Wayfair</v>
      </c>
      <c r="AF17" s="10" t="str">
        <f>IFERROR(INDEX('Primary Competitor Fit'!$D$5:$D$91,MATCH($A17&amp;"|Primary 2",'Primary Competitor Fit'!$M$5:$M$91,0)),"-")</f>
        <v>Amazon</v>
      </c>
      <c r="AG17" s="10" t="str">
        <f>IFERROR(INDEX('Secondary Competitor Fit'!$D$5:$D$98,MATCH($A17&amp;"|Secondary 1",'Secondary Competitor Fit'!$M$5:$M$98,0)),"-")</f>
        <v>Design Within Reach</v>
      </c>
      <c r="AH17" s="10" t="str">
        <f>IFERROR(INDEX('Secondary Competitor Fit'!$D$5:$D$98,MATCH($A17&amp;"|Secondary 2",'Secondary Competitor Fit'!$M$5:$M$98,0)),"-")</f>
        <v>West Elm</v>
      </c>
      <c r="AI17" s="10" t="s">
        <v>959</v>
      </c>
      <c r="AJ17" s="24">
        <f t="shared" si="3"/>
        <v>81.054000000000002</v>
      </c>
    </row>
    <row r="18" spans="1:36" ht="26.4" x14ac:dyDescent="0.3">
      <c r="A18" s="6" t="s">
        <v>787</v>
      </c>
      <c r="B18" s="10" t="s">
        <v>328</v>
      </c>
      <c r="C18" s="10" t="s">
        <v>907</v>
      </c>
      <c r="D18" s="10" t="s">
        <v>960</v>
      </c>
      <c r="E18" s="10" t="s">
        <v>961</v>
      </c>
      <c r="F18" s="10"/>
      <c r="G18" s="6">
        <v>3</v>
      </c>
      <c r="H18" s="6" t="s">
        <v>329</v>
      </c>
      <c r="I18" s="15">
        <v>253</v>
      </c>
      <c r="J18" s="15">
        <v>0</v>
      </c>
      <c r="K18" s="10" t="s">
        <v>910</v>
      </c>
      <c r="L18" s="6" t="str">
        <f t="shared" si="0"/>
        <v>Pass</v>
      </c>
      <c r="M18" s="19" t="s">
        <v>911</v>
      </c>
      <c r="N18" s="6" t="str">
        <f>IF(I18&gt;='Selection Criteria'!$C$25,"Pass","Fail")</f>
        <v>Pass</v>
      </c>
      <c r="O18" s="19" t="s">
        <v>911</v>
      </c>
      <c r="P18" s="14" t="str">
        <f t="shared" si="1"/>
        <v>Pass</v>
      </c>
      <c r="Q18" s="14" t="str">
        <f>INDEX('Hero Segmentation'!$Q$5:$Q$80,MATCH($A18,'Hero Segmentation'!$A$5:$A$80,0))</f>
        <v>Probable Hero</v>
      </c>
      <c r="R18" s="19">
        <v>5</v>
      </c>
      <c r="S18" s="19">
        <v>4</v>
      </c>
      <c r="T18" s="19">
        <v>4</v>
      </c>
      <c r="U18" s="19">
        <v>4</v>
      </c>
      <c r="V18" s="19">
        <v>5</v>
      </c>
      <c r="W18" s="19">
        <v>3</v>
      </c>
      <c r="X18" s="19">
        <v>4</v>
      </c>
      <c r="Y18" s="19">
        <v>2</v>
      </c>
      <c r="Z18" s="23">
        <f>IF(P18="Pass",(R18*'Selection Criteria'!$F$13+S18*'Selection Criteria'!$F$14+T18*'Selection Criteria'!$F$15+U18*'Selection Criteria'!$F$16+V18*'Selection Criteria'!$F$17+W18*'Selection Criteria'!$F$18+X18*'Selection Criteria'!$F$19+Y18*'Selection Criteria'!$F$20)/(5*'Selection Criteria'!$F$21)*100,"-")</f>
        <v>80</v>
      </c>
      <c r="AA18" s="6">
        <f t="shared" si="2"/>
        <v>9</v>
      </c>
      <c r="AB18" s="14" t="str">
        <f>IF(P18&lt;&gt;"Pass","Parked (gate)",IF(AC18="PROTECT","Protect (control)",IF(AA18&lt;=IF(Q18="Hero",'Hero Criteria'!$C$38,IF(Q18="Probable Hero",'Hero Criteria'!$C$39,'Hero Criteria'!$C$40)),"Recommended",IF(AA18&lt;=IF(Q18="Hero",'Hero Criteria'!$C$38,IF(Q18="Probable Hero",'Hero Criteria'!$C$39,'Hero Criteria'!$C$40))+'Hero Criteria'!$C$41,"Reserve","Backlog"))))</f>
        <v>Reserve</v>
      </c>
      <c r="AC18" s="6" t="str">
        <f>INDEX('Hero Segmentation'!$R$5:$R$80,MATCH($A18,'Hero Segmentation'!$A$5:$A$80,0))</f>
        <v>BUILD</v>
      </c>
      <c r="AD18" s="6" t="str">
        <f>IF(AND(AB18="Recommended",J18&gt;='Selection Criteria'!$C$26),"Yes","")</f>
        <v/>
      </c>
      <c r="AE18" s="10" t="str">
        <f>IFERROR(INDEX('Primary Competitor Fit'!$D$5:$D$91,MATCH($A18&amp;"|Primary 1",'Primary Competitor Fit'!$M$5:$M$91,0)),"-")</f>
        <v>Amazon</v>
      </c>
      <c r="AF18" s="10" t="str">
        <f>IFERROR(INDEX('Primary Competitor Fit'!$D$5:$D$91,MATCH($A18&amp;"|Primary 2",'Primary Competitor Fit'!$M$5:$M$91,0)),"-")</f>
        <v>Target</v>
      </c>
      <c r="AG18" s="10" t="str">
        <f>IFERROR(INDEX('Secondary Competitor Fit'!$D$5:$D$98,MATCH($A18&amp;"|Secondary 1",'Secondary Competitor Fit'!$M$5:$M$98,0)),"-")</f>
        <v>JetPens</v>
      </c>
      <c r="AH18" s="10" t="str">
        <f>IFERROR(INDEX('Secondary Competitor Fit'!$D$5:$D$98,MATCH($A18&amp;"|Secondary 2",'Secondary Competitor Fit'!$M$5:$M$98,0)),"-")</f>
        <v>Kinokuniya</v>
      </c>
      <c r="AI18" s="10" t="s">
        <v>962</v>
      </c>
      <c r="AJ18" s="24">
        <f t="shared" si="3"/>
        <v>80.045000000000002</v>
      </c>
    </row>
    <row r="19" spans="1:36" x14ac:dyDescent="0.3">
      <c r="A19" s="6" t="s">
        <v>963</v>
      </c>
      <c r="B19" s="10" t="s">
        <v>339</v>
      </c>
      <c r="C19" s="10" t="s">
        <v>923</v>
      </c>
      <c r="D19" s="10" t="s">
        <v>964</v>
      </c>
      <c r="E19" s="10" t="s">
        <v>965</v>
      </c>
      <c r="F19" s="10" t="s">
        <v>966</v>
      </c>
      <c r="G19" s="6">
        <v>4</v>
      </c>
      <c r="H19" s="6" t="s">
        <v>340</v>
      </c>
      <c r="I19" s="15">
        <v>203</v>
      </c>
      <c r="J19" s="15">
        <v>0</v>
      </c>
      <c r="K19" s="10" t="s">
        <v>916</v>
      </c>
      <c r="L19" s="6" t="str">
        <f t="shared" si="0"/>
        <v>Pass</v>
      </c>
      <c r="M19" s="19" t="s">
        <v>911</v>
      </c>
      <c r="N19" s="6" t="str">
        <f>IF(I19&gt;='Selection Criteria'!$C$25,"Pass","Fail")</f>
        <v>Pass</v>
      </c>
      <c r="O19" s="19" t="s">
        <v>911</v>
      </c>
      <c r="P19" s="14" t="str">
        <f t="shared" si="1"/>
        <v>Pass</v>
      </c>
      <c r="Q19" s="14" t="str">
        <f>INDEX('Hero Segmentation'!$Q$5:$Q$80,MATCH($A19,'Hero Segmentation'!$A$5:$A$80,0))</f>
        <v>Probable Hero</v>
      </c>
      <c r="R19" s="19">
        <v>5</v>
      </c>
      <c r="S19" s="19">
        <v>5</v>
      </c>
      <c r="T19" s="19">
        <v>5</v>
      </c>
      <c r="U19" s="19">
        <v>3</v>
      </c>
      <c r="V19" s="19">
        <v>4</v>
      </c>
      <c r="W19" s="19">
        <v>3</v>
      </c>
      <c r="X19" s="19">
        <v>3</v>
      </c>
      <c r="Y19" s="19">
        <v>2</v>
      </c>
      <c r="Z19" s="23">
        <f>IF(P19="Pass",(R19*'Selection Criteria'!$F$13+S19*'Selection Criteria'!$F$14+T19*'Selection Criteria'!$F$15+U19*'Selection Criteria'!$F$16+V19*'Selection Criteria'!$F$17+W19*'Selection Criteria'!$F$18+X19*'Selection Criteria'!$F$19+Y19*'Selection Criteria'!$F$20)/(5*'Selection Criteria'!$F$21)*100,"-")</f>
        <v>80</v>
      </c>
      <c r="AA19" s="6">
        <f t="shared" si="2"/>
        <v>10</v>
      </c>
      <c r="AB19" s="14" t="str">
        <f>IF(P19&lt;&gt;"Pass","Parked (gate)",IF(AC19="PROTECT","Protect (control)",IF(AA19&lt;=IF(Q19="Hero",'Hero Criteria'!$C$38,IF(Q19="Probable Hero",'Hero Criteria'!$C$39,'Hero Criteria'!$C$40)),"Recommended",IF(AA19&lt;=IF(Q19="Hero",'Hero Criteria'!$C$38,IF(Q19="Probable Hero",'Hero Criteria'!$C$39,'Hero Criteria'!$C$40))+'Hero Criteria'!$C$41,"Reserve","Backlog"))))</f>
        <v>Reserve</v>
      </c>
      <c r="AC19" s="6" t="str">
        <f>INDEX('Hero Segmentation'!$R$5:$R$80,MATCH($A19,'Hero Segmentation'!$A$5:$A$80,0))</f>
        <v>BUILD</v>
      </c>
      <c r="AD19" s="6" t="str">
        <f>IF(AND(AB19="Recommended",J19&gt;='Selection Criteria'!$C$26),"Yes","")</f>
        <v/>
      </c>
      <c r="AE19" s="10" t="str">
        <f>IFERROR(INDEX('Primary Competitor Fit'!$D$5:$D$91,MATCH($A19&amp;"|Primary 1",'Primary Competitor Fit'!$M$5:$M$91,0)),"-")</f>
        <v>Wayfair</v>
      </c>
      <c r="AF19" s="10" t="str">
        <f>IFERROR(INDEX('Primary Competitor Fit'!$D$5:$D$91,MATCH($A19&amp;"|Primary 2",'Primary Competitor Fit'!$M$5:$M$91,0)),"-")</f>
        <v>Amazon</v>
      </c>
      <c r="AG19" s="10" t="str">
        <f>IFERROR(INDEX('Secondary Competitor Fit'!$D$5:$D$98,MATCH($A19&amp;"|Secondary 1",'Secondary Competitor Fit'!$M$5:$M$98,0)),"-")</f>
        <v>Michaels</v>
      </c>
      <c r="AH19" s="10" t="str">
        <f>IFERROR(INDEX('Secondary Competitor Fit'!$D$5:$D$98,MATCH($A19&amp;"|Secondary 2",'Secondary Competitor Fit'!$M$5:$M$98,0)),"-")</f>
        <v>Anthropologie</v>
      </c>
      <c r="AI19" s="10" t="s">
        <v>967</v>
      </c>
      <c r="AJ19" s="24">
        <f t="shared" si="3"/>
        <v>80.034999999999997</v>
      </c>
    </row>
    <row r="20" spans="1:36" ht="26.4" x14ac:dyDescent="0.3">
      <c r="A20" s="6" t="s">
        <v>792</v>
      </c>
      <c r="B20" s="10" t="s">
        <v>793</v>
      </c>
      <c r="C20" s="10" t="s">
        <v>907</v>
      </c>
      <c r="D20" s="10" t="s">
        <v>968</v>
      </c>
      <c r="E20" s="10" t="s">
        <v>969</v>
      </c>
      <c r="F20" s="10" t="s">
        <v>970</v>
      </c>
      <c r="G20" s="6">
        <v>4</v>
      </c>
      <c r="H20" s="6" t="s">
        <v>794</v>
      </c>
      <c r="I20" s="15">
        <v>32</v>
      </c>
      <c r="J20" s="15">
        <v>0</v>
      </c>
      <c r="K20" s="10" t="s">
        <v>910</v>
      </c>
      <c r="L20" s="6" t="str">
        <f t="shared" si="0"/>
        <v>Pass</v>
      </c>
      <c r="M20" s="19" t="s">
        <v>911</v>
      </c>
      <c r="N20" s="6" t="str">
        <f>IF(I20&gt;='Selection Criteria'!$C$25,"Pass","Fail")</f>
        <v>Pass</v>
      </c>
      <c r="O20" s="19" t="s">
        <v>911</v>
      </c>
      <c r="P20" s="14" t="str">
        <f t="shared" si="1"/>
        <v>Pass</v>
      </c>
      <c r="Q20" s="14" t="str">
        <f>INDEX('Hero Segmentation'!$Q$5:$Q$80,MATCH($A20,'Hero Segmentation'!$A$5:$A$80,0))</f>
        <v>Probable Hero</v>
      </c>
      <c r="R20" s="19">
        <v>5</v>
      </c>
      <c r="S20" s="19">
        <v>5</v>
      </c>
      <c r="T20" s="19">
        <v>5</v>
      </c>
      <c r="U20" s="19">
        <v>3</v>
      </c>
      <c r="V20" s="19">
        <v>5</v>
      </c>
      <c r="W20" s="19">
        <v>2</v>
      </c>
      <c r="X20" s="19">
        <v>3</v>
      </c>
      <c r="Y20" s="19">
        <v>1</v>
      </c>
      <c r="Z20" s="23">
        <f>IF(P20="Pass",(R20*'Selection Criteria'!$F$13+S20*'Selection Criteria'!$F$14+T20*'Selection Criteria'!$F$15+U20*'Selection Criteria'!$F$16+V20*'Selection Criteria'!$F$17+W20*'Selection Criteria'!$F$18+X20*'Selection Criteria'!$F$19+Y20*'Selection Criteria'!$F$20)/(5*'Selection Criteria'!$F$21)*100,"-")</f>
        <v>78</v>
      </c>
      <c r="AA20" s="6">
        <f t="shared" si="2"/>
        <v>12</v>
      </c>
      <c r="AB20" s="14" t="str">
        <f>IF(P20&lt;&gt;"Pass","Parked (gate)",IF(AC20="PROTECT","Protect (control)",IF(AA20&lt;=IF(Q20="Hero",'Hero Criteria'!$C$38,IF(Q20="Probable Hero",'Hero Criteria'!$C$39,'Hero Criteria'!$C$40)),"Recommended",IF(AA20&lt;=IF(Q20="Hero",'Hero Criteria'!$C$38,IF(Q20="Probable Hero",'Hero Criteria'!$C$39,'Hero Criteria'!$C$40))+'Hero Criteria'!$C$41,"Reserve","Backlog"))))</f>
        <v>Backlog</v>
      </c>
      <c r="AC20" s="6" t="str">
        <f>INDEX('Hero Segmentation'!$R$5:$R$80,MATCH($A20,'Hero Segmentation'!$A$5:$A$80,0))</f>
        <v>BUILD</v>
      </c>
      <c r="AD20" s="6" t="str">
        <f>IF(AND(AB20="Recommended",J20&gt;='Selection Criteria'!$C$26),"Yes","")</f>
        <v/>
      </c>
      <c r="AE20" s="10" t="str">
        <f>IFERROR(INDEX('Primary Competitor Fit'!$D$5:$D$91,MATCH($A20&amp;"|Primary 1",'Primary Competitor Fit'!$M$5:$M$91,0)),"-")</f>
        <v>-</v>
      </c>
      <c r="AF20" s="10" t="str">
        <f>IFERROR(INDEX('Primary Competitor Fit'!$D$5:$D$91,MATCH($A20&amp;"|Primary 2",'Primary Competitor Fit'!$M$5:$M$91,0)),"-")</f>
        <v>-</v>
      </c>
      <c r="AG20" s="10" t="str">
        <f>IFERROR(INDEX('Secondary Competitor Fit'!$D$5:$D$98,MATCH($A20&amp;"|Secondary 1",'Secondary Competitor Fit'!$M$5:$M$98,0)),"-")</f>
        <v>-</v>
      </c>
      <c r="AH20" s="10" t="str">
        <f>IFERROR(INDEX('Secondary Competitor Fit'!$D$5:$D$98,MATCH($A20&amp;"|Secondary 2",'Secondary Competitor Fit'!$M$5:$M$98,0)),"-")</f>
        <v>-</v>
      </c>
      <c r="AI20" s="10" t="s">
        <v>971</v>
      </c>
      <c r="AJ20" s="24">
        <f t="shared" si="3"/>
        <v>78.034999999999997</v>
      </c>
    </row>
    <row r="21" spans="1:36" ht="26.4" x14ac:dyDescent="0.3">
      <c r="A21" s="6" t="s">
        <v>789</v>
      </c>
      <c r="B21" s="10" t="s">
        <v>790</v>
      </c>
      <c r="C21" s="10" t="s">
        <v>972</v>
      </c>
      <c r="D21" s="10" t="s">
        <v>973</v>
      </c>
      <c r="E21" s="10" t="s">
        <v>974</v>
      </c>
      <c r="F21" s="10"/>
      <c r="G21" s="6">
        <v>3</v>
      </c>
      <c r="H21" s="6" t="s">
        <v>791</v>
      </c>
      <c r="I21" s="15">
        <v>166</v>
      </c>
      <c r="J21" s="15">
        <v>0</v>
      </c>
      <c r="K21" s="10" t="s">
        <v>910</v>
      </c>
      <c r="L21" s="6" t="str">
        <f t="shared" si="0"/>
        <v>Pass</v>
      </c>
      <c r="M21" s="19" t="s">
        <v>911</v>
      </c>
      <c r="N21" s="6" t="str">
        <f>IF(I21&gt;='Selection Criteria'!$C$25,"Pass","Fail")</f>
        <v>Pass</v>
      </c>
      <c r="O21" s="19" t="s">
        <v>911</v>
      </c>
      <c r="P21" s="14" t="str">
        <f t="shared" si="1"/>
        <v>Pass</v>
      </c>
      <c r="Q21" s="14" t="str">
        <f>INDEX('Hero Segmentation'!$Q$5:$Q$80,MATCH($A21,'Hero Segmentation'!$A$5:$A$80,0))</f>
        <v>Probable Hero</v>
      </c>
      <c r="R21" s="19">
        <v>5</v>
      </c>
      <c r="S21" s="19">
        <v>5</v>
      </c>
      <c r="T21" s="19">
        <v>5</v>
      </c>
      <c r="U21" s="19">
        <v>3</v>
      </c>
      <c r="V21" s="19">
        <v>5</v>
      </c>
      <c r="W21" s="19">
        <v>2</v>
      </c>
      <c r="X21" s="19">
        <v>3</v>
      </c>
      <c r="Y21" s="19">
        <v>1</v>
      </c>
      <c r="Z21" s="23">
        <f>IF(P21="Pass",(R21*'Selection Criteria'!$F$13+S21*'Selection Criteria'!$F$14+T21*'Selection Criteria'!$F$15+U21*'Selection Criteria'!$F$16+V21*'Selection Criteria'!$F$17+W21*'Selection Criteria'!$F$18+X21*'Selection Criteria'!$F$19+Y21*'Selection Criteria'!$F$20)/(5*'Selection Criteria'!$F$21)*100,"-")</f>
        <v>78</v>
      </c>
      <c r="AA21" s="6">
        <f t="shared" si="2"/>
        <v>12</v>
      </c>
      <c r="AB21" s="14" t="str">
        <f>IF(P21&lt;&gt;"Pass","Parked (gate)",IF(AC21="PROTECT","Protect (control)",IF(AA21&lt;=IF(Q21="Hero",'Hero Criteria'!$C$38,IF(Q21="Probable Hero",'Hero Criteria'!$C$39,'Hero Criteria'!$C$40)),"Recommended",IF(AA21&lt;=IF(Q21="Hero",'Hero Criteria'!$C$38,IF(Q21="Probable Hero",'Hero Criteria'!$C$39,'Hero Criteria'!$C$40))+'Hero Criteria'!$C$41,"Reserve","Backlog"))))</f>
        <v>Backlog</v>
      </c>
      <c r="AC21" s="6" t="str">
        <f>INDEX('Hero Segmentation'!$R$5:$R$80,MATCH($A21,'Hero Segmentation'!$A$5:$A$80,0))</f>
        <v>BUILD</v>
      </c>
      <c r="AD21" s="6" t="str">
        <f>IF(AND(AB21="Recommended",J21&gt;='Selection Criteria'!$C$26),"Yes","")</f>
        <v/>
      </c>
      <c r="AE21" s="10" t="str">
        <f>IFERROR(INDEX('Primary Competitor Fit'!$D$5:$D$91,MATCH($A21&amp;"|Primary 1",'Primary Competitor Fit'!$M$5:$M$91,0)),"-")</f>
        <v>-</v>
      </c>
      <c r="AF21" s="10" t="str">
        <f>IFERROR(INDEX('Primary Competitor Fit'!$D$5:$D$91,MATCH($A21&amp;"|Primary 2",'Primary Competitor Fit'!$M$5:$M$91,0)),"-")</f>
        <v>-</v>
      </c>
      <c r="AG21" s="10" t="str">
        <f>IFERROR(INDEX('Secondary Competitor Fit'!$D$5:$D$98,MATCH($A21&amp;"|Secondary 1",'Secondary Competitor Fit'!$M$5:$M$98,0)),"-")</f>
        <v>-</v>
      </c>
      <c r="AH21" s="10" t="str">
        <f>IFERROR(INDEX('Secondary Competitor Fit'!$D$5:$D$98,MATCH($A21&amp;"|Secondary 2",'Secondary Competitor Fit'!$M$5:$M$98,0)),"-")</f>
        <v>-</v>
      </c>
      <c r="AI21" s="10" t="s">
        <v>975</v>
      </c>
      <c r="AJ21" s="24">
        <f t="shared" si="3"/>
        <v>78.034999999999997</v>
      </c>
    </row>
    <row r="22" spans="1:36" ht="26.4" x14ac:dyDescent="0.3">
      <c r="A22" s="6" t="s">
        <v>976</v>
      </c>
      <c r="B22" s="10" t="s">
        <v>977</v>
      </c>
      <c r="C22" s="10" t="s">
        <v>978</v>
      </c>
      <c r="D22" s="10" t="s">
        <v>979</v>
      </c>
      <c r="E22" s="10" t="s">
        <v>980</v>
      </c>
      <c r="F22" s="10"/>
      <c r="G22" s="6">
        <v>3</v>
      </c>
      <c r="H22" s="6" t="s">
        <v>981</v>
      </c>
      <c r="I22" s="15">
        <v>318</v>
      </c>
      <c r="J22" s="15">
        <v>0</v>
      </c>
      <c r="K22" s="10" t="s">
        <v>916</v>
      </c>
      <c r="L22" s="6" t="str">
        <f t="shared" si="0"/>
        <v>Pass</v>
      </c>
      <c r="M22" s="19" t="s">
        <v>911</v>
      </c>
      <c r="N22" s="6" t="str">
        <f>IF(I22&gt;='Selection Criteria'!$C$25,"Pass","Fail")</f>
        <v>Pass</v>
      </c>
      <c r="O22" s="19" t="s">
        <v>911</v>
      </c>
      <c r="P22" s="14" t="str">
        <f t="shared" si="1"/>
        <v>Pass</v>
      </c>
      <c r="Q22" s="14" t="str">
        <f>INDEX('Hero Segmentation'!$Q$5:$Q$80,MATCH($A22,'Hero Segmentation'!$A$5:$A$80,0))</f>
        <v>Probable Hero</v>
      </c>
      <c r="R22" s="19">
        <v>4</v>
      </c>
      <c r="S22" s="19">
        <v>4</v>
      </c>
      <c r="T22" s="19">
        <v>4</v>
      </c>
      <c r="U22" s="19">
        <v>5</v>
      </c>
      <c r="V22" s="19">
        <v>5</v>
      </c>
      <c r="W22" s="19">
        <v>3</v>
      </c>
      <c r="X22" s="19">
        <v>3</v>
      </c>
      <c r="Y22" s="19">
        <v>2</v>
      </c>
      <c r="Z22" s="23">
        <f>IF(P22="Pass",(R22*'Selection Criteria'!$F$13+S22*'Selection Criteria'!$F$14+T22*'Selection Criteria'!$F$15+U22*'Selection Criteria'!$F$16+V22*'Selection Criteria'!$F$17+W22*'Selection Criteria'!$F$18+X22*'Selection Criteria'!$F$19+Y22*'Selection Criteria'!$F$20)/(5*'Selection Criteria'!$F$21)*100,"-")</f>
        <v>78</v>
      </c>
      <c r="AA22" s="6">
        <f t="shared" si="2"/>
        <v>11</v>
      </c>
      <c r="AB22" s="14" t="str">
        <f>IF(P22&lt;&gt;"Pass","Parked (gate)",IF(AC22="PROTECT","Protect (control)",IF(AA22&lt;=IF(Q22="Hero",'Hero Criteria'!$C$38,IF(Q22="Probable Hero",'Hero Criteria'!$C$39,'Hero Criteria'!$C$40)),"Recommended",IF(AA22&lt;=IF(Q22="Hero",'Hero Criteria'!$C$38,IF(Q22="Probable Hero",'Hero Criteria'!$C$39,'Hero Criteria'!$C$40))+'Hero Criteria'!$C$41,"Reserve","Backlog"))))</f>
        <v>Backlog</v>
      </c>
      <c r="AC22" s="6" t="str">
        <f>INDEX('Hero Segmentation'!$R$5:$R$80,MATCH($A22,'Hero Segmentation'!$A$5:$A$80,0))</f>
        <v>BUILD</v>
      </c>
      <c r="AD22" s="6" t="str">
        <f>IF(AND(AB22="Recommended",J22&gt;='Selection Criteria'!$C$26),"Yes","")</f>
        <v/>
      </c>
      <c r="AE22" s="10" t="str">
        <f>IFERROR(INDEX('Primary Competitor Fit'!$D$5:$D$91,MATCH($A22&amp;"|Primary 1",'Primary Competitor Fit'!$M$5:$M$91,0)),"-")</f>
        <v>-</v>
      </c>
      <c r="AF22" s="10" t="str">
        <f>IFERROR(INDEX('Primary Competitor Fit'!$D$5:$D$91,MATCH($A22&amp;"|Primary 2",'Primary Competitor Fit'!$M$5:$M$91,0)),"-")</f>
        <v>-</v>
      </c>
      <c r="AG22" s="10" t="str">
        <f>IFERROR(INDEX('Secondary Competitor Fit'!$D$5:$D$98,MATCH($A22&amp;"|Secondary 1",'Secondary Competitor Fit'!$M$5:$M$98,0)),"-")</f>
        <v>-</v>
      </c>
      <c r="AH22" s="10" t="str">
        <f>IFERROR(INDEX('Secondary Competitor Fit'!$D$5:$D$98,MATCH($A22&amp;"|Secondary 2",'Secondary Competitor Fit'!$M$5:$M$98,0)),"-")</f>
        <v>-</v>
      </c>
      <c r="AI22" s="10" t="s">
        <v>982</v>
      </c>
      <c r="AJ22" s="24">
        <f t="shared" si="3"/>
        <v>78.054000000000002</v>
      </c>
    </row>
    <row r="23" spans="1:36" x14ac:dyDescent="0.3">
      <c r="A23" s="6" t="s">
        <v>983</v>
      </c>
      <c r="B23" s="10" t="s">
        <v>36</v>
      </c>
      <c r="C23" s="10" t="s">
        <v>923</v>
      </c>
      <c r="D23" s="10" t="s">
        <v>984</v>
      </c>
      <c r="E23" s="10" t="s">
        <v>985</v>
      </c>
      <c r="F23" s="10"/>
      <c r="G23" s="6">
        <v>3</v>
      </c>
      <c r="H23" s="6" t="s">
        <v>177</v>
      </c>
      <c r="I23" s="15">
        <v>284</v>
      </c>
      <c r="J23" s="15">
        <v>0</v>
      </c>
      <c r="K23" s="10" t="s">
        <v>916</v>
      </c>
      <c r="L23" s="6" t="str">
        <f t="shared" si="0"/>
        <v>Pass</v>
      </c>
      <c r="M23" s="19" t="s">
        <v>911</v>
      </c>
      <c r="N23" s="6" t="str">
        <f>IF(I23&gt;='Selection Criteria'!$C$25,"Pass","Fail")</f>
        <v>Pass</v>
      </c>
      <c r="O23" s="19" t="s">
        <v>911</v>
      </c>
      <c r="P23" s="14" t="str">
        <f t="shared" si="1"/>
        <v>Pass</v>
      </c>
      <c r="Q23" s="14" t="str">
        <f>INDEX('Hero Segmentation'!$Q$5:$Q$80,MATCH($A23,'Hero Segmentation'!$A$5:$A$80,0))</f>
        <v>Hero</v>
      </c>
      <c r="R23" s="19">
        <v>4</v>
      </c>
      <c r="S23" s="19">
        <v>4</v>
      </c>
      <c r="T23" s="19">
        <v>4</v>
      </c>
      <c r="U23" s="19">
        <v>5</v>
      </c>
      <c r="V23" s="19">
        <v>4</v>
      </c>
      <c r="W23" s="19">
        <v>3</v>
      </c>
      <c r="X23" s="19">
        <v>4</v>
      </c>
      <c r="Y23" s="19">
        <v>2</v>
      </c>
      <c r="Z23" s="23">
        <f>IF(P23="Pass",(R23*'Selection Criteria'!$F$13+S23*'Selection Criteria'!$F$14+T23*'Selection Criteria'!$F$15+U23*'Selection Criteria'!$F$16+V23*'Selection Criteria'!$F$17+W23*'Selection Criteria'!$F$18+X23*'Selection Criteria'!$F$19+Y23*'Selection Criteria'!$F$20)/(5*'Selection Criteria'!$F$21)*100,"-")</f>
        <v>77</v>
      </c>
      <c r="AA23" s="6">
        <f t="shared" si="2"/>
        <v>6</v>
      </c>
      <c r="AB23" s="14" t="str">
        <f>IF(P23&lt;&gt;"Pass","Parked (gate)",IF(AC23="PROTECT","Protect (control)",IF(AA23&lt;=IF(Q23="Hero",'Hero Criteria'!$C$38,IF(Q23="Probable Hero",'Hero Criteria'!$C$39,'Hero Criteria'!$C$40)),"Recommended",IF(AA23&lt;=IF(Q23="Hero",'Hero Criteria'!$C$38,IF(Q23="Probable Hero",'Hero Criteria'!$C$39,'Hero Criteria'!$C$40))+'Hero Criteria'!$C$41,"Reserve","Backlog"))))</f>
        <v>Recommended</v>
      </c>
      <c r="AC23" s="6" t="str">
        <f>INDEX('Hero Segmentation'!$R$5:$R$80,MATCH($A23,'Hero Segmentation'!$A$5:$A$80,0))</f>
        <v>EXTEND</v>
      </c>
      <c r="AD23" s="6" t="str">
        <f>IF(AND(AB23="Recommended",J23&gt;='Selection Criteria'!$C$26),"Yes","")</f>
        <v/>
      </c>
      <c r="AE23" s="10" t="str">
        <f>IFERROR(INDEX('Primary Competitor Fit'!$D$5:$D$91,MATCH($A23&amp;"|Primary 1",'Primary Competitor Fit'!$M$5:$M$91,0)),"-")</f>
        <v>Amazon</v>
      </c>
      <c r="AF23" s="10" t="str">
        <f>IFERROR(INDEX('Primary Competitor Fit'!$D$5:$D$91,MATCH($A23&amp;"|Primary 2",'Primary Competitor Fit'!$M$5:$M$91,0)),"-")</f>
        <v>Wayfair</v>
      </c>
      <c r="AG23" s="10" t="str">
        <f>IFERROR(INDEX('Secondary Competitor Fit'!$D$5:$D$98,MATCH($A23&amp;"|Secondary 1",'Secondary Competitor Fit'!$M$5:$M$98,0)),"-")</f>
        <v>Etsy</v>
      </c>
      <c r="AH23" s="10" t="str">
        <f>IFERROR(INDEX('Secondary Competitor Fit'!$D$5:$D$98,MATCH($A23&amp;"|Secondary 2",'Secondary Competitor Fit'!$M$5:$M$98,0)),"-")</f>
        <v>Pottery Barn Teen</v>
      </c>
      <c r="AI23" s="10" t="s">
        <v>986</v>
      </c>
      <c r="AJ23" s="24">
        <f t="shared" si="3"/>
        <v>77.054000000000002</v>
      </c>
    </row>
    <row r="24" spans="1:36" x14ac:dyDescent="0.3">
      <c r="A24" s="6" t="s">
        <v>987</v>
      </c>
      <c r="B24" s="10" t="s">
        <v>63</v>
      </c>
      <c r="C24" s="10" t="s">
        <v>923</v>
      </c>
      <c r="D24" s="10" t="s">
        <v>964</v>
      </c>
      <c r="E24" s="10" t="s">
        <v>988</v>
      </c>
      <c r="F24" s="10"/>
      <c r="G24" s="6">
        <v>3</v>
      </c>
      <c r="H24" s="6" t="s">
        <v>240</v>
      </c>
      <c r="I24" s="15">
        <v>229</v>
      </c>
      <c r="J24" s="15">
        <v>0</v>
      </c>
      <c r="K24" s="10" t="s">
        <v>916</v>
      </c>
      <c r="L24" s="6" t="str">
        <f t="shared" si="0"/>
        <v>Pass</v>
      </c>
      <c r="M24" s="19" t="s">
        <v>911</v>
      </c>
      <c r="N24" s="6" t="str">
        <f>IF(I24&gt;='Selection Criteria'!$C$25,"Pass","Fail")</f>
        <v>Pass</v>
      </c>
      <c r="O24" s="19" t="s">
        <v>911</v>
      </c>
      <c r="P24" s="14" t="str">
        <f t="shared" si="1"/>
        <v>Pass</v>
      </c>
      <c r="Q24" s="14" t="str">
        <f>INDEX('Hero Segmentation'!$Q$5:$Q$80,MATCH($A24,'Hero Segmentation'!$A$5:$A$80,0))</f>
        <v>Non-Hero</v>
      </c>
      <c r="R24" s="19">
        <v>5</v>
      </c>
      <c r="S24" s="19">
        <v>5</v>
      </c>
      <c r="T24" s="19">
        <v>4</v>
      </c>
      <c r="U24" s="19">
        <v>4</v>
      </c>
      <c r="V24" s="19">
        <v>4</v>
      </c>
      <c r="W24" s="19">
        <v>2</v>
      </c>
      <c r="X24" s="19">
        <v>2</v>
      </c>
      <c r="Y24" s="19">
        <v>2</v>
      </c>
      <c r="Z24" s="23">
        <f>IF(P24="Pass",(R24*'Selection Criteria'!$F$13+S24*'Selection Criteria'!$F$14+T24*'Selection Criteria'!$F$15+U24*'Selection Criteria'!$F$16+V24*'Selection Criteria'!$F$17+W24*'Selection Criteria'!$F$18+X24*'Selection Criteria'!$F$19+Y24*'Selection Criteria'!$F$20)/(5*'Selection Criteria'!$F$21)*100,"-")</f>
        <v>77</v>
      </c>
      <c r="AA24" s="6">
        <f t="shared" si="2"/>
        <v>1</v>
      </c>
      <c r="AB24" s="14" t="str">
        <f>IF(P24&lt;&gt;"Pass","Parked (gate)",IF(AC24="PROTECT","Protect (control)",IF(AA24&lt;=IF(Q24="Hero",'Hero Criteria'!$C$38,IF(Q24="Probable Hero",'Hero Criteria'!$C$39,'Hero Criteria'!$C$40)),"Recommended",IF(AA24&lt;=IF(Q24="Hero",'Hero Criteria'!$C$38,IF(Q24="Probable Hero",'Hero Criteria'!$C$39,'Hero Criteria'!$C$40))+'Hero Criteria'!$C$41,"Reserve","Backlog"))))</f>
        <v>Recommended</v>
      </c>
      <c r="AC24" s="6" t="str">
        <f>INDEX('Hero Segmentation'!$R$5:$R$80,MATCH($A24,'Hero Segmentation'!$A$5:$A$80,0))</f>
        <v>EXPLORE</v>
      </c>
      <c r="AD24" s="6" t="str">
        <f>IF(AND(AB24="Recommended",J24&gt;='Selection Criteria'!$C$26),"Yes","")</f>
        <v/>
      </c>
      <c r="AE24" s="10" t="str">
        <f>IFERROR(INDEX('Primary Competitor Fit'!$D$5:$D$91,MATCH($A24&amp;"|Primary 1",'Primary Competitor Fit'!$M$5:$M$91,0)),"-")</f>
        <v>Wayfair</v>
      </c>
      <c r="AF24" s="10" t="str">
        <f>IFERROR(INDEX('Primary Competitor Fit'!$D$5:$D$91,MATCH($A24&amp;"|Primary 2",'Primary Competitor Fit'!$M$5:$M$91,0)),"-")</f>
        <v>Amazon</v>
      </c>
      <c r="AG24" s="10" t="str">
        <f>IFERROR(INDEX('Secondary Competitor Fit'!$D$5:$D$98,MATCH($A24&amp;"|Secondary 1",'Secondary Competitor Fit'!$M$5:$M$98,0)),"-")</f>
        <v>Schoolhouse</v>
      </c>
      <c r="AH24" s="10" t="str">
        <f>IFERROR(INDEX('Secondary Competitor Fit'!$D$5:$D$98,MATCH($A24&amp;"|Secondary 2",'Secondary Competitor Fit'!$M$5:$M$98,0)),"-")</f>
        <v>Anthropologie</v>
      </c>
      <c r="AI24" s="10" t="s">
        <v>989</v>
      </c>
      <c r="AJ24" s="24">
        <f t="shared" si="3"/>
        <v>77.045000000000002</v>
      </c>
    </row>
    <row r="25" spans="1:36" ht="26.4" x14ac:dyDescent="0.3">
      <c r="A25" s="6" t="s">
        <v>990</v>
      </c>
      <c r="B25" s="10" t="s">
        <v>991</v>
      </c>
      <c r="C25" s="10" t="s">
        <v>923</v>
      </c>
      <c r="D25" s="10" t="s">
        <v>964</v>
      </c>
      <c r="E25" s="10" t="s">
        <v>992</v>
      </c>
      <c r="F25" s="10"/>
      <c r="G25" s="6">
        <v>3</v>
      </c>
      <c r="H25" s="6" t="s">
        <v>993</v>
      </c>
      <c r="I25" s="15">
        <v>435</v>
      </c>
      <c r="J25" s="15">
        <v>0</v>
      </c>
      <c r="K25" s="10" t="s">
        <v>916</v>
      </c>
      <c r="L25" s="6" t="str">
        <f t="shared" si="0"/>
        <v>Pass</v>
      </c>
      <c r="M25" s="19" t="s">
        <v>911</v>
      </c>
      <c r="N25" s="6" t="str">
        <f>IF(I25&gt;='Selection Criteria'!$C$25,"Pass","Fail")</f>
        <v>Pass</v>
      </c>
      <c r="O25" s="19" t="s">
        <v>911</v>
      </c>
      <c r="P25" s="14" t="str">
        <f t="shared" si="1"/>
        <v>Pass</v>
      </c>
      <c r="Q25" s="14" t="str">
        <f>INDEX('Hero Segmentation'!$Q$5:$Q$80,MATCH($A25,'Hero Segmentation'!$A$5:$A$80,0))</f>
        <v>Probable Hero</v>
      </c>
      <c r="R25" s="19">
        <v>5</v>
      </c>
      <c r="S25" s="19">
        <v>5</v>
      </c>
      <c r="T25" s="19">
        <v>4</v>
      </c>
      <c r="U25" s="19">
        <v>3</v>
      </c>
      <c r="V25" s="19">
        <v>4</v>
      </c>
      <c r="W25" s="19">
        <v>3</v>
      </c>
      <c r="X25" s="19">
        <v>3</v>
      </c>
      <c r="Y25" s="19">
        <v>2</v>
      </c>
      <c r="Z25" s="23">
        <f>IF(P25="Pass",(R25*'Selection Criteria'!$F$13+S25*'Selection Criteria'!$F$14+T25*'Selection Criteria'!$F$15+U25*'Selection Criteria'!$F$16+V25*'Selection Criteria'!$F$17+W25*'Selection Criteria'!$F$18+X25*'Selection Criteria'!$F$19+Y25*'Selection Criteria'!$F$20)/(5*'Selection Criteria'!$F$21)*100,"-")</f>
        <v>77</v>
      </c>
      <c r="AA25" s="6">
        <f t="shared" si="2"/>
        <v>15</v>
      </c>
      <c r="AB25" s="14" t="str">
        <f>IF(P25&lt;&gt;"Pass","Parked (gate)",IF(AC25="PROTECT","Protect (control)",IF(AA25&lt;=IF(Q25="Hero",'Hero Criteria'!$C$38,IF(Q25="Probable Hero",'Hero Criteria'!$C$39,'Hero Criteria'!$C$40)),"Recommended",IF(AA25&lt;=IF(Q25="Hero",'Hero Criteria'!$C$38,IF(Q25="Probable Hero",'Hero Criteria'!$C$39,'Hero Criteria'!$C$40))+'Hero Criteria'!$C$41,"Reserve","Backlog"))))</f>
        <v>Backlog</v>
      </c>
      <c r="AC25" s="6" t="str">
        <f>INDEX('Hero Segmentation'!$R$5:$R$80,MATCH($A25,'Hero Segmentation'!$A$5:$A$80,0))</f>
        <v>BUILD</v>
      </c>
      <c r="AD25" s="6" t="str">
        <f>IF(AND(AB25="Recommended",J25&gt;='Selection Criteria'!$C$26),"Yes","")</f>
        <v/>
      </c>
      <c r="AE25" s="10" t="str">
        <f>IFERROR(INDEX('Primary Competitor Fit'!$D$5:$D$91,MATCH($A25&amp;"|Primary 1",'Primary Competitor Fit'!$M$5:$M$91,0)),"-")</f>
        <v>-</v>
      </c>
      <c r="AF25" s="10" t="str">
        <f>IFERROR(INDEX('Primary Competitor Fit'!$D$5:$D$91,MATCH($A25&amp;"|Primary 2",'Primary Competitor Fit'!$M$5:$M$91,0)),"-")</f>
        <v>-</v>
      </c>
      <c r="AG25" s="10" t="str">
        <f>IFERROR(INDEX('Secondary Competitor Fit'!$D$5:$D$98,MATCH($A25&amp;"|Secondary 1",'Secondary Competitor Fit'!$M$5:$M$98,0)),"-")</f>
        <v>-</v>
      </c>
      <c r="AH25" s="10" t="str">
        <f>IFERROR(INDEX('Secondary Competitor Fit'!$D$5:$D$98,MATCH($A25&amp;"|Secondary 2",'Secondary Competitor Fit'!$M$5:$M$98,0)),"-")</f>
        <v>-</v>
      </c>
      <c r="AI25" s="10" t="s">
        <v>994</v>
      </c>
      <c r="AJ25" s="24">
        <f t="shared" si="3"/>
        <v>77.034999999999997</v>
      </c>
    </row>
    <row r="26" spans="1:36" ht="26.4" x14ac:dyDescent="0.3">
      <c r="A26" s="6" t="s">
        <v>772</v>
      </c>
      <c r="B26" s="10" t="s">
        <v>773</v>
      </c>
      <c r="C26" s="10" t="s">
        <v>995</v>
      </c>
      <c r="D26" s="10" t="s">
        <v>996</v>
      </c>
      <c r="E26" s="10" t="s">
        <v>997</v>
      </c>
      <c r="F26" s="10"/>
      <c r="G26" s="6">
        <v>3</v>
      </c>
      <c r="H26" s="6" t="s">
        <v>774</v>
      </c>
      <c r="I26" s="15">
        <v>99</v>
      </c>
      <c r="J26" s="15">
        <v>98</v>
      </c>
      <c r="K26" s="10" t="s">
        <v>998</v>
      </c>
      <c r="L26" s="6" t="str">
        <f t="shared" si="0"/>
        <v>Pass</v>
      </c>
      <c r="M26" s="19" t="s">
        <v>911</v>
      </c>
      <c r="N26" s="6" t="str">
        <f>IF(I26&gt;='Selection Criteria'!$C$25,"Pass","Fail")</f>
        <v>Pass</v>
      </c>
      <c r="O26" s="19" t="s">
        <v>911</v>
      </c>
      <c r="P26" s="14" t="str">
        <f t="shared" si="1"/>
        <v>Pass</v>
      </c>
      <c r="Q26" s="14" t="str">
        <f>INDEX('Hero Segmentation'!$Q$5:$Q$80,MATCH($A26,'Hero Segmentation'!$A$5:$A$80,0))</f>
        <v>Probable Hero</v>
      </c>
      <c r="R26" s="19">
        <v>4</v>
      </c>
      <c r="S26" s="19">
        <v>4</v>
      </c>
      <c r="T26" s="19">
        <v>4</v>
      </c>
      <c r="U26" s="19">
        <v>4</v>
      </c>
      <c r="V26" s="19">
        <v>4</v>
      </c>
      <c r="W26" s="19">
        <v>3</v>
      </c>
      <c r="X26" s="19">
        <v>3</v>
      </c>
      <c r="Y26" s="19">
        <v>4</v>
      </c>
      <c r="Z26" s="23">
        <f>IF(P26="Pass",(R26*'Selection Criteria'!$F$13+S26*'Selection Criteria'!$F$14+T26*'Selection Criteria'!$F$15+U26*'Selection Criteria'!$F$16+V26*'Selection Criteria'!$F$17+W26*'Selection Criteria'!$F$18+X26*'Selection Criteria'!$F$19+Y26*'Selection Criteria'!$F$20)/(5*'Selection Criteria'!$F$21)*100,"-")</f>
        <v>77</v>
      </c>
      <c r="AA26" s="6">
        <f t="shared" si="2"/>
        <v>14</v>
      </c>
      <c r="AB26" s="14" t="str">
        <f>IF(P26&lt;&gt;"Pass","Parked (gate)",IF(AC26="PROTECT","Protect (control)",IF(AA26&lt;=IF(Q26="Hero",'Hero Criteria'!$C$38,IF(Q26="Probable Hero",'Hero Criteria'!$C$39,'Hero Criteria'!$C$40)),"Recommended",IF(AA26&lt;=IF(Q26="Hero",'Hero Criteria'!$C$38,IF(Q26="Probable Hero",'Hero Criteria'!$C$39,'Hero Criteria'!$C$40))+'Hero Criteria'!$C$41,"Reserve","Backlog"))))</f>
        <v>Backlog</v>
      </c>
      <c r="AC26" s="6" t="str">
        <f>INDEX('Hero Segmentation'!$R$5:$R$80,MATCH($A26,'Hero Segmentation'!$A$5:$A$80,0))</f>
        <v>BUILD</v>
      </c>
      <c r="AD26" s="6" t="str">
        <f>IF(AND(AB26="Recommended",J26&gt;='Selection Criteria'!$C$26),"Yes","")</f>
        <v/>
      </c>
      <c r="AE26" s="10" t="str">
        <f>IFERROR(INDEX('Primary Competitor Fit'!$D$5:$D$91,MATCH($A26&amp;"|Primary 1",'Primary Competitor Fit'!$M$5:$M$91,0)),"-")</f>
        <v>-</v>
      </c>
      <c r="AF26" s="10" t="str">
        <f>IFERROR(INDEX('Primary Competitor Fit'!$D$5:$D$91,MATCH($A26&amp;"|Primary 2",'Primary Competitor Fit'!$M$5:$M$91,0)),"-")</f>
        <v>-</v>
      </c>
      <c r="AG26" s="10" t="str">
        <f>IFERROR(INDEX('Secondary Competitor Fit'!$D$5:$D$98,MATCH($A26&amp;"|Secondary 1",'Secondary Competitor Fit'!$M$5:$M$98,0)),"-")</f>
        <v>-</v>
      </c>
      <c r="AH26" s="10" t="str">
        <f>IFERROR(INDEX('Secondary Competitor Fit'!$D$5:$D$98,MATCH($A26&amp;"|Secondary 2",'Secondary Competitor Fit'!$M$5:$M$98,0)),"-")</f>
        <v>-</v>
      </c>
      <c r="AI26" s="10" t="s">
        <v>999</v>
      </c>
      <c r="AJ26" s="24">
        <f t="shared" si="3"/>
        <v>77.044000000000011</v>
      </c>
    </row>
    <row r="27" spans="1:36" ht="26.4" x14ac:dyDescent="0.3">
      <c r="A27" s="6" t="s">
        <v>1000</v>
      </c>
      <c r="B27" s="10" t="s">
        <v>65</v>
      </c>
      <c r="C27" s="10" t="s">
        <v>907</v>
      </c>
      <c r="D27" s="10" t="s">
        <v>914</v>
      </c>
      <c r="E27" s="10" t="s">
        <v>1001</v>
      </c>
      <c r="F27" s="10"/>
      <c r="G27" s="6">
        <v>3</v>
      </c>
      <c r="H27" s="6" t="s">
        <v>247</v>
      </c>
      <c r="I27" s="15">
        <v>82</v>
      </c>
      <c r="J27" s="15">
        <v>0</v>
      </c>
      <c r="K27" s="10" t="s">
        <v>916</v>
      </c>
      <c r="L27" s="6" t="str">
        <f t="shared" si="0"/>
        <v>Pass</v>
      </c>
      <c r="M27" s="19" t="s">
        <v>911</v>
      </c>
      <c r="N27" s="6" t="str">
        <f>IF(I27&gt;='Selection Criteria'!$C$25,"Pass","Fail")</f>
        <v>Pass</v>
      </c>
      <c r="O27" s="19" t="s">
        <v>911</v>
      </c>
      <c r="P27" s="14" t="str">
        <f t="shared" si="1"/>
        <v>Pass</v>
      </c>
      <c r="Q27" s="14" t="str">
        <f>INDEX('Hero Segmentation'!$Q$5:$Q$80,MATCH($A27,'Hero Segmentation'!$A$5:$A$80,0))</f>
        <v>Non-Hero</v>
      </c>
      <c r="R27" s="19">
        <v>4</v>
      </c>
      <c r="S27" s="19">
        <v>4</v>
      </c>
      <c r="T27" s="19">
        <v>4</v>
      </c>
      <c r="U27" s="19">
        <v>5</v>
      </c>
      <c r="V27" s="19">
        <v>4</v>
      </c>
      <c r="W27" s="19">
        <v>3</v>
      </c>
      <c r="X27" s="19">
        <v>3</v>
      </c>
      <c r="Y27" s="19">
        <v>2</v>
      </c>
      <c r="Z27" s="23">
        <f>IF(P27="Pass",(R27*'Selection Criteria'!$F$13+S27*'Selection Criteria'!$F$14+T27*'Selection Criteria'!$F$15+U27*'Selection Criteria'!$F$16+V27*'Selection Criteria'!$F$17+W27*'Selection Criteria'!$F$18+X27*'Selection Criteria'!$F$19+Y27*'Selection Criteria'!$F$20)/(5*'Selection Criteria'!$F$21)*100,"-")</f>
        <v>76</v>
      </c>
      <c r="AA27" s="6">
        <f t="shared" si="2"/>
        <v>2</v>
      </c>
      <c r="AB27" s="14" t="str">
        <f>IF(P27&lt;&gt;"Pass","Parked (gate)",IF(AC27="PROTECT","Protect (control)",IF(AA27&lt;=IF(Q27="Hero",'Hero Criteria'!$C$38,IF(Q27="Probable Hero",'Hero Criteria'!$C$39,'Hero Criteria'!$C$40)),"Recommended",IF(AA27&lt;=IF(Q27="Hero",'Hero Criteria'!$C$38,IF(Q27="Probable Hero",'Hero Criteria'!$C$39,'Hero Criteria'!$C$40))+'Hero Criteria'!$C$41,"Reserve","Backlog"))))</f>
        <v>Recommended</v>
      </c>
      <c r="AC27" s="6" t="str">
        <f>INDEX('Hero Segmentation'!$R$5:$R$80,MATCH($A27,'Hero Segmentation'!$A$5:$A$80,0))</f>
        <v>EXPLORE</v>
      </c>
      <c r="AD27" s="6" t="str">
        <f>IF(AND(AB27="Recommended",J27&gt;='Selection Criteria'!$C$26),"Yes","")</f>
        <v/>
      </c>
      <c r="AE27" s="10" t="str">
        <f>IFERROR(INDEX('Primary Competitor Fit'!$D$5:$D$91,MATCH($A27&amp;"|Primary 1",'Primary Competitor Fit'!$M$5:$M$91,0)),"-")</f>
        <v>Amazon</v>
      </c>
      <c r="AF27" s="10" t="str">
        <f>IFERROR(INDEX('Primary Competitor Fit'!$D$5:$D$91,MATCH($A27&amp;"|Primary 2",'Primary Competitor Fit'!$M$5:$M$91,0)),"-")</f>
        <v>Wayfair</v>
      </c>
      <c r="AG27" s="10" t="str">
        <f>IFERROR(INDEX('Secondary Competitor Fit'!$D$5:$D$98,MATCH($A27&amp;"|Secondary 1",'Secondary Competitor Fit'!$M$5:$M$98,0)),"-")</f>
        <v>Grovemade</v>
      </c>
      <c r="AH27" s="10" t="str">
        <f>IFERROR(INDEX('Secondary Competitor Fit'!$D$5:$D$98,MATCH($A27&amp;"|Secondary 2",'Secondary Competitor Fit'!$M$5:$M$98,0)),"-")</f>
        <v>Orbitkey</v>
      </c>
      <c r="AI27" s="10" t="s">
        <v>1002</v>
      </c>
      <c r="AJ27" s="24">
        <f t="shared" si="3"/>
        <v>76.054000000000002</v>
      </c>
    </row>
    <row r="28" spans="1:36" ht="26.4" x14ac:dyDescent="0.3">
      <c r="A28" s="6" t="s">
        <v>1003</v>
      </c>
      <c r="B28" s="10" t="s">
        <v>1004</v>
      </c>
      <c r="C28" s="10" t="s">
        <v>978</v>
      </c>
      <c r="D28" s="10" t="s">
        <v>979</v>
      </c>
      <c r="E28" s="10" t="s">
        <v>1005</v>
      </c>
      <c r="F28" s="10" t="s">
        <v>1006</v>
      </c>
      <c r="G28" s="6">
        <v>4</v>
      </c>
      <c r="H28" s="6" t="s">
        <v>1007</v>
      </c>
      <c r="I28" s="15">
        <v>205</v>
      </c>
      <c r="J28" s="15">
        <v>0</v>
      </c>
      <c r="K28" s="10" t="s">
        <v>916</v>
      </c>
      <c r="L28" s="6" t="str">
        <f t="shared" si="0"/>
        <v>Pass</v>
      </c>
      <c r="M28" s="19" t="s">
        <v>911</v>
      </c>
      <c r="N28" s="6" t="str">
        <f>IF(I28&gt;='Selection Criteria'!$C$25,"Pass","Fail")</f>
        <v>Pass</v>
      </c>
      <c r="O28" s="19" t="s">
        <v>911</v>
      </c>
      <c r="P28" s="14" t="str">
        <f t="shared" si="1"/>
        <v>Pass</v>
      </c>
      <c r="Q28" s="14" t="str">
        <f>INDEX('Hero Segmentation'!$Q$5:$Q$80,MATCH($A28,'Hero Segmentation'!$A$5:$A$80,0))</f>
        <v>Probable Hero</v>
      </c>
      <c r="R28" s="19">
        <v>4</v>
      </c>
      <c r="S28" s="19">
        <v>4</v>
      </c>
      <c r="T28" s="19">
        <v>4</v>
      </c>
      <c r="U28" s="19">
        <v>5</v>
      </c>
      <c r="V28" s="19">
        <v>4</v>
      </c>
      <c r="W28" s="19">
        <v>3</v>
      </c>
      <c r="X28" s="19">
        <v>3</v>
      </c>
      <c r="Y28" s="19">
        <v>2</v>
      </c>
      <c r="Z28" s="23">
        <f>IF(P28="Pass",(R28*'Selection Criteria'!$F$13+S28*'Selection Criteria'!$F$14+T28*'Selection Criteria'!$F$15+U28*'Selection Criteria'!$F$16+V28*'Selection Criteria'!$F$17+W28*'Selection Criteria'!$F$18+X28*'Selection Criteria'!$F$19+Y28*'Selection Criteria'!$F$20)/(5*'Selection Criteria'!$F$21)*100,"-")</f>
        <v>76</v>
      </c>
      <c r="AA28" s="6">
        <f t="shared" si="2"/>
        <v>16</v>
      </c>
      <c r="AB28" s="14" t="str">
        <f>IF(P28&lt;&gt;"Pass","Parked (gate)",IF(AC28="PROTECT","Protect (control)",IF(AA28&lt;=IF(Q28="Hero",'Hero Criteria'!$C$38,IF(Q28="Probable Hero",'Hero Criteria'!$C$39,'Hero Criteria'!$C$40)),"Recommended",IF(AA28&lt;=IF(Q28="Hero",'Hero Criteria'!$C$38,IF(Q28="Probable Hero",'Hero Criteria'!$C$39,'Hero Criteria'!$C$40))+'Hero Criteria'!$C$41,"Reserve","Backlog"))))</f>
        <v>Backlog</v>
      </c>
      <c r="AC28" s="6" t="str">
        <f>INDEX('Hero Segmentation'!$R$5:$R$80,MATCH($A28,'Hero Segmentation'!$A$5:$A$80,0))</f>
        <v>BUILD</v>
      </c>
      <c r="AD28" s="6" t="str">
        <f>IF(AND(AB28="Recommended",J28&gt;='Selection Criteria'!$C$26),"Yes","")</f>
        <v/>
      </c>
      <c r="AE28" s="10" t="str">
        <f>IFERROR(INDEX('Primary Competitor Fit'!$D$5:$D$91,MATCH($A28&amp;"|Primary 1",'Primary Competitor Fit'!$M$5:$M$91,0)),"-")</f>
        <v>-</v>
      </c>
      <c r="AF28" s="10" t="str">
        <f>IFERROR(INDEX('Primary Competitor Fit'!$D$5:$D$91,MATCH($A28&amp;"|Primary 2",'Primary Competitor Fit'!$M$5:$M$91,0)),"-")</f>
        <v>-</v>
      </c>
      <c r="AG28" s="10" t="str">
        <f>IFERROR(INDEX('Secondary Competitor Fit'!$D$5:$D$98,MATCH($A28&amp;"|Secondary 1",'Secondary Competitor Fit'!$M$5:$M$98,0)),"-")</f>
        <v>-</v>
      </c>
      <c r="AH28" s="10" t="str">
        <f>IFERROR(INDEX('Secondary Competitor Fit'!$D$5:$D$98,MATCH($A28&amp;"|Secondary 2",'Secondary Competitor Fit'!$M$5:$M$98,0)),"-")</f>
        <v>-</v>
      </c>
      <c r="AI28" s="10" t="s">
        <v>1008</v>
      </c>
      <c r="AJ28" s="24">
        <f t="shared" si="3"/>
        <v>76.054000000000002</v>
      </c>
    </row>
    <row r="29" spans="1:36" ht="26.4" x14ac:dyDescent="0.3">
      <c r="A29" s="6" t="s">
        <v>712</v>
      </c>
      <c r="B29" s="10" t="s">
        <v>713</v>
      </c>
      <c r="C29" s="10" t="s">
        <v>923</v>
      </c>
      <c r="D29" s="10" t="s">
        <v>639</v>
      </c>
      <c r="E29" s="10" t="s">
        <v>1009</v>
      </c>
      <c r="F29" s="10" t="s">
        <v>1010</v>
      </c>
      <c r="G29" s="6">
        <v>4</v>
      </c>
      <c r="H29" s="6" t="s">
        <v>714</v>
      </c>
      <c r="I29" s="15">
        <v>49</v>
      </c>
      <c r="J29" s="15">
        <v>40</v>
      </c>
      <c r="K29" s="10" t="s">
        <v>925</v>
      </c>
      <c r="L29" s="6" t="str">
        <f t="shared" si="0"/>
        <v>Pass</v>
      </c>
      <c r="M29" s="19" t="s">
        <v>911</v>
      </c>
      <c r="N29" s="6" t="str">
        <f>IF(I29&gt;='Selection Criteria'!$C$25,"Pass","Fail")</f>
        <v>Pass</v>
      </c>
      <c r="O29" s="19" t="s">
        <v>911</v>
      </c>
      <c r="P29" s="14" t="str">
        <f t="shared" si="1"/>
        <v>Pass</v>
      </c>
      <c r="Q29" s="14" t="str">
        <f>INDEX('Hero Segmentation'!$Q$5:$Q$80,MATCH($A29,'Hero Segmentation'!$A$5:$A$80,0))</f>
        <v>Probable Hero</v>
      </c>
      <c r="R29" s="19">
        <v>4</v>
      </c>
      <c r="S29" s="19">
        <v>5</v>
      </c>
      <c r="T29" s="19">
        <v>4</v>
      </c>
      <c r="U29" s="19">
        <v>4</v>
      </c>
      <c r="V29" s="19">
        <v>1</v>
      </c>
      <c r="W29" s="19">
        <v>3</v>
      </c>
      <c r="X29" s="19">
        <v>2</v>
      </c>
      <c r="Y29" s="19">
        <v>5</v>
      </c>
      <c r="Z29" s="23">
        <f>IF(P29="Pass",(R29*'Selection Criteria'!$F$13+S29*'Selection Criteria'!$F$14+T29*'Selection Criteria'!$F$15+U29*'Selection Criteria'!$F$16+V29*'Selection Criteria'!$F$17+W29*'Selection Criteria'!$F$18+X29*'Selection Criteria'!$F$19+Y29*'Selection Criteria'!$F$20)/(5*'Selection Criteria'!$F$21)*100,"-")</f>
        <v>75</v>
      </c>
      <c r="AA29" s="6">
        <f t="shared" si="2"/>
        <v>17</v>
      </c>
      <c r="AB29" s="14" t="str">
        <f>IF(P29&lt;&gt;"Pass","Parked (gate)",IF(AC29="PROTECT","Protect (control)",IF(AA29&lt;=IF(Q29="Hero",'Hero Criteria'!$C$38,IF(Q29="Probable Hero",'Hero Criteria'!$C$39,'Hero Criteria'!$C$40)),"Recommended",IF(AA29&lt;=IF(Q29="Hero",'Hero Criteria'!$C$38,IF(Q29="Probable Hero",'Hero Criteria'!$C$39,'Hero Criteria'!$C$40))+'Hero Criteria'!$C$41,"Reserve","Backlog"))))</f>
        <v>Backlog</v>
      </c>
      <c r="AC29" s="6" t="str">
        <f>INDEX('Hero Segmentation'!$R$5:$R$80,MATCH($A29,'Hero Segmentation'!$A$5:$A$80,0))</f>
        <v>BUILD</v>
      </c>
      <c r="AD29" s="6" t="str">
        <f>IF(AND(AB29="Recommended",J29&gt;='Selection Criteria'!$C$26),"Yes","")</f>
        <v/>
      </c>
      <c r="AE29" s="10" t="str">
        <f>IFERROR(INDEX('Primary Competitor Fit'!$D$5:$D$91,MATCH($A29&amp;"|Primary 1",'Primary Competitor Fit'!$M$5:$M$91,0)),"-")</f>
        <v>-</v>
      </c>
      <c r="AF29" s="10" t="str">
        <f>IFERROR(INDEX('Primary Competitor Fit'!$D$5:$D$91,MATCH($A29&amp;"|Primary 2",'Primary Competitor Fit'!$M$5:$M$91,0)),"-")</f>
        <v>-</v>
      </c>
      <c r="AG29" s="10" t="str">
        <f>IFERROR(INDEX('Secondary Competitor Fit'!$D$5:$D$98,MATCH($A29&amp;"|Secondary 1",'Secondary Competitor Fit'!$M$5:$M$98,0)),"-")</f>
        <v>-</v>
      </c>
      <c r="AH29" s="10" t="str">
        <f>IFERROR(INDEX('Secondary Competitor Fit'!$D$5:$D$98,MATCH($A29&amp;"|Secondary 2",'Secondary Competitor Fit'!$M$5:$M$98,0)),"-")</f>
        <v>-</v>
      </c>
      <c r="AI29" s="10" t="s">
        <v>1011</v>
      </c>
      <c r="AJ29" s="24">
        <f t="shared" si="3"/>
        <v>75.044000000000011</v>
      </c>
    </row>
    <row r="30" spans="1:36" ht="26.4" x14ac:dyDescent="0.3">
      <c r="A30" s="6" t="s">
        <v>743</v>
      </c>
      <c r="B30" s="10" t="s">
        <v>744</v>
      </c>
      <c r="C30" s="10" t="s">
        <v>923</v>
      </c>
      <c r="D30" s="10" t="s">
        <v>654</v>
      </c>
      <c r="E30" s="10" t="s">
        <v>1012</v>
      </c>
      <c r="F30" s="10"/>
      <c r="G30" s="6">
        <v>3</v>
      </c>
      <c r="H30" s="6" t="s">
        <v>745</v>
      </c>
      <c r="I30" s="15">
        <v>211</v>
      </c>
      <c r="J30" s="15">
        <v>129</v>
      </c>
      <c r="K30" s="10" t="s">
        <v>928</v>
      </c>
      <c r="L30" s="6" t="str">
        <f t="shared" si="0"/>
        <v>Pass</v>
      </c>
      <c r="M30" s="19" t="s">
        <v>911</v>
      </c>
      <c r="N30" s="6" t="str">
        <f>IF(I30&gt;='Selection Criteria'!$C$25,"Pass","Fail")</f>
        <v>Pass</v>
      </c>
      <c r="O30" s="19" t="s">
        <v>911</v>
      </c>
      <c r="P30" s="14" t="str">
        <f t="shared" si="1"/>
        <v>Pass</v>
      </c>
      <c r="Q30" s="14" t="str">
        <f>INDEX('Hero Segmentation'!$Q$5:$Q$80,MATCH($A30,'Hero Segmentation'!$A$5:$A$80,0))</f>
        <v>Probable Hero</v>
      </c>
      <c r="R30" s="19">
        <v>5</v>
      </c>
      <c r="S30" s="19">
        <v>4</v>
      </c>
      <c r="T30" s="19">
        <v>4</v>
      </c>
      <c r="U30" s="19">
        <v>3</v>
      </c>
      <c r="V30" s="19">
        <v>3</v>
      </c>
      <c r="W30" s="19">
        <v>3</v>
      </c>
      <c r="X30" s="19">
        <v>2</v>
      </c>
      <c r="Y30" s="19">
        <v>4</v>
      </c>
      <c r="Z30" s="23">
        <f>IF(P30="Pass",(R30*'Selection Criteria'!$F$13+S30*'Selection Criteria'!$F$14+T30*'Selection Criteria'!$F$15+U30*'Selection Criteria'!$F$16+V30*'Selection Criteria'!$F$17+W30*'Selection Criteria'!$F$18+X30*'Selection Criteria'!$F$19+Y30*'Selection Criteria'!$F$20)/(5*'Selection Criteria'!$F$21)*100,"-")</f>
        <v>75</v>
      </c>
      <c r="AA30" s="6">
        <f t="shared" si="2"/>
        <v>18</v>
      </c>
      <c r="AB30" s="14" t="str">
        <f>IF(P30&lt;&gt;"Pass","Parked (gate)",IF(AC30="PROTECT","Protect (control)",IF(AA30&lt;=IF(Q30="Hero",'Hero Criteria'!$C$38,IF(Q30="Probable Hero",'Hero Criteria'!$C$39,'Hero Criteria'!$C$40)),"Recommended",IF(AA30&lt;=IF(Q30="Hero",'Hero Criteria'!$C$38,IF(Q30="Probable Hero",'Hero Criteria'!$C$39,'Hero Criteria'!$C$40))+'Hero Criteria'!$C$41,"Reserve","Backlog"))))</f>
        <v>Backlog</v>
      </c>
      <c r="AC30" s="6" t="str">
        <f>INDEX('Hero Segmentation'!$R$5:$R$80,MATCH($A30,'Hero Segmentation'!$A$5:$A$80,0))</f>
        <v>BUILD</v>
      </c>
      <c r="AD30" s="6" t="str">
        <f>IF(AND(AB30="Recommended",J30&gt;='Selection Criteria'!$C$26),"Yes","")</f>
        <v/>
      </c>
      <c r="AE30" s="10" t="str">
        <f>IFERROR(INDEX('Primary Competitor Fit'!$D$5:$D$91,MATCH($A30&amp;"|Primary 1",'Primary Competitor Fit'!$M$5:$M$91,0)),"-")</f>
        <v>-</v>
      </c>
      <c r="AF30" s="10" t="str">
        <f>IFERROR(INDEX('Primary Competitor Fit'!$D$5:$D$91,MATCH($A30&amp;"|Primary 2",'Primary Competitor Fit'!$M$5:$M$91,0)),"-")</f>
        <v>-</v>
      </c>
      <c r="AG30" s="10" t="str">
        <f>IFERROR(INDEX('Secondary Competitor Fit'!$D$5:$D$98,MATCH($A30&amp;"|Secondary 1",'Secondary Competitor Fit'!$M$5:$M$98,0)),"-")</f>
        <v>-</v>
      </c>
      <c r="AH30" s="10" t="str">
        <f>IFERROR(INDEX('Secondary Competitor Fit'!$D$5:$D$98,MATCH($A30&amp;"|Secondary 2",'Secondary Competitor Fit'!$M$5:$M$98,0)),"-")</f>
        <v>-</v>
      </c>
      <c r="AI30" s="10" t="s">
        <v>1013</v>
      </c>
      <c r="AJ30" s="24">
        <f t="shared" si="3"/>
        <v>75.034999999999997</v>
      </c>
    </row>
    <row r="31" spans="1:36" ht="26.4" x14ac:dyDescent="0.3">
      <c r="A31" s="6" t="s">
        <v>1014</v>
      </c>
      <c r="B31" s="10" t="s">
        <v>39</v>
      </c>
      <c r="C31" s="10" t="s">
        <v>978</v>
      </c>
      <c r="D31" s="10" t="s">
        <v>979</v>
      </c>
      <c r="E31" s="10" t="s">
        <v>1015</v>
      </c>
      <c r="F31" s="10"/>
      <c r="G31" s="6">
        <v>3</v>
      </c>
      <c r="H31" s="6" t="s">
        <v>184</v>
      </c>
      <c r="I31" s="15">
        <v>374</v>
      </c>
      <c r="J31" s="15">
        <v>0</v>
      </c>
      <c r="K31" s="10" t="s">
        <v>916</v>
      </c>
      <c r="L31" s="6" t="str">
        <f t="shared" si="0"/>
        <v>Pass</v>
      </c>
      <c r="M31" s="19" t="s">
        <v>911</v>
      </c>
      <c r="N31" s="6" t="str">
        <f>IF(I31&gt;='Selection Criteria'!$C$25,"Pass","Fail")</f>
        <v>Pass</v>
      </c>
      <c r="O31" s="19" t="s">
        <v>911</v>
      </c>
      <c r="P31" s="14" t="str">
        <f t="shared" si="1"/>
        <v>Pass</v>
      </c>
      <c r="Q31" s="14" t="str">
        <f>INDEX('Hero Segmentation'!$Q$5:$Q$80,MATCH($A31,'Hero Segmentation'!$A$5:$A$80,0))</f>
        <v>Hero</v>
      </c>
      <c r="R31" s="19">
        <v>4</v>
      </c>
      <c r="S31" s="19">
        <v>4</v>
      </c>
      <c r="T31" s="19">
        <v>3</v>
      </c>
      <c r="U31" s="19">
        <v>5</v>
      </c>
      <c r="V31" s="19">
        <v>4</v>
      </c>
      <c r="W31" s="19">
        <v>4</v>
      </c>
      <c r="X31" s="19">
        <v>3</v>
      </c>
      <c r="Y31" s="19">
        <v>2</v>
      </c>
      <c r="Z31" s="23">
        <f>IF(P31="Pass",(R31*'Selection Criteria'!$F$13+S31*'Selection Criteria'!$F$14+T31*'Selection Criteria'!$F$15+U31*'Selection Criteria'!$F$16+V31*'Selection Criteria'!$F$17+W31*'Selection Criteria'!$F$18+X31*'Selection Criteria'!$F$19+Y31*'Selection Criteria'!$F$20)/(5*'Selection Criteria'!$F$21)*100,"-")</f>
        <v>75</v>
      </c>
      <c r="AA31" s="6">
        <f t="shared" si="2"/>
        <v>7</v>
      </c>
      <c r="AB31" s="14" t="str">
        <f>IF(P31&lt;&gt;"Pass","Parked (gate)",IF(AC31="PROTECT","Protect (control)",IF(AA31&lt;=IF(Q31="Hero",'Hero Criteria'!$C$38,IF(Q31="Probable Hero",'Hero Criteria'!$C$39,'Hero Criteria'!$C$40)),"Recommended",IF(AA31&lt;=IF(Q31="Hero",'Hero Criteria'!$C$38,IF(Q31="Probable Hero",'Hero Criteria'!$C$39,'Hero Criteria'!$C$40))+'Hero Criteria'!$C$41,"Reserve","Backlog"))))</f>
        <v>Recommended</v>
      </c>
      <c r="AC31" s="6" t="str">
        <f>INDEX('Hero Segmentation'!$R$5:$R$80,MATCH($A31,'Hero Segmentation'!$A$5:$A$80,0))</f>
        <v>EXTEND</v>
      </c>
      <c r="AD31" s="6" t="str">
        <f>IF(AND(AB31="Recommended",J31&gt;='Selection Criteria'!$C$26),"Yes","")</f>
        <v/>
      </c>
      <c r="AE31" s="10" t="str">
        <f>IFERROR(INDEX('Primary Competitor Fit'!$D$5:$D$91,MATCH($A31&amp;"|Primary 1",'Primary Competitor Fit'!$M$5:$M$91,0)),"-")</f>
        <v>Amazon</v>
      </c>
      <c r="AF31" s="10" t="str">
        <f>IFERROR(INDEX('Primary Competitor Fit'!$D$5:$D$91,MATCH($A31&amp;"|Primary 2",'Primary Competitor Fit'!$M$5:$M$91,0)),"-")</f>
        <v>Best Buy</v>
      </c>
      <c r="AG31" s="10" t="str">
        <f>IFERROR(INDEX('Secondary Competitor Fit'!$D$5:$D$98,MATCH($A31&amp;"|Secondary 1",'Secondary Competitor Fit'!$M$5:$M$98,0)),"-")</f>
        <v>Keychron</v>
      </c>
      <c r="AH31" s="10" t="str">
        <f>IFERROR(INDEX('Secondary Competitor Fit'!$D$5:$D$98,MATCH($A31&amp;"|Secondary 2",'Secondary Competitor Fit'!$M$5:$M$98,0)),"-")</f>
        <v>Drop</v>
      </c>
      <c r="AI31" s="10" t="s">
        <v>1016</v>
      </c>
      <c r="AJ31" s="24">
        <f t="shared" si="3"/>
        <v>75.054000000000002</v>
      </c>
    </row>
    <row r="32" spans="1:36" ht="26.4" x14ac:dyDescent="0.3">
      <c r="A32" s="6" t="s">
        <v>718</v>
      </c>
      <c r="B32" s="10" t="s">
        <v>719</v>
      </c>
      <c r="C32" s="10" t="s">
        <v>923</v>
      </c>
      <c r="D32" s="10" t="s">
        <v>639</v>
      </c>
      <c r="E32" s="10" t="s">
        <v>1017</v>
      </c>
      <c r="F32" s="10"/>
      <c r="G32" s="6">
        <v>3</v>
      </c>
      <c r="H32" s="6" t="s">
        <v>720</v>
      </c>
      <c r="I32" s="15">
        <v>75</v>
      </c>
      <c r="J32" s="15">
        <v>40</v>
      </c>
      <c r="K32" s="10" t="s">
        <v>925</v>
      </c>
      <c r="L32" s="6" t="str">
        <f t="shared" si="0"/>
        <v>Pass</v>
      </c>
      <c r="M32" s="19" t="s">
        <v>911</v>
      </c>
      <c r="N32" s="6" t="str">
        <f>IF(I32&gt;='Selection Criteria'!$C$25,"Pass","Fail")</f>
        <v>Pass</v>
      </c>
      <c r="O32" s="19" t="s">
        <v>911</v>
      </c>
      <c r="P32" s="14" t="str">
        <f t="shared" si="1"/>
        <v>Pass</v>
      </c>
      <c r="Q32" s="14" t="str">
        <f>INDEX('Hero Segmentation'!$Q$5:$Q$80,MATCH($A32,'Hero Segmentation'!$A$5:$A$80,0))</f>
        <v>Probable Hero</v>
      </c>
      <c r="R32" s="19">
        <v>4</v>
      </c>
      <c r="S32" s="19">
        <v>5</v>
      </c>
      <c r="T32" s="19">
        <v>3</v>
      </c>
      <c r="U32" s="19">
        <v>4</v>
      </c>
      <c r="V32" s="19">
        <v>2</v>
      </c>
      <c r="W32" s="19">
        <v>3</v>
      </c>
      <c r="X32" s="19">
        <v>2</v>
      </c>
      <c r="Y32" s="19">
        <v>5</v>
      </c>
      <c r="Z32" s="23">
        <f>IF(P32="Pass",(R32*'Selection Criteria'!$F$13+S32*'Selection Criteria'!$F$14+T32*'Selection Criteria'!$F$15+U32*'Selection Criteria'!$F$16+V32*'Selection Criteria'!$F$17+W32*'Selection Criteria'!$F$18+X32*'Selection Criteria'!$F$19+Y32*'Selection Criteria'!$F$20)/(5*'Selection Criteria'!$F$21)*100,"-")</f>
        <v>74</v>
      </c>
      <c r="AA32" s="6">
        <f t="shared" si="2"/>
        <v>19</v>
      </c>
      <c r="AB32" s="14" t="str">
        <f>IF(P32&lt;&gt;"Pass","Parked (gate)",IF(AC32="PROTECT","Protect (control)",IF(AA32&lt;=IF(Q32="Hero",'Hero Criteria'!$C$38,IF(Q32="Probable Hero",'Hero Criteria'!$C$39,'Hero Criteria'!$C$40)),"Recommended",IF(AA32&lt;=IF(Q32="Hero",'Hero Criteria'!$C$38,IF(Q32="Probable Hero",'Hero Criteria'!$C$39,'Hero Criteria'!$C$40))+'Hero Criteria'!$C$41,"Reserve","Backlog"))))</f>
        <v>Backlog</v>
      </c>
      <c r="AC32" s="6" t="str">
        <f>INDEX('Hero Segmentation'!$R$5:$R$80,MATCH($A32,'Hero Segmentation'!$A$5:$A$80,0))</f>
        <v>BUILD</v>
      </c>
      <c r="AD32" s="6" t="str">
        <f>IF(AND(AB32="Recommended",J32&gt;='Selection Criteria'!$C$26),"Yes","")</f>
        <v/>
      </c>
      <c r="AE32" s="10" t="str">
        <f>IFERROR(INDEX('Primary Competitor Fit'!$D$5:$D$91,MATCH($A32&amp;"|Primary 1",'Primary Competitor Fit'!$M$5:$M$91,0)),"-")</f>
        <v>-</v>
      </c>
      <c r="AF32" s="10" t="str">
        <f>IFERROR(INDEX('Primary Competitor Fit'!$D$5:$D$91,MATCH($A32&amp;"|Primary 2",'Primary Competitor Fit'!$M$5:$M$91,0)),"-")</f>
        <v>-</v>
      </c>
      <c r="AG32" s="10" t="str">
        <f>IFERROR(INDEX('Secondary Competitor Fit'!$D$5:$D$98,MATCH($A32&amp;"|Secondary 1",'Secondary Competitor Fit'!$M$5:$M$98,0)),"-")</f>
        <v>-</v>
      </c>
      <c r="AH32" s="10" t="str">
        <f>IFERROR(INDEX('Secondary Competitor Fit'!$D$5:$D$98,MATCH($A32&amp;"|Secondary 2",'Secondary Competitor Fit'!$M$5:$M$98,0)),"-")</f>
        <v>-</v>
      </c>
      <c r="AI32" s="10" t="s">
        <v>1018</v>
      </c>
      <c r="AJ32" s="24">
        <f t="shared" si="3"/>
        <v>74.044000000000011</v>
      </c>
    </row>
    <row r="33" spans="1:36" ht="26.4" x14ac:dyDescent="0.3">
      <c r="A33" s="6" t="s">
        <v>788</v>
      </c>
      <c r="B33" s="10" t="s">
        <v>284</v>
      </c>
      <c r="C33" s="10" t="s">
        <v>907</v>
      </c>
      <c r="D33" s="10" t="s">
        <v>908</v>
      </c>
      <c r="E33" s="10" t="s">
        <v>1019</v>
      </c>
      <c r="F33" s="10"/>
      <c r="G33" s="6">
        <v>3</v>
      </c>
      <c r="H33" s="6" t="s">
        <v>285</v>
      </c>
      <c r="I33" s="15">
        <v>1234</v>
      </c>
      <c r="J33" s="15">
        <v>0</v>
      </c>
      <c r="K33" s="10" t="s">
        <v>910</v>
      </c>
      <c r="L33" s="6" t="str">
        <f t="shared" si="0"/>
        <v>Pass</v>
      </c>
      <c r="M33" s="19" t="s">
        <v>911</v>
      </c>
      <c r="N33" s="6" t="str">
        <f>IF(I33&gt;='Selection Criteria'!$C$25,"Pass","Fail")</f>
        <v>Pass</v>
      </c>
      <c r="O33" s="19" t="s">
        <v>911</v>
      </c>
      <c r="P33" s="14" t="str">
        <f t="shared" si="1"/>
        <v>Pass</v>
      </c>
      <c r="Q33" s="14" t="str">
        <f>INDEX('Hero Segmentation'!$Q$5:$Q$80,MATCH($A33,'Hero Segmentation'!$A$5:$A$80,0))</f>
        <v>Hero</v>
      </c>
      <c r="R33" s="19">
        <v>4</v>
      </c>
      <c r="S33" s="19">
        <v>3</v>
      </c>
      <c r="T33" s="19">
        <v>3</v>
      </c>
      <c r="U33" s="19">
        <v>5</v>
      </c>
      <c r="V33" s="19">
        <v>5</v>
      </c>
      <c r="W33" s="19">
        <v>3</v>
      </c>
      <c r="X33" s="19">
        <v>5</v>
      </c>
      <c r="Y33" s="19">
        <v>2</v>
      </c>
      <c r="Z33" s="23">
        <f>IF(P33="Pass",(R33*'Selection Criteria'!$F$13+S33*'Selection Criteria'!$F$14+T33*'Selection Criteria'!$F$15+U33*'Selection Criteria'!$F$16+V33*'Selection Criteria'!$F$17+W33*'Selection Criteria'!$F$18+X33*'Selection Criteria'!$F$19+Y33*'Selection Criteria'!$F$20)/(5*'Selection Criteria'!$F$21)*100,"-")</f>
        <v>74</v>
      </c>
      <c r="AA33" s="6">
        <f t="shared" si="2"/>
        <v>8</v>
      </c>
      <c r="AB33" s="14" t="str">
        <f>IF(P33&lt;&gt;"Pass","Parked (gate)",IF(AC33="PROTECT","Protect (control)",IF(AA33&lt;=IF(Q33="Hero",'Hero Criteria'!$C$38,IF(Q33="Probable Hero",'Hero Criteria'!$C$39,'Hero Criteria'!$C$40)),"Recommended",IF(AA33&lt;=IF(Q33="Hero",'Hero Criteria'!$C$38,IF(Q33="Probable Hero",'Hero Criteria'!$C$39,'Hero Criteria'!$C$40))+'Hero Criteria'!$C$41,"Reserve","Backlog"))))</f>
        <v>Reserve</v>
      </c>
      <c r="AC33" s="6" t="str">
        <f>INDEX('Hero Segmentation'!$R$5:$R$80,MATCH($A33,'Hero Segmentation'!$A$5:$A$80,0))</f>
        <v>EXTEND</v>
      </c>
      <c r="AD33" s="6" t="str">
        <f>IF(AND(AB33="Recommended",J33&gt;='Selection Criteria'!$C$26),"Yes","")</f>
        <v/>
      </c>
      <c r="AE33" s="10" t="str">
        <f>IFERROR(INDEX('Primary Competitor Fit'!$D$5:$D$91,MATCH($A33&amp;"|Primary 1",'Primary Competitor Fit'!$M$5:$M$91,0)),"-")</f>
        <v>Amazon</v>
      </c>
      <c r="AF33" s="10" t="str">
        <f>IFERROR(INDEX('Primary Competitor Fit'!$D$5:$D$91,MATCH($A33&amp;"|Primary 2",'Primary Competitor Fit'!$M$5:$M$91,0)),"-")</f>
        <v>Target</v>
      </c>
      <c r="AG33" s="10" t="str">
        <f>IFERROR(INDEX('Secondary Competitor Fit'!$D$5:$D$98,MATCH($A33&amp;"|Secondary 1",'Secondary Competitor Fit'!$M$5:$M$98,0)),"-")</f>
        <v>Erin Condren</v>
      </c>
      <c r="AH33" s="10" t="str">
        <f>IFERROR(INDEX('Secondary Competitor Fit'!$D$5:$D$98,MATCH($A33&amp;"|Secondary 2",'Secondary Competitor Fit'!$M$5:$M$98,0)),"-")</f>
        <v>Etsy</v>
      </c>
      <c r="AI33" s="10" t="s">
        <v>1020</v>
      </c>
      <c r="AJ33" s="24">
        <f t="shared" si="3"/>
        <v>74.054000000000002</v>
      </c>
    </row>
    <row r="34" spans="1:36" ht="26.4" x14ac:dyDescent="0.3">
      <c r="A34" s="6" t="s">
        <v>715</v>
      </c>
      <c r="B34" s="10" t="s">
        <v>716</v>
      </c>
      <c r="C34" s="10" t="s">
        <v>923</v>
      </c>
      <c r="D34" s="10" t="s">
        <v>639</v>
      </c>
      <c r="E34" s="10" t="s">
        <v>1021</v>
      </c>
      <c r="F34" s="10" t="s">
        <v>1022</v>
      </c>
      <c r="G34" s="6">
        <v>4</v>
      </c>
      <c r="H34" s="6" t="s">
        <v>717</v>
      </c>
      <c r="I34" s="15">
        <v>617</v>
      </c>
      <c r="J34" s="15">
        <v>601</v>
      </c>
      <c r="K34" s="10" t="s">
        <v>925</v>
      </c>
      <c r="L34" s="6" t="str">
        <f t="shared" si="0"/>
        <v>Pass</v>
      </c>
      <c r="M34" s="19" t="s">
        <v>911</v>
      </c>
      <c r="N34" s="6" t="str">
        <f>IF(I34&gt;='Selection Criteria'!$C$25,"Pass","Fail")</f>
        <v>Pass</v>
      </c>
      <c r="O34" s="19" t="s">
        <v>911</v>
      </c>
      <c r="P34" s="14" t="str">
        <f t="shared" si="1"/>
        <v>Pass</v>
      </c>
      <c r="Q34" s="14" t="str">
        <f>INDEX('Hero Segmentation'!$Q$5:$Q$80,MATCH($A34,'Hero Segmentation'!$A$5:$A$80,0))</f>
        <v>Probable Hero</v>
      </c>
      <c r="R34" s="19">
        <v>4</v>
      </c>
      <c r="S34" s="19">
        <v>4</v>
      </c>
      <c r="T34" s="19">
        <v>4</v>
      </c>
      <c r="U34" s="19">
        <v>3</v>
      </c>
      <c r="V34" s="19">
        <v>2</v>
      </c>
      <c r="W34" s="19">
        <v>4</v>
      </c>
      <c r="X34" s="19">
        <v>2</v>
      </c>
      <c r="Y34" s="19">
        <v>5</v>
      </c>
      <c r="Z34" s="23">
        <f>IF(P34="Pass",(R34*'Selection Criteria'!$F$13+S34*'Selection Criteria'!$F$14+T34*'Selection Criteria'!$F$15+U34*'Selection Criteria'!$F$16+V34*'Selection Criteria'!$F$17+W34*'Selection Criteria'!$F$18+X34*'Selection Criteria'!$F$19+Y34*'Selection Criteria'!$F$20)/(5*'Selection Criteria'!$F$21)*100,"-")</f>
        <v>73</v>
      </c>
      <c r="AA34" s="6">
        <f t="shared" si="2"/>
        <v>21</v>
      </c>
      <c r="AB34" s="14" t="str">
        <f>IF(P34&lt;&gt;"Pass","Parked (gate)",IF(AC34="PROTECT","Protect (control)",IF(AA34&lt;=IF(Q34="Hero",'Hero Criteria'!$C$38,IF(Q34="Probable Hero",'Hero Criteria'!$C$39,'Hero Criteria'!$C$40)),"Recommended",IF(AA34&lt;=IF(Q34="Hero",'Hero Criteria'!$C$38,IF(Q34="Probable Hero",'Hero Criteria'!$C$39,'Hero Criteria'!$C$40))+'Hero Criteria'!$C$41,"Reserve","Backlog"))))</f>
        <v>Backlog</v>
      </c>
      <c r="AC34" s="6" t="str">
        <f>INDEX('Hero Segmentation'!$R$5:$R$80,MATCH($A34,'Hero Segmentation'!$A$5:$A$80,0))</f>
        <v>BUILD</v>
      </c>
      <c r="AD34" s="6" t="str">
        <f>IF(AND(AB34="Recommended",J34&gt;='Selection Criteria'!$C$26),"Yes","")</f>
        <v/>
      </c>
      <c r="AE34" s="10" t="str">
        <f>IFERROR(INDEX('Primary Competitor Fit'!$D$5:$D$91,MATCH($A34&amp;"|Primary 1",'Primary Competitor Fit'!$M$5:$M$91,0)),"-")</f>
        <v>-</v>
      </c>
      <c r="AF34" s="10" t="str">
        <f>IFERROR(INDEX('Primary Competitor Fit'!$D$5:$D$91,MATCH($A34&amp;"|Primary 2",'Primary Competitor Fit'!$M$5:$M$91,0)),"-")</f>
        <v>-</v>
      </c>
      <c r="AG34" s="10" t="str">
        <f>IFERROR(INDEX('Secondary Competitor Fit'!$D$5:$D$98,MATCH($A34&amp;"|Secondary 1",'Secondary Competitor Fit'!$M$5:$M$98,0)),"-")</f>
        <v>-</v>
      </c>
      <c r="AH34" s="10" t="str">
        <f>IFERROR(INDEX('Secondary Competitor Fit'!$D$5:$D$98,MATCH($A34&amp;"|Secondary 2",'Secondary Competitor Fit'!$M$5:$M$98,0)),"-")</f>
        <v>-</v>
      </c>
      <c r="AI34" s="10" t="s">
        <v>1023</v>
      </c>
      <c r="AJ34" s="24">
        <f t="shared" si="3"/>
        <v>73.034000000000006</v>
      </c>
    </row>
    <row r="35" spans="1:36" ht="26.4" x14ac:dyDescent="0.3">
      <c r="A35" s="6" t="s">
        <v>746</v>
      </c>
      <c r="B35" s="10" t="s">
        <v>747</v>
      </c>
      <c r="C35" s="10" t="s">
        <v>923</v>
      </c>
      <c r="D35" s="10" t="s">
        <v>654</v>
      </c>
      <c r="E35" s="10" t="s">
        <v>1024</v>
      </c>
      <c r="F35" s="10"/>
      <c r="G35" s="6">
        <v>3</v>
      </c>
      <c r="H35" s="6" t="s">
        <v>748</v>
      </c>
      <c r="I35" s="15">
        <v>132</v>
      </c>
      <c r="J35" s="15">
        <v>120</v>
      </c>
      <c r="K35" s="10" t="s">
        <v>928</v>
      </c>
      <c r="L35" s="6" t="str">
        <f t="shared" si="0"/>
        <v>Pass</v>
      </c>
      <c r="M35" s="19" t="s">
        <v>911</v>
      </c>
      <c r="N35" s="6" t="str">
        <f>IF(I35&gt;='Selection Criteria'!$C$25,"Pass","Fail")</f>
        <v>Pass</v>
      </c>
      <c r="O35" s="19" t="s">
        <v>911</v>
      </c>
      <c r="P35" s="14" t="str">
        <f t="shared" si="1"/>
        <v>Pass</v>
      </c>
      <c r="Q35" s="14" t="str">
        <f>INDEX('Hero Segmentation'!$Q$5:$Q$80,MATCH($A35,'Hero Segmentation'!$A$5:$A$80,0))</f>
        <v>Probable Hero</v>
      </c>
      <c r="R35" s="19">
        <v>5</v>
      </c>
      <c r="S35" s="19">
        <v>4</v>
      </c>
      <c r="T35" s="19">
        <v>4</v>
      </c>
      <c r="U35" s="19">
        <v>3</v>
      </c>
      <c r="V35" s="19">
        <v>2</v>
      </c>
      <c r="W35" s="19">
        <v>3</v>
      </c>
      <c r="X35" s="19">
        <v>2</v>
      </c>
      <c r="Y35" s="19">
        <v>4</v>
      </c>
      <c r="Z35" s="23">
        <f>IF(P35="Pass",(R35*'Selection Criteria'!$F$13+S35*'Selection Criteria'!$F$14+T35*'Selection Criteria'!$F$15+U35*'Selection Criteria'!$F$16+V35*'Selection Criteria'!$F$17+W35*'Selection Criteria'!$F$18+X35*'Selection Criteria'!$F$19+Y35*'Selection Criteria'!$F$20)/(5*'Selection Criteria'!$F$21)*100,"-")</f>
        <v>73</v>
      </c>
      <c r="AA35" s="6">
        <f t="shared" si="2"/>
        <v>20</v>
      </c>
      <c r="AB35" s="14" t="str">
        <f>IF(P35&lt;&gt;"Pass","Parked (gate)",IF(AC35="PROTECT","Protect (control)",IF(AA35&lt;=IF(Q35="Hero",'Hero Criteria'!$C$38,IF(Q35="Probable Hero",'Hero Criteria'!$C$39,'Hero Criteria'!$C$40)),"Recommended",IF(AA35&lt;=IF(Q35="Hero",'Hero Criteria'!$C$38,IF(Q35="Probable Hero",'Hero Criteria'!$C$39,'Hero Criteria'!$C$40))+'Hero Criteria'!$C$41,"Reserve","Backlog"))))</f>
        <v>Backlog</v>
      </c>
      <c r="AC35" s="6" t="str">
        <f>INDEX('Hero Segmentation'!$R$5:$R$80,MATCH($A35,'Hero Segmentation'!$A$5:$A$80,0))</f>
        <v>BUILD</v>
      </c>
      <c r="AD35" s="6" t="str">
        <f>IF(AND(AB35="Recommended",J35&gt;='Selection Criteria'!$C$26),"Yes","")</f>
        <v/>
      </c>
      <c r="AE35" s="10" t="str">
        <f>IFERROR(INDEX('Primary Competitor Fit'!$D$5:$D$91,MATCH($A35&amp;"|Primary 1",'Primary Competitor Fit'!$M$5:$M$91,0)),"-")</f>
        <v>-</v>
      </c>
      <c r="AF35" s="10" t="str">
        <f>IFERROR(INDEX('Primary Competitor Fit'!$D$5:$D$91,MATCH($A35&amp;"|Primary 2",'Primary Competitor Fit'!$M$5:$M$91,0)),"-")</f>
        <v>-</v>
      </c>
      <c r="AG35" s="10" t="str">
        <f>IFERROR(INDEX('Secondary Competitor Fit'!$D$5:$D$98,MATCH($A35&amp;"|Secondary 1",'Secondary Competitor Fit'!$M$5:$M$98,0)),"-")</f>
        <v>-</v>
      </c>
      <c r="AH35" s="10" t="str">
        <f>IFERROR(INDEX('Secondary Competitor Fit'!$D$5:$D$98,MATCH($A35&amp;"|Secondary 2",'Secondary Competitor Fit'!$M$5:$M$98,0)),"-")</f>
        <v>-</v>
      </c>
      <c r="AI35" s="10" t="s">
        <v>1025</v>
      </c>
      <c r="AJ35" s="24">
        <f t="shared" si="3"/>
        <v>73.034999999999997</v>
      </c>
    </row>
    <row r="36" spans="1:36" ht="26.4" x14ac:dyDescent="0.3">
      <c r="A36" s="6" t="s">
        <v>770</v>
      </c>
      <c r="B36" s="10" t="s">
        <v>295</v>
      </c>
      <c r="C36" s="10" t="s">
        <v>907</v>
      </c>
      <c r="D36" s="10" t="s">
        <v>1026</v>
      </c>
      <c r="E36" s="10" t="s">
        <v>1027</v>
      </c>
      <c r="F36" s="10"/>
      <c r="G36" s="6">
        <v>3</v>
      </c>
      <c r="H36" s="6" t="s">
        <v>296</v>
      </c>
      <c r="I36" s="15">
        <v>148</v>
      </c>
      <c r="J36" s="15">
        <v>103</v>
      </c>
      <c r="K36" s="10" t="s">
        <v>998</v>
      </c>
      <c r="L36" s="6" t="str">
        <f t="shared" si="0"/>
        <v>Pass</v>
      </c>
      <c r="M36" s="19" t="s">
        <v>911</v>
      </c>
      <c r="N36" s="6" t="str">
        <f>IF(I36&gt;='Selection Criteria'!$C$25,"Pass","Fail")</f>
        <v>Pass</v>
      </c>
      <c r="O36" s="19" t="s">
        <v>911</v>
      </c>
      <c r="P36" s="14" t="str">
        <f t="shared" si="1"/>
        <v>Pass</v>
      </c>
      <c r="Q36" s="14" t="str">
        <f>INDEX('Hero Segmentation'!$Q$5:$Q$80,MATCH($A36,'Hero Segmentation'!$A$5:$A$80,0))</f>
        <v>Hero</v>
      </c>
      <c r="R36" s="19">
        <v>3</v>
      </c>
      <c r="S36" s="19">
        <v>4</v>
      </c>
      <c r="T36" s="19">
        <v>3</v>
      </c>
      <c r="U36" s="19">
        <v>5</v>
      </c>
      <c r="V36" s="19">
        <v>4</v>
      </c>
      <c r="W36" s="19">
        <v>3</v>
      </c>
      <c r="X36" s="19">
        <v>3</v>
      </c>
      <c r="Y36" s="19">
        <v>4</v>
      </c>
      <c r="Z36" s="23">
        <f>IF(P36="Pass",(R36*'Selection Criteria'!$F$13+S36*'Selection Criteria'!$F$14+T36*'Selection Criteria'!$F$15+U36*'Selection Criteria'!$F$16+V36*'Selection Criteria'!$F$17+W36*'Selection Criteria'!$F$18+X36*'Selection Criteria'!$F$19+Y36*'Selection Criteria'!$F$20)/(5*'Selection Criteria'!$F$21)*100,"-")</f>
        <v>73</v>
      </c>
      <c r="AA36" s="6">
        <f t="shared" si="2"/>
        <v>9</v>
      </c>
      <c r="AB36" s="14" t="str">
        <f>IF(P36&lt;&gt;"Pass","Parked (gate)",IF(AC36="PROTECT","Protect (control)",IF(AA36&lt;=IF(Q36="Hero",'Hero Criteria'!$C$38,IF(Q36="Probable Hero",'Hero Criteria'!$C$39,'Hero Criteria'!$C$40)),"Recommended",IF(AA36&lt;=IF(Q36="Hero",'Hero Criteria'!$C$38,IF(Q36="Probable Hero",'Hero Criteria'!$C$39,'Hero Criteria'!$C$40))+'Hero Criteria'!$C$41,"Reserve","Backlog"))))</f>
        <v>Reserve</v>
      </c>
      <c r="AC36" s="6" t="str">
        <f>INDEX('Hero Segmentation'!$R$5:$R$80,MATCH($A36,'Hero Segmentation'!$A$5:$A$80,0))</f>
        <v>EXTEND</v>
      </c>
      <c r="AD36" s="6" t="str">
        <f>IF(AND(AB36="Recommended",J36&gt;='Selection Criteria'!$C$26),"Yes","")</f>
        <v/>
      </c>
      <c r="AE36" s="10" t="str">
        <f>IFERROR(INDEX('Primary Competitor Fit'!$D$5:$D$91,MATCH($A36&amp;"|Primary 1",'Primary Competitor Fit'!$M$5:$M$91,0)),"-")</f>
        <v>Amazon</v>
      </c>
      <c r="AF36" s="10" t="str">
        <f>IFERROR(INDEX('Primary Competitor Fit'!$D$5:$D$91,MATCH($A36&amp;"|Primary 2",'Primary Competitor Fit'!$M$5:$M$91,0)),"-")</f>
        <v>Walmart</v>
      </c>
      <c r="AG36" s="10" t="str">
        <f>IFERROR(INDEX('Secondary Competitor Fit'!$D$5:$D$98,MATCH($A36&amp;"|Secondary 1",'Secondary Competitor Fit'!$M$5:$M$98,0)),"-")</f>
        <v>Michaels</v>
      </c>
      <c r="AH36" s="10" t="str">
        <f>IFERROR(INDEX('Secondary Competitor Fit'!$D$5:$D$98,MATCH($A36&amp;"|Secondary 2",'Secondary Competitor Fit'!$M$5:$M$98,0)),"-")</f>
        <v>The Container Store</v>
      </c>
      <c r="AI36" s="10" t="s">
        <v>1028</v>
      </c>
      <c r="AJ36" s="24">
        <f t="shared" si="3"/>
        <v>73.052999999999997</v>
      </c>
    </row>
    <row r="37" spans="1:36" ht="26.4" x14ac:dyDescent="0.3">
      <c r="A37" s="6" t="s">
        <v>771</v>
      </c>
      <c r="B37" s="10" t="s">
        <v>306</v>
      </c>
      <c r="C37" s="10" t="s">
        <v>1029</v>
      </c>
      <c r="D37" s="10" t="s">
        <v>1030</v>
      </c>
      <c r="E37" s="10" t="s">
        <v>1031</v>
      </c>
      <c r="F37" s="10"/>
      <c r="G37" s="6">
        <v>3</v>
      </c>
      <c r="H37" s="6" t="s">
        <v>307</v>
      </c>
      <c r="I37" s="15">
        <v>396</v>
      </c>
      <c r="J37" s="15">
        <v>387</v>
      </c>
      <c r="K37" s="10" t="s">
        <v>998</v>
      </c>
      <c r="L37" s="6" t="str">
        <f t="shared" ref="L37:L68" si="4">IF(OR(G37=3,G37=4),"Pass","Fail")</f>
        <v>Pass</v>
      </c>
      <c r="M37" s="19" t="s">
        <v>911</v>
      </c>
      <c r="N37" s="6" t="str">
        <f>IF(I37&gt;='Selection Criteria'!$C$25,"Pass","Fail")</f>
        <v>Pass</v>
      </c>
      <c r="O37" s="19" t="s">
        <v>911</v>
      </c>
      <c r="P37" s="14" t="str">
        <f t="shared" ref="P37:P68" si="5">IF(AND(L37="Pass",M37="Pass",N37="Pass",O37="Pass"),"Pass","Fail")</f>
        <v>Pass</v>
      </c>
      <c r="Q37" s="14" t="str">
        <f>INDEX('Hero Segmentation'!$Q$5:$Q$80,MATCH($A37,'Hero Segmentation'!$A$5:$A$80,0))</f>
        <v>Hero</v>
      </c>
      <c r="R37" s="19">
        <v>3</v>
      </c>
      <c r="S37" s="19">
        <v>4</v>
      </c>
      <c r="T37" s="19">
        <v>3</v>
      </c>
      <c r="U37" s="19">
        <v>5</v>
      </c>
      <c r="V37" s="19">
        <v>4</v>
      </c>
      <c r="W37" s="19">
        <v>3</v>
      </c>
      <c r="X37" s="19">
        <v>3</v>
      </c>
      <c r="Y37" s="19">
        <v>4</v>
      </c>
      <c r="Z37" s="23">
        <f>IF(P37="Pass",(R37*'Selection Criteria'!$F$13+S37*'Selection Criteria'!$F$14+T37*'Selection Criteria'!$F$15+U37*'Selection Criteria'!$F$16+V37*'Selection Criteria'!$F$17+W37*'Selection Criteria'!$F$18+X37*'Selection Criteria'!$F$19+Y37*'Selection Criteria'!$F$20)/(5*'Selection Criteria'!$F$21)*100,"-")</f>
        <v>73</v>
      </c>
      <c r="AA37" s="6">
        <f t="shared" ref="AA37:AA68" si="6">IF(AJ37&lt;0,"-",COUNTIFS($Q$5:$Q$80,Q37,$AJ$5:$AJ$80,"&gt;"&amp;AJ37)+1)</f>
        <v>9</v>
      </c>
      <c r="AB37" s="14" t="str">
        <f>IF(P37&lt;&gt;"Pass","Parked (gate)",IF(AC37="PROTECT","Protect (control)",IF(AA37&lt;=IF(Q37="Hero",'Hero Criteria'!$C$38,IF(Q37="Probable Hero",'Hero Criteria'!$C$39,'Hero Criteria'!$C$40)),"Recommended",IF(AA37&lt;=IF(Q37="Hero",'Hero Criteria'!$C$38,IF(Q37="Probable Hero",'Hero Criteria'!$C$39,'Hero Criteria'!$C$40))+'Hero Criteria'!$C$41,"Reserve","Backlog"))))</f>
        <v>Reserve</v>
      </c>
      <c r="AC37" s="6" t="str">
        <f>INDEX('Hero Segmentation'!$R$5:$R$80,MATCH($A37,'Hero Segmentation'!$A$5:$A$80,0))</f>
        <v>EXTEND</v>
      </c>
      <c r="AD37" s="6" t="str">
        <f>IF(AND(AB37="Recommended",J37&gt;='Selection Criteria'!$C$26),"Yes","")</f>
        <v/>
      </c>
      <c r="AE37" s="10" t="str">
        <f>IFERROR(INDEX('Primary Competitor Fit'!$D$5:$D$91,MATCH($A37&amp;"|Primary 1",'Primary Competitor Fit'!$M$5:$M$91,0)),"-")</f>
        <v>Amazon</v>
      </c>
      <c r="AF37" s="10" t="str">
        <f>IFERROR(INDEX('Primary Competitor Fit'!$D$5:$D$91,MATCH($A37&amp;"|Primary 2",'Primary Competitor Fit'!$M$5:$M$91,0)),"-")</f>
        <v>Uline</v>
      </c>
      <c r="AG37" s="10" t="str">
        <f>IFERROR(INDEX('Secondary Competitor Fit'!$D$5:$D$98,MATCH($A37&amp;"|Secondary 1",'Secondary Competitor Fit'!$M$5:$M$98,0)),"-")</f>
        <v>noissue</v>
      </c>
      <c r="AH37" s="10" t="str">
        <f>IFERROR(INDEX('Secondary Competitor Fit'!$D$5:$D$98,MATCH($A37&amp;"|Secondary 2",'Secondary Competitor Fit'!$M$5:$M$98,0)),"-")</f>
        <v>Packhelp</v>
      </c>
      <c r="AI37" s="10" t="s">
        <v>1032</v>
      </c>
      <c r="AJ37" s="24">
        <f t="shared" ref="AJ37:AJ68" si="7">IF(AND(P37="Pass",AC37&lt;&gt;"PROTECT"),Z37+U37/100+R37/1000,-1)</f>
        <v>73.052999999999997</v>
      </c>
    </row>
    <row r="38" spans="1:36" ht="26.4" x14ac:dyDescent="0.3">
      <c r="A38" s="6" t="s">
        <v>801</v>
      </c>
      <c r="B38" s="10" t="s">
        <v>802</v>
      </c>
      <c r="C38" s="10" t="s">
        <v>907</v>
      </c>
      <c r="D38" s="10" t="s">
        <v>950</v>
      </c>
      <c r="E38" s="10" t="s">
        <v>1033</v>
      </c>
      <c r="F38" s="10"/>
      <c r="G38" s="6">
        <v>3</v>
      </c>
      <c r="H38" s="6" t="s">
        <v>803</v>
      </c>
      <c r="I38" s="15">
        <v>660</v>
      </c>
      <c r="J38" s="15">
        <v>0</v>
      </c>
      <c r="K38" s="10" t="s">
        <v>910</v>
      </c>
      <c r="L38" s="6" t="str">
        <f t="shared" si="4"/>
        <v>Pass</v>
      </c>
      <c r="M38" s="19" t="s">
        <v>911</v>
      </c>
      <c r="N38" s="6" t="str">
        <f>IF(I38&gt;='Selection Criteria'!$C$25,"Pass","Fail")</f>
        <v>Pass</v>
      </c>
      <c r="O38" s="19" t="s">
        <v>911</v>
      </c>
      <c r="P38" s="14" t="str">
        <f t="shared" si="5"/>
        <v>Pass</v>
      </c>
      <c r="Q38" s="14" t="str">
        <f>INDEX('Hero Segmentation'!$Q$5:$Q$80,MATCH($A38,'Hero Segmentation'!$A$5:$A$80,0))</f>
        <v>Hero</v>
      </c>
      <c r="R38" s="19">
        <v>4</v>
      </c>
      <c r="S38" s="19">
        <v>4</v>
      </c>
      <c r="T38" s="19">
        <v>3</v>
      </c>
      <c r="U38" s="19">
        <v>4</v>
      </c>
      <c r="V38" s="19">
        <v>4</v>
      </c>
      <c r="W38" s="19">
        <v>3</v>
      </c>
      <c r="X38" s="19">
        <v>5</v>
      </c>
      <c r="Y38" s="19">
        <v>2</v>
      </c>
      <c r="Z38" s="23">
        <f>IF(P38="Pass",(R38*'Selection Criteria'!$F$13+S38*'Selection Criteria'!$F$14+T38*'Selection Criteria'!$F$15+U38*'Selection Criteria'!$F$16+V38*'Selection Criteria'!$F$17+W38*'Selection Criteria'!$F$18+X38*'Selection Criteria'!$F$19+Y38*'Selection Criteria'!$F$20)/(5*'Selection Criteria'!$F$21)*100,"-")</f>
        <v>72</v>
      </c>
      <c r="AA38" s="6">
        <f t="shared" si="6"/>
        <v>11</v>
      </c>
      <c r="AB38" s="14" t="str">
        <f>IF(P38&lt;&gt;"Pass","Parked (gate)",IF(AC38="PROTECT","Protect (control)",IF(AA38&lt;=IF(Q38="Hero",'Hero Criteria'!$C$38,IF(Q38="Probable Hero",'Hero Criteria'!$C$39,'Hero Criteria'!$C$40)),"Recommended",IF(AA38&lt;=IF(Q38="Hero",'Hero Criteria'!$C$38,IF(Q38="Probable Hero",'Hero Criteria'!$C$39,'Hero Criteria'!$C$40))+'Hero Criteria'!$C$41,"Reserve","Backlog"))))</f>
        <v>Backlog</v>
      </c>
      <c r="AC38" s="6" t="str">
        <f>INDEX('Hero Segmentation'!$R$5:$R$80,MATCH($A38,'Hero Segmentation'!$A$5:$A$80,0))</f>
        <v>EXTEND</v>
      </c>
      <c r="AD38" s="6" t="str">
        <f>IF(AND(AB38="Recommended",J38&gt;='Selection Criteria'!$C$26),"Yes","")</f>
        <v/>
      </c>
      <c r="AE38" s="10" t="str">
        <f>IFERROR(INDEX('Primary Competitor Fit'!$D$5:$D$91,MATCH($A38&amp;"|Primary 1",'Primary Competitor Fit'!$M$5:$M$91,0)),"-")</f>
        <v>-</v>
      </c>
      <c r="AF38" s="10" t="str">
        <f>IFERROR(INDEX('Primary Competitor Fit'!$D$5:$D$91,MATCH($A38&amp;"|Primary 2",'Primary Competitor Fit'!$M$5:$M$91,0)),"-")</f>
        <v>-</v>
      </c>
      <c r="AG38" s="10" t="str">
        <f>IFERROR(INDEX('Secondary Competitor Fit'!$D$5:$D$98,MATCH($A38&amp;"|Secondary 1",'Secondary Competitor Fit'!$M$5:$M$98,0)),"-")</f>
        <v>-</v>
      </c>
      <c r="AH38" s="10" t="str">
        <f>IFERROR(INDEX('Secondary Competitor Fit'!$D$5:$D$98,MATCH($A38&amp;"|Secondary 2",'Secondary Competitor Fit'!$M$5:$M$98,0)),"-")</f>
        <v>-</v>
      </c>
      <c r="AI38" s="10" t="s">
        <v>1034</v>
      </c>
      <c r="AJ38" s="24">
        <f t="shared" si="7"/>
        <v>72.044000000000011</v>
      </c>
    </row>
    <row r="39" spans="1:36" ht="26.4" x14ac:dyDescent="0.3">
      <c r="A39" s="6" t="s">
        <v>795</v>
      </c>
      <c r="B39" s="10" t="s">
        <v>796</v>
      </c>
      <c r="C39" s="10" t="s">
        <v>923</v>
      </c>
      <c r="D39" s="10" t="s">
        <v>984</v>
      </c>
      <c r="E39" s="10" t="s">
        <v>1035</v>
      </c>
      <c r="F39" s="10"/>
      <c r="G39" s="6">
        <v>3</v>
      </c>
      <c r="H39" s="6" t="s">
        <v>797</v>
      </c>
      <c r="I39" s="15">
        <v>63</v>
      </c>
      <c r="J39" s="15">
        <v>0</v>
      </c>
      <c r="K39" s="10" t="s">
        <v>916</v>
      </c>
      <c r="L39" s="6" t="str">
        <f t="shared" si="4"/>
        <v>Pass</v>
      </c>
      <c r="M39" s="19" t="s">
        <v>911</v>
      </c>
      <c r="N39" s="6" t="str">
        <f>IF(I39&gt;='Selection Criteria'!$C$25,"Pass","Fail")</f>
        <v>Pass</v>
      </c>
      <c r="O39" s="19" t="s">
        <v>911</v>
      </c>
      <c r="P39" s="14" t="str">
        <f t="shared" si="5"/>
        <v>Pass</v>
      </c>
      <c r="Q39" s="14" t="str">
        <f>INDEX('Hero Segmentation'!$Q$5:$Q$80,MATCH($A39,'Hero Segmentation'!$A$5:$A$80,0))</f>
        <v>Probable Hero</v>
      </c>
      <c r="R39" s="19">
        <v>4</v>
      </c>
      <c r="S39" s="19">
        <v>3</v>
      </c>
      <c r="T39" s="19">
        <v>4</v>
      </c>
      <c r="U39" s="19">
        <v>5</v>
      </c>
      <c r="V39" s="19">
        <v>4</v>
      </c>
      <c r="W39" s="19">
        <v>2</v>
      </c>
      <c r="X39" s="19">
        <v>4</v>
      </c>
      <c r="Y39" s="19">
        <v>2</v>
      </c>
      <c r="Z39" s="23">
        <f>IF(P39="Pass",(R39*'Selection Criteria'!$F$13+S39*'Selection Criteria'!$F$14+T39*'Selection Criteria'!$F$15+U39*'Selection Criteria'!$F$16+V39*'Selection Criteria'!$F$17+W39*'Selection Criteria'!$F$18+X39*'Selection Criteria'!$F$19+Y39*'Selection Criteria'!$F$20)/(5*'Selection Criteria'!$F$21)*100,"-")</f>
        <v>72</v>
      </c>
      <c r="AA39" s="6">
        <f t="shared" si="6"/>
        <v>22</v>
      </c>
      <c r="AB39" s="14" t="str">
        <f>IF(P39&lt;&gt;"Pass","Parked (gate)",IF(AC39="PROTECT","Protect (control)",IF(AA39&lt;=IF(Q39="Hero",'Hero Criteria'!$C$38,IF(Q39="Probable Hero",'Hero Criteria'!$C$39,'Hero Criteria'!$C$40)),"Recommended",IF(AA39&lt;=IF(Q39="Hero",'Hero Criteria'!$C$38,IF(Q39="Probable Hero",'Hero Criteria'!$C$39,'Hero Criteria'!$C$40))+'Hero Criteria'!$C$41,"Reserve","Backlog"))))</f>
        <v>Backlog</v>
      </c>
      <c r="AC39" s="6" t="str">
        <f>INDEX('Hero Segmentation'!$R$5:$R$80,MATCH($A39,'Hero Segmentation'!$A$5:$A$80,0))</f>
        <v>BUILD</v>
      </c>
      <c r="AD39" s="6" t="str">
        <f>IF(AND(AB39="Recommended",J39&gt;='Selection Criteria'!$C$26),"Yes","")</f>
        <v/>
      </c>
      <c r="AE39" s="10" t="str">
        <f>IFERROR(INDEX('Primary Competitor Fit'!$D$5:$D$91,MATCH($A39&amp;"|Primary 1",'Primary Competitor Fit'!$M$5:$M$91,0)),"-")</f>
        <v>-</v>
      </c>
      <c r="AF39" s="10" t="str">
        <f>IFERROR(INDEX('Primary Competitor Fit'!$D$5:$D$91,MATCH($A39&amp;"|Primary 2",'Primary Competitor Fit'!$M$5:$M$91,0)),"-")</f>
        <v>-</v>
      </c>
      <c r="AG39" s="10" t="str">
        <f>IFERROR(INDEX('Secondary Competitor Fit'!$D$5:$D$98,MATCH($A39&amp;"|Secondary 1",'Secondary Competitor Fit'!$M$5:$M$98,0)),"-")</f>
        <v>-</v>
      </c>
      <c r="AH39" s="10" t="str">
        <f>IFERROR(INDEX('Secondary Competitor Fit'!$D$5:$D$98,MATCH($A39&amp;"|Secondary 2",'Secondary Competitor Fit'!$M$5:$M$98,0)),"-")</f>
        <v>-</v>
      </c>
      <c r="AI39" s="10" t="s">
        <v>1036</v>
      </c>
      <c r="AJ39" s="24">
        <f t="shared" si="7"/>
        <v>72.054000000000002</v>
      </c>
    </row>
    <row r="40" spans="1:36" ht="26.4" x14ac:dyDescent="0.3">
      <c r="A40" s="6" t="s">
        <v>1037</v>
      </c>
      <c r="B40" s="10" t="s">
        <v>68</v>
      </c>
      <c r="C40" s="10" t="s">
        <v>918</v>
      </c>
      <c r="D40" s="10" t="s">
        <v>1038</v>
      </c>
      <c r="E40" s="10" t="s">
        <v>1039</v>
      </c>
      <c r="F40" s="10"/>
      <c r="G40" s="6">
        <v>3</v>
      </c>
      <c r="H40" s="6" t="s">
        <v>254</v>
      </c>
      <c r="I40" s="15">
        <v>50</v>
      </c>
      <c r="J40" s="15">
        <v>0</v>
      </c>
      <c r="K40" s="10" t="s">
        <v>916</v>
      </c>
      <c r="L40" s="6" t="str">
        <f t="shared" si="4"/>
        <v>Pass</v>
      </c>
      <c r="M40" s="19" t="s">
        <v>911</v>
      </c>
      <c r="N40" s="6" t="str">
        <f>IF(I40&gt;='Selection Criteria'!$C$25,"Pass","Fail")</f>
        <v>Pass</v>
      </c>
      <c r="O40" s="19" t="s">
        <v>911</v>
      </c>
      <c r="P40" s="14" t="str">
        <f t="shared" si="5"/>
        <v>Pass</v>
      </c>
      <c r="Q40" s="14" t="str">
        <f>INDEX('Hero Segmentation'!$Q$5:$Q$80,MATCH($A40,'Hero Segmentation'!$A$5:$A$80,0))</f>
        <v>Non-Hero</v>
      </c>
      <c r="R40" s="19">
        <v>4</v>
      </c>
      <c r="S40" s="19">
        <v>4</v>
      </c>
      <c r="T40" s="19">
        <v>4</v>
      </c>
      <c r="U40" s="19">
        <v>4</v>
      </c>
      <c r="V40" s="19">
        <v>5</v>
      </c>
      <c r="W40" s="19">
        <v>2</v>
      </c>
      <c r="X40" s="19">
        <v>2</v>
      </c>
      <c r="Y40" s="19">
        <v>2</v>
      </c>
      <c r="Z40" s="23">
        <f>IF(P40="Pass",(R40*'Selection Criteria'!$F$13+S40*'Selection Criteria'!$F$14+T40*'Selection Criteria'!$F$15+U40*'Selection Criteria'!$F$16+V40*'Selection Criteria'!$F$17+W40*'Selection Criteria'!$F$18+X40*'Selection Criteria'!$F$19+Y40*'Selection Criteria'!$F$20)/(5*'Selection Criteria'!$F$21)*100,"-")</f>
        <v>72</v>
      </c>
      <c r="AA40" s="6">
        <f t="shared" si="6"/>
        <v>3</v>
      </c>
      <c r="AB40" s="14" t="str">
        <f>IF(P40&lt;&gt;"Pass","Parked (gate)",IF(AC40="PROTECT","Protect (control)",IF(AA40&lt;=IF(Q40="Hero",'Hero Criteria'!$C$38,IF(Q40="Probable Hero",'Hero Criteria'!$C$39,'Hero Criteria'!$C$40)),"Recommended",IF(AA40&lt;=IF(Q40="Hero",'Hero Criteria'!$C$38,IF(Q40="Probable Hero",'Hero Criteria'!$C$39,'Hero Criteria'!$C$40))+'Hero Criteria'!$C$41,"Reserve","Backlog"))))</f>
        <v>Recommended</v>
      </c>
      <c r="AC40" s="6" t="str">
        <f>INDEX('Hero Segmentation'!$R$5:$R$80,MATCH($A40,'Hero Segmentation'!$A$5:$A$80,0))</f>
        <v>EXPLORE</v>
      </c>
      <c r="AD40" s="6" t="str">
        <f>IF(AND(AB40="Recommended",J40&gt;='Selection Criteria'!$C$26),"Yes","")</f>
        <v/>
      </c>
      <c r="AE40" s="10" t="str">
        <f>IFERROR(INDEX('Primary Competitor Fit'!$D$5:$D$91,MATCH($A40&amp;"|Primary 1",'Primary Competitor Fit'!$M$5:$M$91,0)),"Amazon")</f>
        <v>Amazon</v>
      </c>
      <c r="AF40" s="10" t="str">
        <f>IFERROR(INDEX('Primary Competitor Fit'!$D$5:$D$91,MATCH($A40&amp;"|Primary 2",'Primary Competitor Fit'!$M$5:$M$91,0)),"Target")</f>
        <v>Wayfair</v>
      </c>
      <c r="AG40" s="10" t="str">
        <f>IFERROR(INDEX('Secondary Competitor Fit'!$D$5:$D$98,MATCH($A40&amp;"|Secondary 1",'Secondary Competitor Fit'!$M$5:$M$98,0)),"-")</f>
        <v>Williams Sonoma</v>
      </c>
      <c r="AH40" s="10" t="str">
        <f>IFERROR(INDEX('Secondary Competitor Fit'!$D$5:$D$98,MATCH($A40&amp;"|Secondary 2",'Secondary Competitor Fit'!$M$5:$M$98,0)),"-")</f>
        <v>Crate &amp; Barrel</v>
      </c>
      <c r="AI40" s="10" t="s">
        <v>1040</v>
      </c>
      <c r="AJ40" s="24">
        <f t="shared" si="7"/>
        <v>72.044000000000011</v>
      </c>
    </row>
    <row r="41" spans="1:36" ht="26.4" x14ac:dyDescent="0.3">
      <c r="A41" s="6" t="s">
        <v>1041</v>
      </c>
      <c r="B41" s="10" t="s">
        <v>1042</v>
      </c>
      <c r="C41" s="10" t="s">
        <v>923</v>
      </c>
      <c r="D41" s="10" t="s">
        <v>964</v>
      </c>
      <c r="E41" s="10" t="s">
        <v>1043</v>
      </c>
      <c r="F41" s="10"/>
      <c r="G41" s="6">
        <v>3</v>
      </c>
      <c r="H41" s="6" t="s">
        <v>1044</v>
      </c>
      <c r="I41" s="15">
        <v>52</v>
      </c>
      <c r="J41" s="15">
        <v>0</v>
      </c>
      <c r="K41" s="10" t="s">
        <v>916</v>
      </c>
      <c r="L41" s="6" t="str">
        <f t="shared" si="4"/>
        <v>Pass</v>
      </c>
      <c r="M41" s="19" t="s">
        <v>911</v>
      </c>
      <c r="N41" s="6" t="str">
        <f>IF(I41&gt;='Selection Criteria'!$C$25,"Pass","Fail")</f>
        <v>Pass</v>
      </c>
      <c r="O41" s="19" t="s">
        <v>911</v>
      </c>
      <c r="P41" s="14" t="str">
        <f t="shared" si="5"/>
        <v>Pass</v>
      </c>
      <c r="Q41" s="14" t="str">
        <f>INDEX('Hero Segmentation'!$Q$5:$Q$80,MATCH($A41,'Hero Segmentation'!$A$5:$A$80,0))</f>
        <v>Probable Hero</v>
      </c>
      <c r="R41" s="19">
        <v>5</v>
      </c>
      <c r="S41" s="19">
        <v>5</v>
      </c>
      <c r="T41" s="19">
        <v>5</v>
      </c>
      <c r="U41" s="19">
        <v>2</v>
      </c>
      <c r="V41" s="19">
        <v>2</v>
      </c>
      <c r="W41" s="19">
        <v>2</v>
      </c>
      <c r="X41" s="19">
        <v>2</v>
      </c>
      <c r="Y41" s="19">
        <v>2</v>
      </c>
      <c r="Z41" s="23">
        <f>IF(P41="Pass",(R41*'Selection Criteria'!$F$13+S41*'Selection Criteria'!$F$14+T41*'Selection Criteria'!$F$15+U41*'Selection Criteria'!$F$16+V41*'Selection Criteria'!$F$17+W41*'Selection Criteria'!$F$18+X41*'Selection Criteria'!$F$19+Y41*'Selection Criteria'!$F$20)/(5*'Selection Criteria'!$F$21)*100,"-")</f>
        <v>70</v>
      </c>
      <c r="AA41" s="6">
        <f t="shared" si="6"/>
        <v>23</v>
      </c>
      <c r="AB41" s="14" t="str">
        <f>IF(P41&lt;&gt;"Pass","Parked (gate)",IF(AC41="PROTECT","Protect (control)",IF(AA41&lt;=IF(Q41="Hero",'Hero Criteria'!$C$38,IF(Q41="Probable Hero",'Hero Criteria'!$C$39,'Hero Criteria'!$C$40)),"Recommended",IF(AA41&lt;=IF(Q41="Hero",'Hero Criteria'!$C$38,IF(Q41="Probable Hero",'Hero Criteria'!$C$39,'Hero Criteria'!$C$40))+'Hero Criteria'!$C$41,"Reserve","Backlog"))))</f>
        <v>Backlog</v>
      </c>
      <c r="AC41" s="6" t="str">
        <f>INDEX('Hero Segmentation'!$R$5:$R$80,MATCH($A41,'Hero Segmentation'!$A$5:$A$80,0))</f>
        <v>BUILD</v>
      </c>
      <c r="AD41" s="6" t="str">
        <f>IF(AND(AB41="Recommended",J41&gt;='Selection Criteria'!$C$26),"Yes","")</f>
        <v/>
      </c>
      <c r="AE41" s="10" t="str">
        <f>IFERROR(INDEX('Primary Competitor Fit'!$D$5:$D$91,MATCH($A41&amp;"|Primary 1",'Primary Competitor Fit'!$M$5:$M$91,0)),"Wayfair")</f>
        <v>Wayfair</v>
      </c>
      <c r="AF41" s="10" t="str">
        <f>IFERROR(INDEX('Primary Competitor Fit'!$D$5:$D$91,MATCH($A41&amp;"|Primary 2",'Primary Competitor Fit'!$M$5:$M$91,0)),"Target")</f>
        <v>Target</v>
      </c>
      <c r="AG41" s="10" t="str">
        <f>IFERROR(INDEX('Secondary Competitor Fit'!$D$5:$D$98,MATCH($A41&amp;"|Secondary 1",'Secondary Competitor Fit'!$M$5:$M$98,0)),"-")</f>
        <v>-</v>
      </c>
      <c r="AH41" s="10" t="str">
        <f>IFERROR(INDEX('Secondary Competitor Fit'!$D$5:$D$98,MATCH($A41&amp;"|Secondary 2",'Secondary Competitor Fit'!$M$5:$M$98,0)),"-")</f>
        <v>-</v>
      </c>
      <c r="AI41" s="10" t="s">
        <v>1045</v>
      </c>
      <c r="AJ41" s="24">
        <f t="shared" si="7"/>
        <v>70.024999999999991</v>
      </c>
    </row>
    <row r="42" spans="1:36" ht="26.4" x14ac:dyDescent="0.3">
      <c r="A42" s="6" t="s">
        <v>721</v>
      </c>
      <c r="B42" s="10" t="s">
        <v>722</v>
      </c>
      <c r="C42" s="10" t="s">
        <v>923</v>
      </c>
      <c r="D42" s="10" t="s">
        <v>639</v>
      </c>
      <c r="E42" s="10" t="s">
        <v>1021</v>
      </c>
      <c r="F42" s="10" t="s">
        <v>1046</v>
      </c>
      <c r="G42" s="6">
        <v>4</v>
      </c>
      <c r="H42" s="6" t="s">
        <v>723</v>
      </c>
      <c r="I42" s="15">
        <v>64</v>
      </c>
      <c r="J42" s="15">
        <v>39</v>
      </c>
      <c r="K42" s="10" t="s">
        <v>925</v>
      </c>
      <c r="L42" s="6" t="str">
        <f t="shared" si="4"/>
        <v>Pass</v>
      </c>
      <c r="M42" s="19" t="s">
        <v>911</v>
      </c>
      <c r="N42" s="6" t="str">
        <f>IF(I42&gt;='Selection Criteria'!$C$25,"Pass","Fail")</f>
        <v>Pass</v>
      </c>
      <c r="O42" s="19" t="s">
        <v>911</v>
      </c>
      <c r="P42" s="14" t="str">
        <f t="shared" si="5"/>
        <v>Pass</v>
      </c>
      <c r="Q42" s="14" t="str">
        <f>INDEX('Hero Segmentation'!$Q$5:$Q$80,MATCH($A42,'Hero Segmentation'!$A$5:$A$80,0))</f>
        <v>Probable Hero</v>
      </c>
      <c r="R42" s="19">
        <v>4</v>
      </c>
      <c r="S42" s="19">
        <v>5</v>
      </c>
      <c r="T42" s="19">
        <v>4</v>
      </c>
      <c r="U42" s="19">
        <v>2</v>
      </c>
      <c r="V42" s="19">
        <v>3</v>
      </c>
      <c r="W42" s="19">
        <v>2</v>
      </c>
      <c r="X42" s="19">
        <v>2</v>
      </c>
      <c r="Y42" s="19">
        <v>4</v>
      </c>
      <c r="Z42" s="23">
        <f>IF(P42="Pass",(R42*'Selection Criteria'!$F$13+S42*'Selection Criteria'!$F$14+T42*'Selection Criteria'!$F$15+U42*'Selection Criteria'!$F$16+V42*'Selection Criteria'!$F$17+W42*'Selection Criteria'!$F$18+X42*'Selection Criteria'!$F$19+Y42*'Selection Criteria'!$F$20)/(5*'Selection Criteria'!$F$21)*100,"-")</f>
        <v>69</v>
      </c>
      <c r="AA42" s="6">
        <f t="shared" si="6"/>
        <v>24</v>
      </c>
      <c r="AB42" s="14" t="str">
        <f>IF(P42&lt;&gt;"Pass","Parked (gate)",IF(AC42="PROTECT","Protect (control)",IF(AA42&lt;=IF(Q42="Hero",'Hero Criteria'!$C$38,IF(Q42="Probable Hero",'Hero Criteria'!$C$39,'Hero Criteria'!$C$40)),"Recommended",IF(AA42&lt;=IF(Q42="Hero",'Hero Criteria'!$C$38,IF(Q42="Probable Hero",'Hero Criteria'!$C$39,'Hero Criteria'!$C$40))+'Hero Criteria'!$C$41,"Reserve","Backlog"))))</f>
        <v>Backlog</v>
      </c>
      <c r="AC42" s="6" t="str">
        <f>INDEX('Hero Segmentation'!$R$5:$R$80,MATCH($A42,'Hero Segmentation'!$A$5:$A$80,0))</f>
        <v>BUILD</v>
      </c>
      <c r="AD42" s="6" t="str">
        <f>IF(AND(AB42="Recommended",J42&gt;='Selection Criteria'!$C$26),"Yes","")</f>
        <v/>
      </c>
      <c r="AE42" s="10" t="str">
        <f>IFERROR(INDEX('Primary Competitor Fit'!$D$5:$D$91,MATCH($A42&amp;"|Primary 1",'Primary Competitor Fit'!$M$5:$M$91,0)),"Wayfair")</f>
        <v>Wayfair</v>
      </c>
      <c r="AF42" s="10" t="str">
        <f>IFERROR(INDEX('Primary Competitor Fit'!$D$5:$D$91,MATCH($A42&amp;"|Primary 2",'Primary Competitor Fit'!$M$5:$M$91,0)),"Amazon")</f>
        <v>Amazon</v>
      </c>
      <c r="AG42" s="10" t="str">
        <f>IFERROR(INDEX('Secondary Competitor Fit'!$D$5:$D$98,MATCH($A42&amp;"|Secondary 1",'Secondary Competitor Fit'!$M$5:$M$98,0)),"-")</f>
        <v>-</v>
      </c>
      <c r="AH42" s="10" t="str">
        <f>IFERROR(INDEX('Secondary Competitor Fit'!$D$5:$D$98,MATCH($A42&amp;"|Secondary 2",'Secondary Competitor Fit'!$M$5:$M$98,0)),"-")</f>
        <v>-</v>
      </c>
      <c r="AI42" s="10" t="s">
        <v>1047</v>
      </c>
      <c r="AJ42" s="24">
        <f t="shared" si="7"/>
        <v>69.024000000000001</v>
      </c>
    </row>
    <row r="43" spans="1:36" ht="26.4" x14ac:dyDescent="0.3">
      <c r="A43" s="6" t="s">
        <v>1048</v>
      </c>
      <c r="B43" s="10" t="s">
        <v>71</v>
      </c>
      <c r="C43" s="10" t="s">
        <v>923</v>
      </c>
      <c r="D43" s="10" t="s">
        <v>1049</v>
      </c>
      <c r="E43" s="10" t="s">
        <v>1050</v>
      </c>
      <c r="F43" s="10"/>
      <c r="G43" s="6">
        <v>3</v>
      </c>
      <c r="H43" s="6" t="s">
        <v>261</v>
      </c>
      <c r="I43" s="15">
        <v>136</v>
      </c>
      <c r="J43" s="15">
        <v>0</v>
      </c>
      <c r="K43" s="10" t="s">
        <v>916</v>
      </c>
      <c r="L43" s="6" t="str">
        <f t="shared" si="4"/>
        <v>Pass</v>
      </c>
      <c r="M43" s="19" t="s">
        <v>911</v>
      </c>
      <c r="N43" s="6" t="str">
        <f>IF(I43&gt;='Selection Criteria'!$C$25,"Pass","Fail")</f>
        <v>Pass</v>
      </c>
      <c r="O43" s="19" t="s">
        <v>911</v>
      </c>
      <c r="P43" s="14" t="str">
        <f t="shared" si="5"/>
        <v>Pass</v>
      </c>
      <c r="Q43" s="14" t="str">
        <f>INDEX('Hero Segmentation'!$Q$5:$Q$80,MATCH($A43,'Hero Segmentation'!$A$5:$A$80,0))</f>
        <v>Non-Hero</v>
      </c>
      <c r="R43" s="19">
        <v>4</v>
      </c>
      <c r="S43" s="19">
        <v>3</v>
      </c>
      <c r="T43" s="19">
        <v>4</v>
      </c>
      <c r="U43" s="19">
        <v>5</v>
      </c>
      <c r="V43" s="19">
        <v>3</v>
      </c>
      <c r="W43" s="19">
        <v>2</v>
      </c>
      <c r="X43" s="19">
        <v>3</v>
      </c>
      <c r="Y43" s="19">
        <v>2</v>
      </c>
      <c r="Z43" s="23">
        <f>IF(P43="Pass",(R43*'Selection Criteria'!$F$13+S43*'Selection Criteria'!$F$14+T43*'Selection Criteria'!$F$15+U43*'Selection Criteria'!$F$16+V43*'Selection Criteria'!$F$17+W43*'Selection Criteria'!$F$18+X43*'Selection Criteria'!$F$19+Y43*'Selection Criteria'!$F$20)/(5*'Selection Criteria'!$F$21)*100,"-")</f>
        <v>69</v>
      </c>
      <c r="AA43" s="6">
        <f t="shared" si="6"/>
        <v>4</v>
      </c>
      <c r="AB43" s="14" t="str">
        <f>IF(P43&lt;&gt;"Pass","Parked (gate)",IF(AC43="PROTECT","Protect (control)",IF(AA43&lt;=IF(Q43="Hero",'Hero Criteria'!$C$38,IF(Q43="Probable Hero",'Hero Criteria'!$C$39,'Hero Criteria'!$C$40)),"Recommended",IF(AA43&lt;=IF(Q43="Hero",'Hero Criteria'!$C$38,IF(Q43="Probable Hero",'Hero Criteria'!$C$39,'Hero Criteria'!$C$40))+'Hero Criteria'!$C$41,"Reserve","Backlog"))))</f>
        <v>Recommended</v>
      </c>
      <c r="AC43" s="6" t="str">
        <f>INDEX('Hero Segmentation'!$R$5:$R$80,MATCH($A43,'Hero Segmentation'!$A$5:$A$80,0))</f>
        <v>EXPLORE</v>
      </c>
      <c r="AD43" s="6" t="str">
        <f>IF(AND(AB43="Recommended",J43&gt;='Selection Criteria'!$C$26),"Yes","")</f>
        <v/>
      </c>
      <c r="AE43" s="10" t="str">
        <f>IFERROR(INDEX('Primary Competitor Fit'!$D$5:$D$91,MATCH($A43&amp;"|Primary 1",'Primary Competitor Fit'!$M$5:$M$91,0)),"Amazon")</f>
        <v>Amazon</v>
      </c>
      <c r="AF43" s="10" t="str">
        <f>IFERROR(INDEX('Primary Competitor Fit'!$D$5:$D$91,MATCH($A43&amp;"|Primary 2",'Primary Competitor Fit'!$M$5:$M$91,0)),"Wayfair")</f>
        <v>Wayfair</v>
      </c>
      <c r="AG43" s="10" t="str">
        <f>IFERROR(INDEX('Secondary Competitor Fit'!$D$5:$D$98,MATCH($A43&amp;"|Secondary 1",'Secondary Competitor Fit'!$M$5:$M$98,0)),"-")</f>
        <v>Felt Right</v>
      </c>
      <c r="AH43" s="10" t="str">
        <f>IFERROR(INDEX('Secondary Competitor Fit'!$D$5:$D$98,MATCH($A43&amp;"|Secondary 2",'Secondary Competitor Fit'!$M$5:$M$98,0)),"-")</f>
        <v>Etsy</v>
      </c>
      <c r="AI43" s="10" t="s">
        <v>1051</v>
      </c>
      <c r="AJ43" s="24">
        <f t="shared" si="7"/>
        <v>69.054000000000002</v>
      </c>
    </row>
    <row r="44" spans="1:36" ht="26.4" x14ac:dyDescent="0.3">
      <c r="A44" s="6" t="s">
        <v>1052</v>
      </c>
      <c r="B44" s="10" t="s">
        <v>1053</v>
      </c>
      <c r="C44" s="10" t="s">
        <v>907</v>
      </c>
      <c r="D44" s="10" t="s">
        <v>931</v>
      </c>
      <c r="E44" s="10" t="s">
        <v>1054</v>
      </c>
      <c r="F44" s="10"/>
      <c r="G44" s="6">
        <v>3</v>
      </c>
      <c r="H44" s="6" t="s">
        <v>1055</v>
      </c>
      <c r="I44" s="15">
        <v>1504</v>
      </c>
      <c r="J44" s="15">
        <v>0</v>
      </c>
      <c r="K44" s="10" t="s">
        <v>916</v>
      </c>
      <c r="L44" s="6" t="str">
        <f t="shared" si="4"/>
        <v>Pass</v>
      </c>
      <c r="M44" s="19" t="s">
        <v>911</v>
      </c>
      <c r="N44" s="6" t="str">
        <f>IF(I44&gt;='Selection Criteria'!$C$25,"Pass","Fail")</f>
        <v>Pass</v>
      </c>
      <c r="O44" s="19" t="s">
        <v>911</v>
      </c>
      <c r="P44" s="14" t="str">
        <f t="shared" si="5"/>
        <v>Pass</v>
      </c>
      <c r="Q44" s="14" t="str">
        <f>INDEX('Hero Segmentation'!$Q$5:$Q$80,MATCH($A44,'Hero Segmentation'!$A$5:$A$80,0))</f>
        <v>Hero</v>
      </c>
      <c r="R44" s="19">
        <v>3</v>
      </c>
      <c r="S44" s="19">
        <v>4</v>
      </c>
      <c r="T44" s="19">
        <v>1</v>
      </c>
      <c r="U44" s="19">
        <v>5</v>
      </c>
      <c r="V44" s="19">
        <v>5</v>
      </c>
      <c r="W44" s="19">
        <v>4</v>
      </c>
      <c r="X44" s="19">
        <v>4</v>
      </c>
      <c r="Y44" s="19">
        <v>2</v>
      </c>
      <c r="Z44" s="23">
        <f>IF(P44="Pass",(R44*'Selection Criteria'!$F$13+S44*'Selection Criteria'!$F$14+T44*'Selection Criteria'!$F$15+U44*'Selection Criteria'!$F$16+V44*'Selection Criteria'!$F$17+W44*'Selection Criteria'!$F$18+X44*'Selection Criteria'!$F$19+Y44*'Selection Criteria'!$F$20)/(5*'Selection Criteria'!$F$21)*100,"-")</f>
        <v>68</v>
      </c>
      <c r="AA44" s="6" t="str">
        <f t="shared" si="6"/>
        <v>-</v>
      </c>
      <c r="AB44" s="14" t="str">
        <f>IF(P44&lt;&gt;"Pass","Parked (gate)",IF(AC44="PROTECT","Protect (control)",IF(AA44&lt;=IF(Q44="Hero",'Hero Criteria'!$C$38,IF(Q44="Probable Hero",'Hero Criteria'!$C$39,'Hero Criteria'!$C$40)),"Recommended",IF(AA44&lt;=IF(Q44="Hero",'Hero Criteria'!$C$38,IF(Q44="Probable Hero",'Hero Criteria'!$C$39,'Hero Criteria'!$C$40))+'Hero Criteria'!$C$41,"Reserve","Backlog"))))</f>
        <v>Protect (control)</v>
      </c>
      <c r="AC44" s="6" t="str">
        <f>INDEX('Hero Segmentation'!$R$5:$R$80,MATCH($A44,'Hero Segmentation'!$A$5:$A$80,0))</f>
        <v>PROTECT</v>
      </c>
      <c r="AD44" s="6" t="str">
        <f>IF(AND(AB44="Recommended",J44&gt;='Selection Criteria'!$C$26),"Yes","")</f>
        <v/>
      </c>
      <c r="AE44" s="10" t="str">
        <f>IFERROR(INDEX('Primary Competitor Fit'!$D$5:$D$91,MATCH($A44&amp;"|Primary 1",'Primary Competitor Fit'!$M$5:$M$91,0)),"JetPens")</f>
        <v>JetPens</v>
      </c>
      <c r="AF44" s="10" t="str">
        <f>IFERROR(INDEX('Primary Competitor Fit'!$D$5:$D$91,MATCH($A44&amp;"|Primary 2",'Primary Competitor Fit'!$M$5:$M$91,0)),"Amazon")</f>
        <v>Amazon</v>
      </c>
      <c r="AG44" s="10" t="str">
        <f>IFERROR(INDEX('Secondary Competitor Fit'!$D$5:$D$98,MATCH($A44&amp;"|Secondary 1",'Secondary Competitor Fit'!$M$5:$M$98,0)),"-")</f>
        <v>-</v>
      </c>
      <c r="AH44" s="10" t="str">
        <f>IFERROR(INDEX('Secondary Competitor Fit'!$D$5:$D$98,MATCH($A44&amp;"|Secondary 2",'Secondary Competitor Fit'!$M$5:$M$98,0)),"-")</f>
        <v>-</v>
      </c>
      <c r="AI44" s="10" t="s">
        <v>1056</v>
      </c>
      <c r="AJ44" s="24">
        <f t="shared" si="7"/>
        <v>-1</v>
      </c>
    </row>
    <row r="45" spans="1:36" ht="26.4" x14ac:dyDescent="0.3">
      <c r="A45" s="6" t="s">
        <v>1057</v>
      </c>
      <c r="B45" s="10" t="s">
        <v>1058</v>
      </c>
      <c r="C45" s="10" t="s">
        <v>1059</v>
      </c>
      <c r="D45" s="10" t="s">
        <v>1060</v>
      </c>
      <c r="E45" s="10" t="s">
        <v>1060</v>
      </c>
      <c r="F45" s="10"/>
      <c r="G45" s="6">
        <v>3</v>
      </c>
      <c r="H45" s="6" t="s">
        <v>1061</v>
      </c>
      <c r="I45" s="15">
        <v>782</v>
      </c>
      <c r="J45" s="15">
        <v>0</v>
      </c>
      <c r="K45" s="10" t="s">
        <v>916</v>
      </c>
      <c r="L45" s="6" t="str">
        <f t="shared" si="4"/>
        <v>Pass</v>
      </c>
      <c r="M45" s="19" t="s">
        <v>911</v>
      </c>
      <c r="N45" s="6" t="str">
        <f>IF(I45&gt;='Selection Criteria'!$C$25,"Pass","Fail")</f>
        <v>Pass</v>
      </c>
      <c r="O45" s="19" t="s">
        <v>911</v>
      </c>
      <c r="P45" s="14" t="str">
        <f t="shared" si="5"/>
        <v>Pass</v>
      </c>
      <c r="Q45" s="14" t="str">
        <f>INDEX('Hero Segmentation'!$Q$5:$Q$80,MATCH($A45,'Hero Segmentation'!$A$5:$A$80,0))</f>
        <v>Probable Hero</v>
      </c>
      <c r="R45" s="19">
        <v>4</v>
      </c>
      <c r="S45" s="19">
        <v>4</v>
      </c>
      <c r="T45" s="19">
        <v>2</v>
      </c>
      <c r="U45" s="19">
        <v>4</v>
      </c>
      <c r="V45" s="19">
        <v>4</v>
      </c>
      <c r="W45" s="19">
        <v>3</v>
      </c>
      <c r="X45" s="19">
        <v>4</v>
      </c>
      <c r="Y45" s="19">
        <v>2</v>
      </c>
      <c r="Z45" s="23">
        <f>IF(P45="Pass",(R45*'Selection Criteria'!$F$13+S45*'Selection Criteria'!$F$14+T45*'Selection Criteria'!$F$15+U45*'Selection Criteria'!$F$16+V45*'Selection Criteria'!$F$17+W45*'Selection Criteria'!$F$18+X45*'Selection Criteria'!$F$19+Y45*'Selection Criteria'!$F$20)/(5*'Selection Criteria'!$F$21)*100,"-")</f>
        <v>68</v>
      </c>
      <c r="AA45" s="6">
        <f t="shared" si="6"/>
        <v>25</v>
      </c>
      <c r="AB45" s="14" t="str">
        <f>IF(P45&lt;&gt;"Pass","Parked (gate)",IF(AC45="PROTECT","Protect (control)",IF(AA45&lt;=IF(Q45="Hero",'Hero Criteria'!$C$38,IF(Q45="Probable Hero",'Hero Criteria'!$C$39,'Hero Criteria'!$C$40)),"Recommended",IF(AA45&lt;=IF(Q45="Hero",'Hero Criteria'!$C$38,IF(Q45="Probable Hero",'Hero Criteria'!$C$39,'Hero Criteria'!$C$40))+'Hero Criteria'!$C$41,"Reserve","Backlog"))))</f>
        <v>Backlog</v>
      </c>
      <c r="AC45" s="6" t="str">
        <f>INDEX('Hero Segmentation'!$R$5:$R$80,MATCH($A45,'Hero Segmentation'!$A$5:$A$80,0))</f>
        <v>BUILD</v>
      </c>
      <c r="AD45" s="6" t="str">
        <f>IF(AND(AB45="Recommended",J45&gt;='Selection Criteria'!$C$26),"Yes","")</f>
        <v/>
      </c>
      <c r="AE45" s="10" t="str">
        <f>IFERROR(INDEX('Primary Competitor Fit'!$D$5:$D$91,MATCH($A45&amp;"|Primary 1",'Primary Competitor Fit'!$M$5:$M$91,0)),"Best Buy")</f>
        <v>Best Buy</v>
      </c>
      <c r="AF45" s="10" t="str">
        <f>IFERROR(INDEX('Primary Competitor Fit'!$D$5:$D$91,MATCH($A45&amp;"|Primary 2",'Primary Competitor Fit'!$M$5:$M$91,0)),"Target")</f>
        <v>Target</v>
      </c>
      <c r="AG45" s="10" t="str">
        <f>IFERROR(INDEX('Secondary Competitor Fit'!$D$5:$D$98,MATCH($A45&amp;"|Secondary 1",'Secondary Competitor Fit'!$M$5:$M$98,0)),"-")</f>
        <v>-</v>
      </c>
      <c r="AH45" s="10" t="str">
        <f>IFERROR(INDEX('Secondary Competitor Fit'!$D$5:$D$98,MATCH($A45&amp;"|Secondary 2",'Secondary Competitor Fit'!$M$5:$M$98,0)),"-")</f>
        <v>-</v>
      </c>
      <c r="AI45" s="10" t="s">
        <v>1062</v>
      </c>
      <c r="AJ45" s="24">
        <f t="shared" si="7"/>
        <v>68.044000000000011</v>
      </c>
    </row>
    <row r="46" spans="1:36" ht="26.4" x14ac:dyDescent="0.3">
      <c r="A46" s="6" t="s">
        <v>1063</v>
      </c>
      <c r="B46" s="10" t="s">
        <v>1064</v>
      </c>
      <c r="C46" s="10" t="s">
        <v>923</v>
      </c>
      <c r="D46" s="10" t="s">
        <v>964</v>
      </c>
      <c r="E46" s="10" t="s">
        <v>1065</v>
      </c>
      <c r="F46" s="10"/>
      <c r="G46" s="6">
        <v>3</v>
      </c>
      <c r="H46" s="6" t="s">
        <v>1066</v>
      </c>
      <c r="I46" s="15">
        <v>25</v>
      </c>
      <c r="J46" s="15">
        <v>0</v>
      </c>
      <c r="K46" s="10" t="s">
        <v>916</v>
      </c>
      <c r="L46" s="6" t="str">
        <f t="shared" si="4"/>
        <v>Pass</v>
      </c>
      <c r="M46" s="19" t="s">
        <v>911</v>
      </c>
      <c r="N46" s="6" t="str">
        <f>IF(I46&gt;='Selection Criteria'!$C$25,"Pass","Fail")</f>
        <v>Pass</v>
      </c>
      <c r="O46" s="19" t="s">
        <v>911</v>
      </c>
      <c r="P46" s="14" t="str">
        <f t="shared" si="5"/>
        <v>Pass</v>
      </c>
      <c r="Q46" s="14" t="str">
        <f>INDEX('Hero Segmentation'!$Q$5:$Q$80,MATCH($A46,'Hero Segmentation'!$A$5:$A$80,0))</f>
        <v>Probable Hero</v>
      </c>
      <c r="R46" s="19">
        <v>4</v>
      </c>
      <c r="S46" s="19">
        <v>4</v>
      </c>
      <c r="T46" s="19">
        <v>5</v>
      </c>
      <c r="U46" s="19">
        <v>2</v>
      </c>
      <c r="V46" s="19">
        <v>5</v>
      </c>
      <c r="W46" s="19">
        <v>1</v>
      </c>
      <c r="X46" s="19">
        <v>3</v>
      </c>
      <c r="Y46" s="19">
        <v>2</v>
      </c>
      <c r="Z46" s="23">
        <f>IF(P46="Pass",(R46*'Selection Criteria'!$F$13+S46*'Selection Criteria'!$F$14+T46*'Selection Criteria'!$F$15+U46*'Selection Criteria'!$F$16+V46*'Selection Criteria'!$F$17+W46*'Selection Criteria'!$F$18+X46*'Selection Criteria'!$F$19+Y46*'Selection Criteria'!$F$20)/(5*'Selection Criteria'!$F$21)*100,"-")</f>
        <v>68</v>
      </c>
      <c r="AA46" s="6">
        <f t="shared" si="6"/>
        <v>26</v>
      </c>
      <c r="AB46" s="14" t="str">
        <f>IF(P46&lt;&gt;"Pass","Parked (gate)",IF(AC46="PROTECT","Protect (control)",IF(AA46&lt;=IF(Q46="Hero",'Hero Criteria'!$C$38,IF(Q46="Probable Hero",'Hero Criteria'!$C$39,'Hero Criteria'!$C$40)),"Recommended",IF(AA46&lt;=IF(Q46="Hero",'Hero Criteria'!$C$38,IF(Q46="Probable Hero",'Hero Criteria'!$C$39,'Hero Criteria'!$C$40))+'Hero Criteria'!$C$41,"Reserve","Backlog"))))</f>
        <v>Backlog</v>
      </c>
      <c r="AC46" s="6" t="str">
        <f>INDEX('Hero Segmentation'!$R$5:$R$80,MATCH($A46,'Hero Segmentation'!$A$5:$A$80,0))</f>
        <v>BUILD</v>
      </c>
      <c r="AD46" s="6" t="str">
        <f>IF(AND(AB46="Recommended",J46&gt;='Selection Criteria'!$C$26),"Yes","")</f>
        <v/>
      </c>
      <c r="AE46" s="10" t="str">
        <f>IFERROR(INDEX('Primary Competitor Fit'!$D$5:$D$91,MATCH($A46&amp;"|Primary 1",'Primary Competitor Fit'!$M$5:$M$91,0)),"Target")</f>
        <v>Target</v>
      </c>
      <c r="AF46" s="10" t="str">
        <f>IFERROR(INDEX('Primary Competitor Fit'!$D$5:$D$91,MATCH($A46&amp;"|Primary 2",'Primary Competitor Fit'!$M$5:$M$91,0)),"Amazon")</f>
        <v>Amazon</v>
      </c>
      <c r="AG46" s="10" t="str">
        <f>IFERROR(INDEX('Secondary Competitor Fit'!$D$5:$D$98,MATCH($A46&amp;"|Secondary 1",'Secondary Competitor Fit'!$M$5:$M$98,0)),"-")</f>
        <v>-</v>
      </c>
      <c r="AH46" s="10" t="str">
        <f>IFERROR(INDEX('Secondary Competitor Fit'!$D$5:$D$98,MATCH($A46&amp;"|Secondary 2",'Secondary Competitor Fit'!$M$5:$M$98,0)),"-")</f>
        <v>-</v>
      </c>
      <c r="AI46" s="10" t="s">
        <v>1067</v>
      </c>
      <c r="AJ46" s="24">
        <f t="shared" si="7"/>
        <v>68.024000000000001</v>
      </c>
    </row>
    <row r="47" spans="1:36" ht="26.4" x14ac:dyDescent="0.3">
      <c r="A47" s="6" t="s">
        <v>1068</v>
      </c>
      <c r="B47" s="10" t="s">
        <v>1069</v>
      </c>
      <c r="C47" s="10" t="s">
        <v>978</v>
      </c>
      <c r="D47" s="10" t="s">
        <v>1070</v>
      </c>
      <c r="E47" s="10" t="s">
        <v>1071</v>
      </c>
      <c r="F47" s="10"/>
      <c r="G47" s="6">
        <v>3</v>
      </c>
      <c r="H47" s="6" t="s">
        <v>1072</v>
      </c>
      <c r="I47" s="15">
        <v>661</v>
      </c>
      <c r="J47" s="15">
        <v>0</v>
      </c>
      <c r="K47" s="10" t="s">
        <v>916</v>
      </c>
      <c r="L47" s="6" t="str">
        <f t="shared" si="4"/>
        <v>Pass</v>
      </c>
      <c r="M47" s="19" t="s">
        <v>911</v>
      </c>
      <c r="N47" s="6" t="str">
        <f>IF(I47&gt;='Selection Criteria'!$C$25,"Pass","Fail")</f>
        <v>Pass</v>
      </c>
      <c r="O47" s="19" t="s">
        <v>911</v>
      </c>
      <c r="P47" s="14" t="str">
        <f t="shared" si="5"/>
        <v>Pass</v>
      </c>
      <c r="Q47" s="14" t="str">
        <f>INDEX('Hero Segmentation'!$Q$5:$Q$80,MATCH($A47,'Hero Segmentation'!$A$5:$A$80,0))</f>
        <v>Hero</v>
      </c>
      <c r="R47" s="19">
        <v>3</v>
      </c>
      <c r="S47" s="19">
        <v>4</v>
      </c>
      <c r="T47" s="19">
        <v>3</v>
      </c>
      <c r="U47" s="19">
        <v>5</v>
      </c>
      <c r="V47" s="19">
        <v>3</v>
      </c>
      <c r="W47" s="19">
        <v>3</v>
      </c>
      <c r="X47" s="19">
        <v>3</v>
      </c>
      <c r="Y47" s="19">
        <v>2</v>
      </c>
      <c r="Z47" s="23">
        <f>IF(P47="Pass",(R47*'Selection Criteria'!$F$13+S47*'Selection Criteria'!$F$14+T47*'Selection Criteria'!$F$15+U47*'Selection Criteria'!$F$16+V47*'Selection Criteria'!$F$17+W47*'Selection Criteria'!$F$18+X47*'Selection Criteria'!$F$19+Y47*'Selection Criteria'!$F$20)/(5*'Selection Criteria'!$F$21)*100,"-")</f>
        <v>67</v>
      </c>
      <c r="AA47" s="6">
        <f t="shared" si="6"/>
        <v>12</v>
      </c>
      <c r="AB47" s="14" t="str">
        <f>IF(P47&lt;&gt;"Pass","Parked (gate)",IF(AC47="PROTECT","Protect (control)",IF(AA47&lt;=IF(Q47="Hero",'Hero Criteria'!$C$38,IF(Q47="Probable Hero",'Hero Criteria'!$C$39,'Hero Criteria'!$C$40)),"Recommended",IF(AA47&lt;=IF(Q47="Hero",'Hero Criteria'!$C$38,IF(Q47="Probable Hero",'Hero Criteria'!$C$39,'Hero Criteria'!$C$40))+'Hero Criteria'!$C$41,"Reserve","Backlog"))))</f>
        <v>Backlog</v>
      </c>
      <c r="AC47" s="6" t="str">
        <f>INDEX('Hero Segmentation'!$R$5:$R$80,MATCH($A47,'Hero Segmentation'!$A$5:$A$80,0))</f>
        <v>EXTEND</v>
      </c>
      <c r="AD47" s="6" t="str">
        <f>IF(AND(AB47="Recommended",J47&gt;='Selection Criteria'!$C$26),"Yes","")</f>
        <v/>
      </c>
      <c r="AE47" s="10" t="str">
        <f>IFERROR(INDEX('Primary Competitor Fit'!$D$5:$D$91,MATCH($A47&amp;"|Primary 1",'Primary Competitor Fit'!$M$5:$M$91,0)),"Amazon")</f>
        <v>Amazon</v>
      </c>
      <c r="AF47" s="10" t="str">
        <f>IFERROR(INDEX('Primary Competitor Fit'!$D$5:$D$91,MATCH($A47&amp;"|Primary 2",'Primary Competitor Fit'!$M$5:$M$91,0)),"Wayfair")</f>
        <v>Wayfair</v>
      </c>
      <c r="AG47" s="10" t="str">
        <f>IFERROR(INDEX('Secondary Competitor Fit'!$D$5:$D$98,MATCH($A47&amp;"|Secondary 1",'Secondary Competitor Fit'!$M$5:$M$98,0)),"-")</f>
        <v>-</v>
      </c>
      <c r="AH47" s="10" t="str">
        <f>IFERROR(INDEX('Secondary Competitor Fit'!$D$5:$D$98,MATCH($A47&amp;"|Secondary 2",'Secondary Competitor Fit'!$M$5:$M$98,0)),"-")</f>
        <v>-</v>
      </c>
      <c r="AI47" s="10" t="s">
        <v>1073</v>
      </c>
      <c r="AJ47" s="24">
        <f t="shared" si="7"/>
        <v>67.052999999999997</v>
      </c>
    </row>
    <row r="48" spans="1:36" ht="26.4" x14ac:dyDescent="0.3">
      <c r="A48" s="6" t="s">
        <v>1074</v>
      </c>
      <c r="B48" s="10" t="s">
        <v>74</v>
      </c>
      <c r="C48" s="10" t="s">
        <v>923</v>
      </c>
      <c r="D48" s="10" t="s">
        <v>1049</v>
      </c>
      <c r="E48" s="10" t="s">
        <v>1075</v>
      </c>
      <c r="F48" s="10"/>
      <c r="G48" s="6">
        <v>3</v>
      </c>
      <c r="H48" s="6" t="s">
        <v>268</v>
      </c>
      <c r="I48" s="15">
        <v>152</v>
      </c>
      <c r="J48" s="15">
        <v>0</v>
      </c>
      <c r="K48" s="10" t="s">
        <v>916</v>
      </c>
      <c r="L48" s="6" t="str">
        <f t="shared" si="4"/>
        <v>Pass</v>
      </c>
      <c r="M48" s="19" t="s">
        <v>911</v>
      </c>
      <c r="N48" s="6" t="str">
        <f>IF(I48&gt;='Selection Criteria'!$C$25,"Pass","Fail")</f>
        <v>Pass</v>
      </c>
      <c r="O48" s="19" t="s">
        <v>911</v>
      </c>
      <c r="P48" s="14" t="str">
        <f t="shared" si="5"/>
        <v>Pass</v>
      </c>
      <c r="Q48" s="14" t="str">
        <f>INDEX('Hero Segmentation'!$Q$5:$Q$80,MATCH($A48,'Hero Segmentation'!$A$5:$A$80,0))</f>
        <v>Non-Hero</v>
      </c>
      <c r="R48" s="19">
        <v>4</v>
      </c>
      <c r="S48" s="19">
        <v>4</v>
      </c>
      <c r="T48" s="19">
        <v>4</v>
      </c>
      <c r="U48" s="19">
        <v>4</v>
      </c>
      <c r="V48" s="19">
        <v>1</v>
      </c>
      <c r="W48" s="19">
        <v>3</v>
      </c>
      <c r="X48" s="19">
        <v>3</v>
      </c>
      <c r="Y48" s="19">
        <v>2</v>
      </c>
      <c r="Z48" s="23">
        <f>IF(P48="Pass",(R48*'Selection Criteria'!$F$13+S48*'Selection Criteria'!$F$14+T48*'Selection Criteria'!$F$15+U48*'Selection Criteria'!$F$16+V48*'Selection Criteria'!$F$17+W48*'Selection Criteria'!$F$18+X48*'Selection Criteria'!$F$19+Y48*'Selection Criteria'!$F$20)/(5*'Selection Criteria'!$F$21)*100,"-")</f>
        <v>67</v>
      </c>
      <c r="AA48" s="6">
        <f t="shared" si="6"/>
        <v>5</v>
      </c>
      <c r="AB48" s="14" t="str">
        <f>IF(P48&lt;&gt;"Pass","Parked (gate)",IF(AC48="PROTECT","Protect (control)",IF(AA48&lt;=IF(Q48="Hero",'Hero Criteria'!$C$38,IF(Q48="Probable Hero",'Hero Criteria'!$C$39,'Hero Criteria'!$C$40)),"Recommended",IF(AA48&lt;=IF(Q48="Hero",'Hero Criteria'!$C$38,IF(Q48="Probable Hero",'Hero Criteria'!$C$39,'Hero Criteria'!$C$40))+'Hero Criteria'!$C$41,"Reserve","Backlog"))))</f>
        <v>Recommended</v>
      </c>
      <c r="AC48" s="6" t="str">
        <f>INDEX('Hero Segmentation'!$R$5:$R$80,MATCH($A48,'Hero Segmentation'!$A$5:$A$80,0))</f>
        <v>EXPLORE</v>
      </c>
      <c r="AD48" s="6" t="str">
        <f>IF(AND(AB48="Recommended",J48&gt;='Selection Criteria'!$C$26),"Yes","")</f>
        <v/>
      </c>
      <c r="AE48" s="10" t="str">
        <f>IFERROR(INDEX('Primary Competitor Fit'!$D$5:$D$91,MATCH($A48&amp;"|Primary 1",'Primary Competitor Fit'!$M$5:$M$91,0)),"Wayfair")</f>
        <v>Wayfair</v>
      </c>
      <c r="AF48" s="10" t="str">
        <f>IFERROR(INDEX('Primary Competitor Fit'!$D$5:$D$91,MATCH($A48&amp;"|Primary 2",'Primary Competitor Fit'!$M$5:$M$91,0)),"Amazon")</f>
        <v>Amazon</v>
      </c>
      <c r="AG48" s="10" t="str">
        <f>IFERROR(INDEX('Secondary Competitor Fit'!$D$5:$D$98,MATCH($A48&amp;"|Secondary 1",'Secondary Competitor Fit'!$M$5:$M$98,0)),"-")</f>
        <v>Felt Right</v>
      </c>
      <c r="AH48" s="10" t="str">
        <f>IFERROR(INDEX('Secondary Competitor Fit'!$D$5:$D$98,MATCH($A48&amp;"|Secondary 2",'Secondary Competitor Fit'!$M$5:$M$98,0)),"-")</f>
        <v>Anthropologie</v>
      </c>
      <c r="AI48" s="10" t="s">
        <v>1076</v>
      </c>
      <c r="AJ48" s="24">
        <f t="shared" si="7"/>
        <v>67.044000000000011</v>
      </c>
    </row>
    <row r="49" spans="1:36" ht="26.4" x14ac:dyDescent="0.3">
      <c r="A49" s="6" t="s">
        <v>1077</v>
      </c>
      <c r="B49" s="10" t="s">
        <v>1078</v>
      </c>
      <c r="C49" s="10" t="s">
        <v>1079</v>
      </c>
      <c r="D49" s="10" t="s">
        <v>1080</v>
      </c>
      <c r="E49" s="10" t="s">
        <v>1081</v>
      </c>
      <c r="F49" s="10"/>
      <c r="G49" s="6">
        <v>3</v>
      </c>
      <c r="H49" s="6" t="s">
        <v>1082</v>
      </c>
      <c r="I49" s="15">
        <v>798</v>
      </c>
      <c r="J49" s="15">
        <v>0</v>
      </c>
      <c r="K49" s="10" t="s">
        <v>916</v>
      </c>
      <c r="L49" s="6" t="str">
        <f t="shared" si="4"/>
        <v>Pass</v>
      </c>
      <c r="M49" s="19" t="s">
        <v>911</v>
      </c>
      <c r="N49" s="6" t="str">
        <f>IF(I49&gt;='Selection Criteria'!$C$25,"Pass","Fail")</f>
        <v>Pass</v>
      </c>
      <c r="O49" s="19" t="s">
        <v>911</v>
      </c>
      <c r="P49" s="14" t="str">
        <f t="shared" si="5"/>
        <v>Pass</v>
      </c>
      <c r="Q49" s="14" t="str">
        <f>INDEX('Hero Segmentation'!$Q$5:$Q$80,MATCH($A49,'Hero Segmentation'!$A$5:$A$80,0))</f>
        <v>Hero</v>
      </c>
      <c r="R49" s="19">
        <v>4</v>
      </c>
      <c r="S49" s="19">
        <v>4</v>
      </c>
      <c r="T49" s="19">
        <v>3</v>
      </c>
      <c r="U49" s="19">
        <v>4</v>
      </c>
      <c r="V49" s="19">
        <v>3</v>
      </c>
      <c r="W49" s="19">
        <v>3</v>
      </c>
      <c r="X49" s="19">
        <v>2</v>
      </c>
      <c r="Y49" s="19">
        <v>2</v>
      </c>
      <c r="Z49" s="23">
        <f>IF(P49="Pass",(R49*'Selection Criteria'!$F$13+S49*'Selection Criteria'!$F$14+T49*'Selection Criteria'!$F$15+U49*'Selection Criteria'!$F$16+V49*'Selection Criteria'!$F$17+W49*'Selection Criteria'!$F$18+X49*'Selection Criteria'!$F$19+Y49*'Selection Criteria'!$F$20)/(5*'Selection Criteria'!$F$21)*100,"-")</f>
        <v>67</v>
      </c>
      <c r="AA49" s="6">
        <f t="shared" si="6"/>
        <v>14</v>
      </c>
      <c r="AB49" s="14" t="str">
        <f>IF(P49&lt;&gt;"Pass","Parked (gate)",IF(AC49="PROTECT","Protect (control)",IF(AA49&lt;=IF(Q49="Hero",'Hero Criteria'!$C$38,IF(Q49="Probable Hero",'Hero Criteria'!$C$39,'Hero Criteria'!$C$40)),"Recommended",IF(AA49&lt;=IF(Q49="Hero",'Hero Criteria'!$C$38,IF(Q49="Probable Hero",'Hero Criteria'!$C$39,'Hero Criteria'!$C$40))+'Hero Criteria'!$C$41,"Reserve","Backlog"))))</f>
        <v>Backlog</v>
      </c>
      <c r="AC49" s="6" t="str">
        <f>INDEX('Hero Segmentation'!$R$5:$R$80,MATCH($A49,'Hero Segmentation'!$A$5:$A$80,0))</f>
        <v>EXTEND</v>
      </c>
      <c r="AD49" s="6" t="str">
        <f>IF(AND(AB49="Recommended",J49&gt;='Selection Criteria'!$C$26),"Yes","")</f>
        <v/>
      </c>
      <c r="AE49" s="10" t="str">
        <f>IFERROR(INDEX('Primary Competitor Fit'!$D$5:$D$91,MATCH($A49&amp;"|Primary 1",'Primary Competitor Fit'!$M$5:$M$91,0)),"Wayfair")</f>
        <v>Wayfair</v>
      </c>
      <c r="AF49" s="10" t="str">
        <f>IFERROR(INDEX('Primary Competitor Fit'!$D$5:$D$91,MATCH($A49&amp;"|Primary 2",'Primary Competitor Fit'!$M$5:$M$91,0)),"Target")</f>
        <v>Target</v>
      </c>
      <c r="AG49" s="10" t="str">
        <f>IFERROR(INDEX('Secondary Competitor Fit'!$D$5:$D$98,MATCH($A49&amp;"|Secondary 1",'Secondary Competitor Fit'!$M$5:$M$98,0)),"-")</f>
        <v>-</v>
      </c>
      <c r="AH49" s="10" t="str">
        <f>IFERROR(INDEX('Secondary Competitor Fit'!$D$5:$D$98,MATCH($A49&amp;"|Secondary 2",'Secondary Competitor Fit'!$M$5:$M$98,0)),"-")</f>
        <v>-</v>
      </c>
      <c r="AI49" s="10" t="s">
        <v>1083</v>
      </c>
      <c r="AJ49" s="24">
        <f t="shared" si="7"/>
        <v>67.044000000000011</v>
      </c>
    </row>
    <row r="50" spans="1:36" ht="26.4" x14ac:dyDescent="0.3">
      <c r="A50" s="6" t="s">
        <v>1084</v>
      </c>
      <c r="B50" s="10" t="s">
        <v>1085</v>
      </c>
      <c r="C50" s="10" t="s">
        <v>944</v>
      </c>
      <c r="D50" s="10" t="s">
        <v>945</v>
      </c>
      <c r="E50" s="10" t="s">
        <v>1086</v>
      </c>
      <c r="F50" s="10"/>
      <c r="G50" s="6">
        <v>3</v>
      </c>
      <c r="H50" s="6" t="s">
        <v>1087</v>
      </c>
      <c r="I50" s="15">
        <v>284</v>
      </c>
      <c r="J50" s="15">
        <v>0</v>
      </c>
      <c r="K50" s="10" t="s">
        <v>916</v>
      </c>
      <c r="L50" s="6" t="str">
        <f t="shared" si="4"/>
        <v>Pass</v>
      </c>
      <c r="M50" s="19" t="s">
        <v>911</v>
      </c>
      <c r="N50" s="6" t="str">
        <f>IF(I50&gt;='Selection Criteria'!$C$25,"Pass","Fail")</f>
        <v>Pass</v>
      </c>
      <c r="O50" s="19" t="s">
        <v>911</v>
      </c>
      <c r="P50" s="14" t="str">
        <f t="shared" si="5"/>
        <v>Pass</v>
      </c>
      <c r="Q50" s="14" t="str">
        <f>INDEX('Hero Segmentation'!$Q$5:$Q$80,MATCH($A50,'Hero Segmentation'!$A$5:$A$80,0))</f>
        <v>Hero</v>
      </c>
      <c r="R50" s="19">
        <v>3</v>
      </c>
      <c r="S50" s="19">
        <v>3</v>
      </c>
      <c r="T50" s="19">
        <v>3</v>
      </c>
      <c r="U50" s="19">
        <v>5</v>
      </c>
      <c r="V50" s="19">
        <v>4</v>
      </c>
      <c r="W50" s="19">
        <v>3</v>
      </c>
      <c r="X50" s="19">
        <v>4</v>
      </c>
      <c r="Y50" s="19">
        <v>2</v>
      </c>
      <c r="Z50" s="23">
        <f>IF(P50="Pass",(R50*'Selection Criteria'!$F$13+S50*'Selection Criteria'!$F$14+T50*'Selection Criteria'!$F$15+U50*'Selection Criteria'!$F$16+V50*'Selection Criteria'!$F$17+W50*'Selection Criteria'!$F$18+X50*'Selection Criteria'!$F$19+Y50*'Selection Criteria'!$F$20)/(5*'Selection Criteria'!$F$21)*100,"-")</f>
        <v>67</v>
      </c>
      <c r="AA50" s="6">
        <f t="shared" si="6"/>
        <v>12</v>
      </c>
      <c r="AB50" s="14" t="str">
        <f>IF(P50&lt;&gt;"Pass","Parked (gate)",IF(AC50="PROTECT","Protect (control)",IF(AA50&lt;=IF(Q50="Hero",'Hero Criteria'!$C$38,IF(Q50="Probable Hero",'Hero Criteria'!$C$39,'Hero Criteria'!$C$40)),"Recommended",IF(AA50&lt;=IF(Q50="Hero",'Hero Criteria'!$C$38,IF(Q50="Probable Hero",'Hero Criteria'!$C$39,'Hero Criteria'!$C$40))+'Hero Criteria'!$C$41,"Reserve","Backlog"))))</f>
        <v>Backlog</v>
      </c>
      <c r="AC50" s="6" t="str">
        <f>INDEX('Hero Segmentation'!$R$5:$R$80,MATCH($A50,'Hero Segmentation'!$A$5:$A$80,0))</f>
        <v>EXTEND</v>
      </c>
      <c r="AD50" s="6" t="str">
        <f>IF(AND(AB50="Recommended",J50&gt;='Selection Criteria'!$C$26),"Yes","")</f>
        <v/>
      </c>
      <c r="AE50" s="10" t="str">
        <f>IFERROR(INDEX('Primary Competitor Fit'!$D$5:$D$91,MATCH($A50&amp;"|Primary 1",'Primary Competitor Fit'!$M$5:$M$91,0)),"Amazon")</f>
        <v>Amazon</v>
      </c>
      <c r="AF50" s="10" t="str">
        <f>IFERROR(INDEX('Primary Competitor Fit'!$D$5:$D$91,MATCH($A50&amp;"|Primary 2",'Primary Competitor Fit'!$M$5:$M$91,0)),"Oriental Trading")</f>
        <v>Oriental Trading</v>
      </c>
      <c r="AG50" s="10" t="str">
        <f>IFERROR(INDEX('Secondary Competitor Fit'!$D$5:$D$98,MATCH($A50&amp;"|Secondary 1",'Secondary Competitor Fit'!$M$5:$M$98,0)),"-")</f>
        <v>-</v>
      </c>
      <c r="AH50" s="10" t="str">
        <f>IFERROR(INDEX('Secondary Competitor Fit'!$D$5:$D$98,MATCH($A50&amp;"|Secondary 2",'Secondary Competitor Fit'!$M$5:$M$98,0)),"-")</f>
        <v>-</v>
      </c>
      <c r="AI50" s="10" t="s">
        <v>1088</v>
      </c>
      <c r="AJ50" s="24">
        <f t="shared" si="7"/>
        <v>67.052999999999997</v>
      </c>
    </row>
    <row r="51" spans="1:36" ht="26.4" x14ac:dyDescent="0.3">
      <c r="A51" s="6" t="s">
        <v>753</v>
      </c>
      <c r="B51" s="10" t="s">
        <v>754</v>
      </c>
      <c r="C51" s="10" t="s">
        <v>1089</v>
      </c>
      <c r="D51" s="10" t="s">
        <v>668</v>
      </c>
      <c r="E51" s="10" t="s">
        <v>1090</v>
      </c>
      <c r="F51" s="10" t="s">
        <v>1090</v>
      </c>
      <c r="G51" s="6">
        <v>4</v>
      </c>
      <c r="H51" s="6" t="s">
        <v>755</v>
      </c>
      <c r="I51" s="15">
        <v>43</v>
      </c>
      <c r="J51" s="15">
        <v>40</v>
      </c>
      <c r="K51" s="10" t="s">
        <v>1091</v>
      </c>
      <c r="L51" s="6" t="str">
        <f t="shared" si="4"/>
        <v>Pass</v>
      </c>
      <c r="M51" s="19" t="s">
        <v>911</v>
      </c>
      <c r="N51" s="6" t="str">
        <f>IF(I51&gt;='Selection Criteria'!$C$25,"Pass","Fail")</f>
        <v>Pass</v>
      </c>
      <c r="O51" s="19" t="s">
        <v>911</v>
      </c>
      <c r="P51" s="14" t="str">
        <f t="shared" si="5"/>
        <v>Pass</v>
      </c>
      <c r="Q51" s="14" t="str">
        <f>INDEX('Hero Segmentation'!$Q$5:$Q$80,MATCH($A51,'Hero Segmentation'!$A$5:$A$80,0))</f>
        <v>Probable Hero</v>
      </c>
      <c r="R51" s="19">
        <v>3</v>
      </c>
      <c r="S51" s="19">
        <v>5</v>
      </c>
      <c r="T51" s="19">
        <v>5</v>
      </c>
      <c r="U51" s="19">
        <v>3</v>
      </c>
      <c r="V51" s="19">
        <v>1</v>
      </c>
      <c r="W51" s="19">
        <v>3</v>
      </c>
      <c r="X51" s="19">
        <v>4</v>
      </c>
      <c r="Y51" s="19">
        <v>2</v>
      </c>
      <c r="Z51" s="23">
        <f>IF(P51="Pass",(R51*'Selection Criteria'!$F$13+S51*'Selection Criteria'!$F$14+T51*'Selection Criteria'!$F$15+U51*'Selection Criteria'!$F$16+V51*'Selection Criteria'!$F$17+W51*'Selection Criteria'!$F$18+X51*'Selection Criteria'!$F$19+Y51*'Selection Criteria'!$F$20)/(5*'Selection Criteria'!$F$21)*100,"-")</f>
        <v>67</v>
      </c>
      <c r="AA51" s="6">
        <f t="shared" si="6"/>
        <v>27</v>
      </c>
      <c r="AB51" s="14" t="str">
        <f>IF(P51&lt;&gt;"Pass","Parked (gate)",IF(AC51="PROTECT","Protect (control)",IF(AA51&lt;=IF(Q51="Hero",'Hero Criteria'!$C$38,IF(Q51="Probable Hero",'Hero Criteria'!$C$39,'Hero Criteria'!$C$40)),"Recommended",IF(AA51&lt;=IF(Q51="Hero",'Hero Criteria'!$C$38,IF(Q51="Probable Hero",'Hero Criteria'!$C$39,'Hero Criteria'!$C$40))+'Hero Criteria'!$C$41,"Reserve","Backlog"))))</f>
        <v>Backlog</v>
      </c>
      <c r="AC51" s="6" t="str">
        <f>INDEX('Hero Segmentation'!$R$5:$R$80,MATCH($A51,'Hero Segmentation'!$A$5:$A$80,0))</f>
        <v>BUILD</v>
      </c>
      <c r="AD51" s="6" t="str">
        <f>IF(AND(AB51="Recommended",J51&gt;='Selection Criteria'!$C$26),"Yes","")</f>
        <v/>
      </c>
      <c r="AE51" s="10" t="str">
        <f>IFERROR(INDEX('Primary Competitor Fit'!$D$5:$D$91,MATCH($A51&amp;"|Primary 1",'Primary Competitor Fit'!$M$5:$M$91,0)),"Amazon")</f>
        <v>Amazon</v>
      </c>
      <c r="AF51" s="10" t="str">
        <f>IFERROR(INDEX('Primary Competitor Fit'!$D$5:$D$91,MATCH($A51&amp;"|Primary 2",'Primary Competitor Fit'!$M$5:$M$91,0)),"Dick's Sporting Goods")</f>
        <v>Dick's Sporting Goods</v>
      </c>
      <c r="AG51" s="10" t="str">
        <f>IFERROR(INDEX('Secondary Competitor Fit'!$D$5:$D$98,MATCH($A51&amp;"|Secondary 1",'Secondary Competitor Fit'!$M$5:$M$98,0)),"-")</f>
        <v>-</v>
      </c>
      <c r="AH51" s="10" t="str">
        <f>IFERROR(INDEX('Secondary Competitor Fit'!$D$5:$D$98,MATCH($A51&amp;"|Secondary 2",'Secondary Competitor Fit'!$M$5:$M$98,0)),"-")</f>
        <v>-</v>
      </c>
      <c r="AI51" s="10" t="s">
        <v>1092</v>
      </c>
      <c r="AJ51" s="24">
        <f t="shared" si="7"/>
        <v>67.033000000000001</v>
      </c>
    </row>
    <row r="52" spans="1:36" ht="26.4" x14ac:dyDescent="0.3">
      <c r="A52" s="6" t="s">
        <v>1093</v>
      </c>
      <c r="B52" s="10" t="s">
        <v>77</v>
      </c>
      <c r="C52" s="10" t="s">
        <v>918</v>
      </c>
      <c r="D52" s="10" t="s">
        <v>1038</v>
      </c>
      <c r="E52" s="10" t="s">
        <v>1094</v>
      </c>
      <c r="F52" s="10"/>
      <c r="G52" s="6">
        <v>3</v>
      </c>
      <c r="H52" s="6" t="s">
        <v>275</v>
      </c>
      <c r="I52" s="15">
        <v>55</v>
      </c>
      <c r="J52" s="15">
        <v>0</v>
      </c>
      <c r="K52" s="10" t="s">
        <v>916</v>
      </c>
      <c r="L52" s="6" t="str">
        <f t="shared" si="4"/>
        <v>Pass</v>
      </c>
      <c r="M52" s="19" t="s">
        <v>911</v>
      </c>
      <c r="N52" s="6" t="str">
        <f>IF(I52&gt;='Selection Criteria'!$C$25,"Pass","Fail")</f>
        <v>Pass</v>
      </c>
      <c r="O52" s="19" t="s">
        <v>911</v>
      </c>
      <c r="P52" s="14" t="str">
        <f t="shared" si="5"/>
        <v>Pass</v>
      </c>
      <c r="Q52" s="14" t="str">
        <f>INDEX('Hero Segmentation'!$Q$5:$Q$80,MATCH($A52,'Hero Segmentation'!$A$5:$A$80,0))</f>
        <v>Non-Hero</v>
      </c>
      <c r="R52" s="19">
        <v>4</v>
      </c>
      <c r="S52" s="19">
        <v>4</v>
      </c>
      <c r="T52" s="19">
        <v>4</v>
      </c>
      <c r="U52" s="19">
        <v>3</v>
      </c>
      <c r="V52" s="19">
        <v>4</v>
      </c>
      <c r="W52" s="19">
        <v>2</v>
      </c>
      <c r="X52" s="19">
        <v>2</v>
      </c>
      <c r="Y52" s="19">
        <v>2</v>
      </c>
      <c r="Z52" s="23">
        <f>IF(P52="Pass",(R52*'Selection Criteria'!$F$13+S52*'Selection Criteria'!$F$14+T52*'Selection Criteria'!$F$15+U52*'Selection Criteria'!$F$16+V52*'Selection Criteria'!$F$17+W52*'Selection Criteria'!$F$18+X52*'Selection Criteria'!$F$19+Y52*'Selection Criteria'!$F$20)/(5*'Selection Criteria'!$F$21)*100,"-")</f>
        <v>67</v>
      </c>
      <c r="AA52" s="6">
        <f t="shared" si="6"/>
        <v>6</v>
      </c>
      <c r="AB52" s="14" t="str">
        <f>IF(P52&lt;&gt;"Pass","Parked (gate)",IF(AC52="PROTECT","Protect (control)",IF(AA52&lt;=IF(Q52="Hero",'Hero Criteria'!$C$38,IF(Q52="Probable Hero",'Hero Criteria'!$C$39,'Hero Criteria'!$C$40)),"Recommended",IF(AA52&lt;=IF(Q52="Hero",'Hero Criteria'!$C$38,IF(Q52="Probable Hero",'Hero Criteria'!$C$39,'Hero Criteria'!$C$40))+'Hero Criteria'!$C$41,"Reserve","Backlog"))))</f>
        <v>Recommended</v>
      </c>
      <c r="AC52" s="6" t="str">
        <f>INDEX('Hero Segmentation'!$R$5:$R$80,MATCH($A52,'Hero Segmentation'!$A$5:$A$80,0))</f>
        <v>EXPLORE</v>
      </c>
      <c r="AD52" s="6" t="str">
        <f>IF(AND(AB52="Recommended",J52&gt;='Selection Criteria'!$C$26),"Yes","")</f>
        <v/>
      </c>
      <c r="AE52" s="10" t="str">
        <f>IFERROR(INDEX('Primary Competitor Fit'!$D$5:$D$91,MATCH($A52&amp;"|Primary 1",'Primary Competitor Fit'!$M$5:$M$91,0)),"Target")</f>
        <v>Amazon</v>
      </c>
      <c r="AF52" s="10" t="str">
        <f>IFERROR(INDEX('Primary Competitor Fit'!$D$5:$D$91,MATCH($A52&amp;"|Primary 2",'Primary Competitor Fit'!$M$5:$M$91,0)),"Amazon")</f>
        <v>Target</v>
      </c>
      <c r="AG52" s="10" t="str">
        <f>IFERROR(INDEX('Secondary Competitor Fit'!$D$5:$D$98,MATCH($A52&amp;"|Secondary 1",'Secondary Competitor Fit'!$M$5:$M$98,0)),"-")</f>
        <v>Fellow</v>
      </c>
      <c r="AH52" s="10" t="str">
        <f>IFERROR(INDEX('Secondary Competitor Fit'!$D$5:$D$98,MATCH($A52&amp;"|Secondary 2",'Secondary Competitor Fit'!$M$5:$M$98,0)),"-")</f>
        <v>Williams Sonoma</v>
      </c>
      <c r="AI52" s="10" t="s">
        <v>1095</v>
      </c>
      <c r="AJ52" s="24">
        <f t="shared" si="7"/>
        <v>67.034000000000006</v>
      </c>
    </row>
    <row r="53" spans="1:36" x14ac:dyDescent="0.3">
      <c r="A53" s="6" t="s">
        <v>1096</v>
      </c>
      <c r="B53" s="10" t="s">
        <v>350</v>
      </c>
      <c r="C53" s="10" t="s">
        <v>923</v>
      </c>
      <c r="D53" s="10" t="s">
        <v>964</v>
      </c>
      <c r="E53" s="10" t="s">
        <v>1097</v>
      </c>
      <c r="F53" s="10"/>
      <c r="G53" s="6">
        <v>3</v>
      </c>
      <c r="H53" s="6" t="s">
        <v>351</v>
      </c>
      <c r="I53" s="15">
        <v>46</v>
      </c>
      <c r="J53" s="15">
        <v>0</v>
      </c>
      <c r="K53" s="10" t="s">
        <v>916</v>
      </c>
      <c r="L53" s="6" t="str">
        <f t="shared" si="4"/>
        <v>Pass</v>
      </c>
      <c r="M53" s="19" t="s">
        <v>911</v>
      </c>
      <c r="N53" s="6" t="str">
        <f>IF(I53&gt;='Selection Criteria'!$C$25,"Pass","Fail")</f>
        <v>Pass</v>
      </c>
      <c r="O53" s="19" t="s">
        <v>911</v>
      </c>
      <c r="P53" s="14" t="str">
        <f t="shared" si="5"/>
        <v>Pass</v>
      </c>
      <c r="Q53" s="14" t="str">
        <f>INDEX('Hero Segmentation'!$Q$5:$Q$80,MATCH($A53,'Hero Segmentation'!$A$5:$A$80,0))</f>
        <v>Non-Hero</v>
      </c>
      <c r="R53" s="19">
        <v>4</v>
      </c>
      <c r="S53" s="19">
        <v>4</v>
      </c>
      <c r="T53" s="19">
        <v>5</v>
      </c>
      <c r="U53" s="19">
        <v>2</v>
      </c>
      <c r="V53" s="19">
        <v>5</v>
      </c>
      <c r="W53" s="19">
        <v>1</v>
      </c>
      <c r="X53" s="19">
        <v>2</v>
      </c>
      <c r="Y53" s="19">
        <v>2</v>
      </c>
      <c r="Z53" s="23">
        <f>IF(P53="Pass",(R53*'Selection Criteria'!$F$13+S53*'Selection Criteria'!$F$14+T53*'Selection Criteria'!$F$15+U53*'Selection Criteria'!$F$16+V53*'Selection Criteria'!$F$17+W53*'Selection Criteria'!$F$18+X53*'Selection Criteria'!$F$19+Y53*'Selection Criteria'!$F$20)/(5*'Selection Criteria'!$F$21)*100,"-")</f>
        <v>67</v>
      </c>
      <c r="AA53" s="6">
        <f t="shared" si="6"/>
        <v>7</v>
      </c>
      <c r="AB53" s="14" t="str">
        <f>IF(P53&lt;&gt;"Pass","Parked (gate)",IF(AC53="PROTECT","Protect (control)",IF(AA53&lt;=IF(Q53="Hero",'Hero Criteria'!$C$38,IF(Q53="Probable Hero",'Hero Criteria'!$C$39,'Hero Criteria'!$C$40)),"Recommended",IF(AA53&lt;=IF(Q53="Hero",'Hero Criteria'!$C$38,IF(Q53="Probable Hero",'Hero Criteria'!$C$39,'Hero Criteria'!$C$40))+'Hero Criteria'!$C$41,"Reserve","Backlog"))))</f>
        <v>Reserve</v>
      </c>
      <c r="AC53" s="6" t="str">
        <f>INDEX('Hero Segmentation'!$R$5:$R$80,MATCH($A53,'Hero Segmentation'!$A$5:$A$80,0))</f>
        <v>EXPLORE</v>
      </c>
      <c r="AD53" s="6" t="str">
        <f>IF(AND(AB53="Recommended",J53&gt;='Selection Criteria'!$C$26),"Yes","")</f>
        <v/>
      </c>
      <c r="AE53" s="10" t="str">
        <f>IFERROR(INDEX('Primary Competitor Fit'!$D$5:$D$91,MATCH($A53&amp;"|Primary 1",'Primary Competitor Fit'!$M$5:$M$91,0)),"Target")</f>
        <v>Target</v>
      </c>
      <c r="AF53" s="10" t="str">
        <f>IFERROR(INDEX('Primary Competitor Fit'!$D$5:$D$91,MATCH($A53&amp;"|Primary 2",'Primary Competitor Fit'!$M$5:$M$91,0)),"Amazon")</f>
        <v>Amazon</v>
      </c>
      <c r="AG53" s="10" t="str">
        <f>IFERROR(INDEX('Secondary Competitor Fit'!$D$5:$D$98,MATCH($A53&amp;"|Secondary 1",'Secondary Competitor Fit'!$M$5:$M$98,0)),"-")</f>
        <v>Vitruvi</v>
      </c>
      <c r="AH53" s="10" t="str">
        <f>IFERROR(INDEX('Secondary Competitor Fit'!$D$5:$D$98,MATCH($A53&amp;"|Secondary 2",'Secondary Competitor Fit'!$M$5:$M$98,0)),"-")</f>
        <v>Anthropologie</v>
      </c>
      <c r="AI53" s="10" t="s">
        <v>1098</v>
      </c>
      <c r="AJ53" s="24">
        <f t="shared" si="7"/>
        <v>67.024000000000001</v>
      </c>
    </row>
    <row r="54" spans="1:36" ht="26.4" x14ac:dyDescent="0.3">
      <c r="A54" s="6" t="s">
        <v>735</v>
      </c>
      <c r="B54" s="10" t="s">
        <v>736</v>
      </c>
      <c r="C54" s="10" t="s">
        <v>923</v>
      </c>
      <c r="D54" s="10" t="s">
        <v>647</v>
      </c>
      <c r="E54" s="10" t="s">
        <v>1099</v>
      </c>
      <c r="F54" s="10"/>
      <c r="G54" s="6">
        <v>3</v>
      </c>
      <c r="H54" s="6" t="s">
        <v>737</v>
      </c>
      <c r="I54" s="15">
        <v>576</v>
      </c>
      <c r="J54" s="15">
        <v>395</v>
      </c>
      <c r="K54" s="10" t="s">
        <v>958</v>
      </c>
      <c r="L54" s="6" t="str">
        <f t="shared" si="4"/>
        <v>Pass</v>
      </c>
      <c r="M54" s="19" t="s">
        <v>911</v>
      </c>
      <c r="N54" s="6" t="str">
        <f>IF(I54&gt;='Selection Criteria'!$C$25,"Pass","Fail")</f>
        <v>Pass</v>
      </c>
      <c r="O54" s="19" t="s">
        <v>911</v>
      </c>
      <c r="P54" s="14" t="str">
        <f t="shared" si="5"/>
        <v>Pass</v>
      </c>
      <c r="Q54" s="14" t="str">
        <f>INDEX('Hero Segmentation'!$Q$5:$Q$80,MATCH($A54,'Hero Segmentation'!$A$5:$A$80,0))</f>
        <v>Hero</v>
      </c>
      <c r="R54" s="19">
        <v>3</v>
      </c>
      <c r="S54" s="19">
        <v>4</v>
      </c>
      <c r="T54" s="19">
        <v>2</v>
      </c>
      <c r="U54" s="19">
        <v>5</v>
      </c>
      <c r="V54" s="19">
        <v>1</v>
      </c>
      <c r="W54" s="19">
        <v>4</v>
      </c>
      <c r="X54" s="19">
        <v>3</v>
      </c>
      <c r="Y54" s="19">
        <v>4</v>
      </c>
      <c r="Z54" s="23">
        <f>IF(P54="Pass",(R54*'Selection Criteria'!$F$13+S54*'Selection Criteria'!$F$14+T54*'Selection Criteria'!$F$15+U54*'Selection Criteria'!$F$16+V54*'Selection Criteria'!$F$17+W54*'Selection Criteria'!$F$18+X54*'Selection Criteria'!$F$19+Y54*'Selection Criteria'!$F$20)/(5*'Selection Criteria'!$F$21)*100,"-")</f>
        <v>66</v>
      </c>
      <c r="AA54" s="6" t="str">
        <f t="shared" si="6"/>
        <v>-</v>
      </c>
      <c r="AB54" s="14" t="str">
        <f>IF(P54&lt;&gt;"Pass","Parked (gate)",IF(AC54="PROTECT","Protect (control)",IF(AA54&lt;=IF(Q54="Hero",'Hero Criteria'!$C$38,IF(Q54="Probable Hero",'Hero Criteria'!$C$39,'Hero Criteria'!$C$40)),"Recommended",IF(AA54&lt;=IF(Q54="Hero",'Hero Criteria'!$C$38,IF(Q54="Probable Hero",'Hero Criteria'!$C$39,'Hero Criteria'!$C$40))+'Hero Criteria'!$C$41,"Reserve","Backlog"))))</f>
        <v>Protect (control)</v>
      </c>
      <c r="AC54" s="6" t="str">
        <f>INDEX('Hero Segmentation'!$R$5:$R$80,MATCH($A54,'Hero Segmentation'!$A$5:$A$80,0))</f>
        <v>PROTECT</v>
      </c>
      <c r="AD54" s="6" t="str">
        <f>IF(AND(AB54="Recommended",J54&gt;='Selection Criteria'!$C$26),"Yes","")</f>
        <v/>
      </c>
      <c r="AE54" s="10" t="str">
        <f>IFERROR(INDEX('Primary Competitor Fit'!$D$5:$D$91,MATCH($A54&amp;"|Primary 1",'Primary Competitor Fit'!$M$5:$M$91,0)),"Amazon")</f>
        <v>Amazon</v>
      </c>
      <c r="AF54" s="10" t="str">
        <f>IFERROR(INDEX('Primary Competitor Fit'!$D$5:$D$91,MATCH($A54&amp;"|Primary 2",'Primary Competitor Fit'!$M$5:$M$91,0)),"Wayfair")</f>
        <v>Wayfair</v>
      </c>
      <c r="AG54" s="10" t="str">
        <f>IFERROR(INDEX('Secondary Competitor Fit'!$D$5:$D$98,MATCH($A54&amp;"|Secondary 1",'Secondary Competitor Fit'!$M$5:$M$98,0)),"-")</f>
        <v>-</v>
      </c>
      <c r="AH54" s="10" t="str">
        <f>IFERROR(INDEX('Secondary Competitor Fit'!$D$5:$D$98,MATCH($A54&amp;"|Secondary 2",'Secondary Competitor Fit'!$M$5:$M$98,0)),"-")</f>
        <v>-</v>
      </c>
      <c r="AI54" s="10" t="s">
        <v>1100</v>
      </c>
      <c r="AJ54" s="24">
        <f t="shared" si="7"/>
        <v>-1</v>
      </c>
    </row>
    <row r="55" spans="1:36" ht="26.4" x14ac:dyDescent="0.3">
      <c r="A55" s="6" t="s">
        <v>1101</v>
      </c>
      <c r="B55" s="10" t="s">
        <v>1102</v>
      </c>
      <c r="C55" s="10" t="s">
        <v>995</v>
      </c>
      <c r="D55" s="10" t="s">
        <v>1103</v>
      </c>
      <c r="E55" s="10" t="s">
        <v>1104</v>
      </c>
      <c r="F55" s="10" t="s">
        <v>1105</v>
      </c>
      <c r="G55" s="6">
        <v>4</v>
      </c>
      <c r="H55" s="6" t="s">
        <v>1106</v>
      </c>
      <c r="I55" s="15">
        <v>53</v>
      </c>
      <c r="J55" s="15">
        <v>0</v>
      </c>
      <c r="K55" s="10" t="s">
        <v>916</v>
      </c>
      <c r="L55" s="6" t="str">
        <f t="shared" si="4"/>
        <v>Pass</v>
      </c>
      <c r="M55" s="19" t="s">
        <v>911</v>
      </c>
      <c r="N55" s="6" t="str">
        <f>IF(I55&gt;='Selection Criteria'!$C$25,"Pass","Fail")</f>
        <v>Pass</v>
      </c>
      <c r="O55" s="19" t="s">
        <v>911</v>
      </c>
      <c r="P55" s="14" t="str">
        <f t="shared" si="5"/>
        <v>Pass</v>
      </c>
      <c r="Q55" s="14" t="str">
        <f>INDEX('Hero Segmentation'!$Q$5:$Q$80,MATCH($A55,'Hero Segmentation'!$A$5:$A$80,0))</f>
        <v>Probable Hero</v>
      </c>
      <c r="R55" s="19">
        <v>3</v>
      </c>
      <c r="S55" s="19">
        <v>5</v>
      </c>
      <c r="T55" s="19">
        <v>5</v>
      </c>
      <c r="U55" s="19">
        <v>3</v>
      </c>
      <c r="V55" s="19">
        <v>3</v>
      </c>
      <c r="W55" s="19">
        <v>1</v>
      </c>
      <c r="X55" s="19">
        <v>3</v>
      </c>
      <c r="Y55" s="19">
        <v>2</v>
      </c>
      <c r="Z55" s="23">
        <f>IF(P55="Pass",(R55*'Selection Criteria'!$F$13+S55*'Selection Criteria'!$F$14+T55*'Selection Criteria'!$F$15+U55*'Selection Criteria'!$F$16+V55*'Selection Criteria'!$F$17+W55*'Selection Criteria'!$F$18+X55*'Selection Criteria'!$F$19+Y55*'Selection Criteria'!$F$20)/(5*'Selection Criteria'!$F$21)*100,"-")</f>
        <v>66</v>
      </c>
      <c r="AA55" s="6">
        <f t="shared" si="6"/>
        <v>29</v>
      </c>
      <c r="AB55" s="14" t="str">
        <f>IF(P55&lt;&gt;"Pass","Parked (gate)",IF(AC55="PROTECT","Protect (control)",IF(AA55&lt;=IF(Q55="Hero",'Hero Criteria'!$C$38,IF(Q55="Probable Hero",'Hero Criteria'!$C$39,'Hero Criteria'!$C$40)),"Recommended",IF(AA55&lt;=IF(Q55="Hero",'Hero Criteria'!$C$38,IF(Q55="Probable Hero",'Hero Criteria'!$C$39,'Hero Criteria'!$C$40))+'Hero Criteria'!$C$41,"Reserve","Backlog"))))</f>
        <v>Backlog</v>
      </c>
      <c r="AC55" s="6" t="str">
        <f>INDEX('Hero Segmentation'!$R$5:$R$80,MATCH($A55,'Hero Segmentation'!$A$5:$A$80,0))</f>
        <v>BUILD</v>
      </c>
      <c r="AD55" s="6" t="str">
        <f>IF(AND(AB55="Recommended",J55&gt;='Selection Criteria'!$C$26),"Yes","")</f>
        <v/>
      </c>
      <c r="AE55" s="10" t="str">
        <f>IFERROR(INDEX('Primary Competitor Fit'!$D$5:$D$91,MATCH($A55&amp;"|Primary 1",'Primary Competitor Fit'!$M$5:$M$91,0)),"Amazon")</f>
        <v>Amazon</v>
      </c>
      <c r="AF55" s="10" t="str">
        <f>IFERROR(INDEX('Primary Competitor Fit'!$D$5:$D$91,MATCH($A55&amp;"|Primary 2",'Primary Competitor Fit'!$M$5:$M$91,0)),"Best Buy")</f>
        <v>Best Buy</v>
      </c>
      <c r="AG55" s="10" t="str">
        <f>IFERROR(INDEX('Secondary Competitor Fit'!$D$5:$D$98,MATCH($A55&amp;"|Secondary 1",'Secondary Competitor Fit'!$M$5:$M$98,0)),"-")</f>
        <v>-</v>
      </c>
      <c r="AH55" s="10" t="str">
        <f>IFERROR(INDEX('Secondary Competitor Fit'!$D$5:$D$98,MATCH($A55&amp;"|Secondary 2",'Secondary Competitor Fit'!$M$5:$M$98,0)),"-")</f>
        <v>-</v>
      </c>
      <c r="AI55" s="10" t="s">
        <v>1107</v>
      </c>
      <c r="AJ55" s="24">
        <f t="shared" si="7"/>
        <v>66.033000000000001</v>
      </c>
    </row>
    <row r="56" spans="1:36" ht="26.4" x14ac:dyDescent="0.3">
      <c r="A56" s="6" t="s">
        <v>1108</v>
      </c>
      <c r="B56" s="10" t="s">
        <v>361</v>
      </c>
      <c r="C56" s="10" t="s">
        <v>944</v>
      </c>
      <c r="D56" s="10" t="s">
        <v>945</v>
      </c>
      <c r="E56" s="10" t="s">
        <v>1109</v>
      </c>
      <c r="F56" s="10" t="s">
        <v>1110</v>
      </c>
      <c r="G56" s="6">
        <v>4</v>
      </c>
      <c r="H56" s="6" t="s">
        <v>362</v>
      </c>
      <c r="I56" s="15">
        <v>78</v>
      </c>
      <c r="J56" s="15">
        <v>0</v>
      </c>
      <c r="K56" s="10" t="s">
        <v>916</v>
      </c>
      <c r="L56" s="6" t="str">
        <f t="shared" si="4"/>
        <v>Pass</v>
      </c>
      <c r="M56" s="19" t="s">
        <v>911</v>
      </c>
      <c r="N56" s="6" t="str">
        <f>IF(I56&gt;='Selection Criteria'!$C$25,"Pass","Fail")</f>
        <v>Pass</v>
      </c>
      <c r="O56" s="19" t="s">
        <v>911</v>
      </c>
      <c r="P56" s="14" t="str">
        <f t="shared" si="5"/>
        <v>Pass</v>
      </c>
      <c r="Q56" s="14" t="str">
        <f>INDEX('Hero Segmentation'!$Q$5:$Q$80,MATCH($A56,'Hero Segmentation'!$A$5:$A$80,0))</f>
        <v>Non-Hero</v>
      </c>
      <c r="R56" s="19">
        <v>4</v>
      </c>
      <c r="S56" s="19">
        <v>5</v>
      </c>
      <c r="T56" s="19">
        <v>4</v>
      </c>
      <c r="U56" s="19">
        <v>2</v>
      </c>
      <c r="V56" s="19">
        <v>3</v>
      </c>
      <c r="W56" s="19">
        <v>2</v>
      </c>
      <c r="X56" s="19">
        <v>3</v>
      </c>
      <c r="Y56" s="19">
        <v>2</v>
      </c>
      <c r="Z56" s="23">
        <f>IF(P56="Pass",(R56*'Selection Criteria'!$F$13+S56*'Selection Criteria'!$F$14+T56*'Selection Criteria'!$F$15+U56*'Selection Criteria'!$F$16+V56*'Selection Criteria'!$F$17+W56*'Selection Criteria'!$F$18+X56*'Selection Criteria'!$F$19+Y56*'Selection Criteria'!$F$20)/(5*'Selection Criteria'!$F$21)*100,"-")</f>
        <v>66</v>
      </c>
      <c r="AA56" s="6">
        <f t="shared" si="6"/>
        <v>8</v>
      </c>
      <c r="AB56" s="14" t="str">
        <f>IF(P56&lt;&gt;"Pass","Parked (gate)",IF(AC56="PROTECT","Protect (control)",IF(AA56&lt;=IF(Q56="Hero",'Hero Criteria'!$C$38,IF(Q56="Probable Hero",'Hero Criteria'!$C$39,'Hero Criteria'!$C$40)),"Recommended",IF(AA56&lt;=IF(Q56="Hero",'Hero Criteria'!$C$38,IF(Q56="Probable Hero",'Hero Criteria'!$C$39,'Hero Criteria'!$C$40))+'Hero Criteria'!$C$41,"Reserve","Backlog"))))</f>
        <v>Reserve</v>
      </c>
      <c r="AC56" s="6" t="str">
        <f>INDEX('Hero Segmentation'!$R$5:$R$80,MATCH($A56,'Hero Segmentation'!$A$5:$A$80,0))</f>
        <v>EXPLORE</v>
      </c>
      <c r="AD56" s="6" t="str">
        <f>IF(AND(AB56="Recommended",J56&gt;='Selection Criteria'!$C$26),"Yes","")</f>
        <v/>
      </c>
      <c r="AE56" s="10" t="str">
        <f>IFERROR(INDEX('Primary Competitor Fit'!$D$5:$D$91,MATCH($A56&amp;"|Primary 1",'Primary Competitor Fit'!$M$5:$M$91,0)),"Amazon")</f>
        <v>Amazon</v>
      </c>
      <c r="AF56" s="10" t="str">
        <f>IFERROR(INDEX('Primary Competitor Fit'!$D$5:$D$91,MATCH($A56&amp;"|Primary 2",'Primary Competitor Fit'!$M$5:$M$91,0)),"Walmart")</f>
        <v>Dick's Sporting Goods</v>
      </c>
      <c r="AG56" s="10" t="str">
        <f>IFERROR(INDEX('Secondary Competitor Fit'!$D$5:$D$98,MATCH($A56&amp;"|Secondary 1",'Secondary Competitor Fit'!$M$5:$M$98,0)),"-")</f>
        <v>Scheels</v>
      </c>
      <c r="AH56" s="10" t="str">
        <f>IFERROR(INDEX('Secondary Competitor Fit'!$D$5:$D$98,MATCH($A56&amp;"|Secondary 2",'Secondary Competitor Fit'!$M$5:$M$98,0)),"-")</f>
        <v>Etsy</v>
      </c>
      <c r="AI56" s="10" t="s">
        <v>1111</v>
      </c>
      <c r="AJ56" s="24">
        <f t="shared" si="7"/>
        <v>66.024000000000001</v>
      </c>
    </row>
    <row r="57" spans="1:36" ht="26.4" x14ac:dyDescent="0.3">
      <c r="A57" s="6" t="s">
        <v>1112</v>
      </c>
      <c r="B57" s="10" t="s">
        <v>1113</v>
      </c>
      <c r="C57" s="10" t="s">
        <v>1114</v>
      </c>
      <c r="D57" s="10" t="s">
        <v>1115</v>
      </c>
      <c r="E57" s="10" t="s">
        <v>1116</v>
      </c>
      <c r="F57" s="10" t="s">
        <v>1117</v>
      </c>
      <c r="G57" s="6">
        <v>4</v>
      </c>
      <c r="H57" s="6" t="s">
        <v>1118</v>
      </c>
      <c r="I57" s="15">
        <v>236</v>
      </c>
      <c r="J57" s="15">
        <v>0</v>
      </c>
      <c r="K57" s="10" t="s">
        <v>916</v>
      </c>
      <c r="L57" s="6" t="str">
        <f t="shared" si="4"/>
        <v>Pass</v>
      </c>
      <c r="M57" s="19" t="s">
        <v>911</v>
      </c>
      <c r="N57" s="6" t="str">
        <f>IF(I57&gt;='Selection Criteria'!$C$25,"Pass","Fail")</f>
        <v>Pass</v>
      </c>
      <c r="O57" s="19" t="s">
        <v>911</v>
      </c>
      <c r="P57" s="14" t="str">
        <f t="shared" si="5"/>
        <v>Pass</v>
      </c>
      <c r="Q57" s="14" t="str">
        <f>INDEX('Hero Segmentation'!$Q$5:$Q$80,MATCH($A57,'Hero Segmentation'!$A$5:$A$80,0))</f>
        <v>Probable Hero</v>
      </c>
      <c r="R57" s="19">
        <v>4</v>
      </c>
      <c r="S57" s="19">
        <v>4</v>
      </c>
      <c r="T57" s="19">
        <v>4</v>
      </c>
      <c r="U57" s="19">
        <v>3</v>
      </c>
      <c r="V57" s="19">
        <v>4</v>
      </c>
      <c r="W57" s="19">
        <v>1</v>
      </c>
      <c r="X57" s="19">
        <v>3</v>
      </c>
      <c r="Y57" s="19">
        <v>2</v>
      </c>
      <c r="Z57" s="23">
        <f>IF(P57="Pass",(R57*'Selection Criteria'!$F$13+S57*'Selection Criteria'!$F$14+T57*'Selection Criteria'!$F$15+U57*'Selection Criteria'!$F$16+V57*'Selection Criteria'!$F$17+W57*'Selection Criteria'!$F$18+X57*'Selection Criteria'!$F$19+Y57*'Selection Criteria'!$F$20)/(5*'Selection Criteria'!$F$21)*100,"-")</f>
        <v>66</v>
      </c>
      <c r="AA57" s="6">
        <f t="shared" si="6"/>
        <v>28</v>
      </c>
      <c r="AB57" s="14" t="str">
        <f>IF(P57&lt;&gt;"Pass","Parked (gate)",IF(AC57="PROTECT","Protect (control)",IF(AA57&lt;=IF(Q57="Hero",'Hero Criteria'!$C$38,IF(Q57="Probable Hero",'Hero Criteria'!$C$39,'Hero Criteria'!$C$40)),"Recommended",IF(AA57&lt;=IF(Q57="Hero",'Hero Criteria'!$C$38,IF(Q57="Probable Hero",'Hero Criteria'!$C$39,'Hero Criteria'!$C$40))+'Hero Criteria'!$C$41,"Reserve","Backlog"))))</f>
        <v>Backlog</v>
      </c>
      <c r="AC57" s="6" t="str">
        <f>INDEX('Hero Segmentation'!$R$5:$R$80,MATCH($A57,'Hero Segmentation'!$A$5:$A$80,0))</f>
        <v>BUILD</v>
      </c>
      <c r="AD57" s="6" t="str">
        <f>IF(AND(AB57="Recommended",J57&gt;='Selection Criteria'!$C$26),"Yes","")</f>
        <v/>
      </c>
      <c r="AE57" s="10" t="str">
        <f>IFERROR(INDEX('Primary Competitor Fit'!$D$5:$D$91,MATCH($A57&amp;"|Primary 1",'Primary Competitor Fit'!$M$5:$M$91,0)),"Amazon")</f>
        <v>Amazon</v>
      </c>
      <c r="AF57" s="10" t="str">
        <f>IFERROR(INDEX('Primary Competitor Fit'!$D$5:$D$91,MATCH($A57&amp;"|Primary 2",'Primary Competitor Fit'!$M$5:$M$91,0)),"Target")</f>
        <v>Target</v>
      </c>
      <c r="AG57" s="10" t="str">
        <f>IFERROR(INDEX('Secondary Competitor Fit'!$D$5:$D$98,MATCH($A57&amp;"|Secondary 1",'Secondary Competitor Fit'!$M$5:$M$98,0)),"-")</f>
        <v>-</v>
      </c>
      <c r="AH57" s="10" t="str">
        <f>IFERROR(INDEX('Secondary Competitor Fit'!$D$5:$D$98,MATCH($A57&amp;"|Secondary 2",'Secondary Competitor Fit'!$M$5:$M$98,0)),"-")</f>
        <v>-</v>
      </c>
      <c r="AI57" s="10" t="s">
        <v>1119</v>
      </c>
      <c r="AJ57" s="24">
        <f t="shared" si="7"/>
        <v>66.034000000000006</v>
      </c>
    </row>
    <row r="58" spans="1:36" ht="26.4" x14ac:dyDescent="0.3">
      <c r="A58" s="6" t="s">
        <v>724</v>
      </c>
      <c r="B58" s="10" t="s">
        <v>725</v>
      </c>
      <c r="C58" s="10" t="s">
        <v>923</v>
      </c>
      <c r="D58" s="10" t="s">
        <v>639</v>
      </c>
      <c r="E58" s="10" t="s">
        <v>1120</v>
      </c>
      <c r="F58" s="10"/>
      <c r="G58" s="6">
        <v>3</v>
      </c>
      <c r="H58" s="6" t="s">
        <v>726</v>
      </c>
      <c r="I58" s="15">
        <v>1008</v>
      </c>
      <c r="J58" s="15">
        <v>897</v>
      </c>
      <c r="K58" s="10" t="s">
        <v>925</v>
      </c>
      <c r="L58" s="6" t="str">
        <f t="shared" si="4"/>
        <v>Pass</v>
      </c>
      <c r="M58" s="19" t="s">
        <v>911</v>
      </c>
      <c r="N58" s="6" t="str">
        <f>IF(I58&gt;='Selection Criteria'!$C$25,"Pass","Fail")</f>
        <v>Pass</v>
      </c>
      <c r="O58" s="19" t="s">
        <v>911</v>
      </c>
      <c r="P58" s="14" t="str">
        <f t="shared" si="5"/>
        <v>Pass</v>
      </c>
      <c r="Q58" s="14" t="str">
        <f>INDEX('Hero Segmentation'!$Q$5:$Q$80,MATCH($A58,'Hero Segmentation'!$A$5:$A$80,0))</f>
        <v>Hero</v>
      </c>
      <c r="R58" s="19">
        <v>3</v>
      </c>
      <c r="S58" s="19">
        <v>3</v>
      </c>
      <c r="T58" s="19">
        <v>1</v>
      </c>
      <c r="U58" s="19">
        <v>5</v>
      </c>
      <c r="V58" s="19">
        <v>1</v>
      </c>
      <c r="W58" s="19">
        <v>5</v>
      </c>
      <c r="X58" s="19">
        <v>4</v>
      </c>
      <c r="Y58" s="19">
        <v>5</v>
      </c>
      <c r="Z58" s="23">
        <f>IF(P58="Pass",(R58*'Selection Criteria'!$F$13+S58*'Selection Criteria'!$F$14+T58*'Selection Criteria'!$F$15+U58*'Selection Criteria'!$F$16+V58*'Selection Criteria'!$F$17+W58*'Selection Criteria'!$F$18+X58*'Selection Criteria'!$F$19+Y58*'Selection Criteria'!$F$20)/(5*'Selection Criteria'!$F$21)*100,"-")</f>
        <v>65</v>
      </c>
      <c r="AA58" s="6" t="str">
        <f t="shared" si="6"/>
        <v>-</v>
      </c>
      <c r="AB58" s="14" t="str">
        <f>IF(P58&lt;&gt;"Pass","Parked (gate)",IF(AC58="PROTECT","Protect (control)",IF(AA58&lt;=IF(Q58="Hero",'Hero Criteria'!$C$38,IF(Q58="Probable Hero",'Hero Criteria'!$C$39,'Hero Criteria'!$C$40)),"Recommended",IF(AA58&lt;=IF(Q58="Hero",'Hero Criteria'!$C$38,IF(Q58="Probable Hero",'Hero Criteria'!$C$39,'Hero Criteria'!$C$40))+'Hero Criteria'!$C$41,"Reserve","Backlog"))))</f>
        <v>Protect (control)</v>
      </c>
      <c r="AC58" s="6" t="str">
        <f>INDEX('Hero Segmentation'!$R$5:$R$80,MATCH($A58,'Hero Segmentation'!$A$5:$A$80,0))</f>
        <v>PROTECT</v>
      </c>
      <c r="AD58" s="6" t="str">
        <f>IF(AND(AB58="Recommended",J58&gt;='Selection Criteria'!$C$26),"Yes","")</f>
        <v/>
      </c>
      <c r="AE58" s="10" t="str">
        <f>IFERROR(INDEX('Primary Competitor Fit'!$D$5:$D$91,MATCH($A58&amp;"|Primary 1",'Primary Competitor Fit'!$M$5:$M$91,0)),"Wayfair")</f>
        <v>Wayfair</v>
      </c>
      <c r="AF58" s="10" t="str">
        <f>IFERROR(INDEX('Primary Competitor Fit'!$D$5:$D$91,MATCH($A58&amp;"|Primary 2",'Primary Competitor Fit'!$M$5:$M$91,0)),"Amazon (control shelf)")</f>
        <v>Amazon (control shelf)</v>
      </c>
      <c r="AG58" s="10" t="str">
        <f>IFERROR(INDEX('Secondary Competitor Fit'!$D$5:$D$98,MATCH($A58&amp;"|Secondary 1",'Secondary Competitor Fit'!$M$5:$M$98,0)),"-")</f>
        <v>-</v>
      </c>
      <c r="AH58" s="10" t="str">
        <f>IFERROR(INDEX('Secondary Competitor Fit'!$D$5:$D$98,MATCH($A58&amp;"|Secondary 2",'Secondary Competitor Fit'!$M$5:$M$98,0)),"-")</f>
        <v>-</v>
      </c>
      <c r="AI58" s="10" t="s">
        <v>1121</v>
      </c>
      <c r="AJ58" s="24">
        <f t="shared" si="7"/>
        <v>-1</v>
      </c>
    </row>
    <row r="59" spans="1:36" ht="26.4" x14ac:dyDescent="0.3">
      <c r="A59" s="6" t="s">
        <v>1122</v>
      </c>
      <c r="B59" s="10" t="s">
        <v>1123</v>
      </c>
      <c r="C59" s="10" t="s">
        <v>918</v>
      </c>
      <c r="D59" s="10" t="s">
        <v>919</v>
      </c>
      <c r="E59" s="10" t="s">
        <v>1124</v>
      </c>
      <c r="F59" s="10"/>
      <c r="G59" s="6">
        <v>3</v>
      </c>
      <c r="H59" s="6" t="s">
        <v>1125</v>
      </c>
      <c r="I59" s="15">
        <v>95</v>
      </c>
      <c r="J59" s="15">
        <v>0</v>
      </c>
      <c r="K59" s="10" t="s">
        <v>916</v>
      </c>
      <c r="L59" s="6" t="str">
        <f t="shared" si="4"/>
        <v>Pass</v>
      </c>
      <c r="M59" s="19" t="s">
        <v>911</v>
      </c>
      <c r="N59" s="6" t="str">
        <f>IF(I59&gt;='Selection Criteria'!$C$25,"Pass","Fail")</f>
        <v>Pass</v>
      </c>
      <c r="O59" s="19" t="s">
        <v>911</v>
      </c>
      <c r="P59" s="14" t="str">
        <f t="shared" si="5"/>
        <v>Pass</v>
      </c>
      <c r="Q59" s="14" t="str">
        <f>INDEX('Hero Segmentation'!$Q$5:$Q$80,MATCH($A59,'Hero Segmentation'!$A$5:$A$80,0))</f>
        <v>Probable Hero</v>
      </c>
      <c r="R59" s="19">
        <v>3</v>
      </c>
      <c r="S59" s="19">
        <v>4</v>
      </c>
      <c r="T59" s="19">
        <v>3</v>
      </c>
      <c r="U59" s="19">
        <v>3</v>
      </c>
      <c r="V59" s="19">
        <v>5</v>
      </c>
      <c r="W59" s="19">
        <v>3</v>
      </c>
      <c r="X59" s="19">
        <v>3</v>
      </c>
      <c r="Y59" s="19">
        <v>2</v>
      </c>
      <c r="Z59" s="23">
        <f>IF(P59="Pass",(R59*'Selection Criteria'!$F$13+S59*'Selection Criteria'!$F$14+T59*'Selection Criteria'!$F$15+U59*'Selection Criteria'!$F$16+V59*'Selection Criteria'!$F$17+W59*'Selection Criteria'!$F$18+X59*'Selection Criteria'!$F$19+Y59*'Selection Criteria'!$F$20)/(5*'Selection Criteria'!$F$21)*100,"-")</f>
        <v>65</v>
      </c>
      <c r="AA59" s="6">
        <f t="shared" si="6"/>
        <v>31</v>
      </c>
      <c r="AB59" s="14" t="str">
        <f>IF(P59&lt;&gt;"Pass","Parked (gate)",IF(AC59="PROTECT","Protect (control)",IF(AA59&lt;=IF(Q59="Hero",'Hero Criteria'!$C$38,IF(Q59="Probable Hero",'Hero Criteria'!$C$39,'Hero Criteria'!$C$40)),"Recommended",IF(AA59&lt;=IF(Q59="Hero",'Hero Criteria'!$C$38,IF(Q59="Probable Hero",'Hero Criteria'!$C$39,'Hero Criteria'!$C$40))+'Hero Criteria'!$C$41,"Reserve","Backlog"))))</f>
        <v>Backlog</v>
      </c>
      <c r="AC59" s="6" t="str">
        <f>INDEX('Hero Segmentation'!$R$5:$R$80,MATCH($A59,'Hero Segmentation'!$A$5:$A$80,0))</f>
        <v>BUILD</v>
      </c>
      <c r="AD59" s="6" t="str">
        <f>IF(AND(AB59="Recommended",J59&gt;='Selection Criteria'!$C$26),"Yes","")</f>
        <v/>
      </c>
      <c r="AE59" s="10" t="str">
        <f>IFERROR(INDEX('Primary Competitor Fit'!$D$5:$D$91,MATCH($A59&amp;"|Primary 1",'Primary Competitor Fit'!$M$5:$M$91,0)),"Amazon")</f>
        <v>Amazon</v>
      </c>
      <c r="AF59" s="10" t="str">
        <f>IFERROR(INDEX('Primary Competitor Fit'!$D$5:$D$91,MATCH($A59&amp;"|Primary 2",'Primary Competitor Fit'!$M$5:$M$91,0)),"Target")</f>
        <v>Target</v>
      </c>
      <c r="AG59" s="10" t="str">
        <f>IFERROR(INDEX('Secondary Competitor Fit'!$D$5:$D$98,MATCH($A59&amp;"|Secondary 1",'Secondary Competitor Fit'!$M$5:$M$98,0)),"-")</f>
        <v>-</v>
      </c>
      <c r="AH59" s="10" t="str">
        <f>IFERROR(INDEX('Secondary Competitor Fit'!$D$5:$D$98,MATCH($A59&amp;"|Secondary 2",'Secondary Competitor Fit'!$M$5:$M$98,0)),"-")</f>
        <v>-</v>
      </c>
      <c r="AI59" s="10" t="s">
        <v>1126</v>
      </c>
      <c r="AJ59" s="24">
        <f t="shared" si="7"/>
        <v>65.033000000000001</v>
      </c>
    </row>
    <row r="60" spans="1:36" ht="26.4" x14ac:dyDescent="0.3">
      <c r="A60" s="6" t="s">
        <v>1127</v>
      </c>
      <c r="B60" s="10" t="s">
        <v>1128</v>
      </c>
      <c r="C60" s="10" t="s">
        <v>1059</v>
      </c>
      <c r="D60" s="10" t="s">
        <v>1129</v>
      </c>
      <c r="E60" s="10" t="s">
        <v>1130</v>
      </c>
      <c r="F60" s="10"/>
      <c r="G60" s="6">
        <v>3</v>
      </c>
      <c r="H60" s="6" t="s">
        <v>1131</v>
      </c>
      <c r="I60" s="15">
        <v>484</v>
      </c>
      <c r="J60" s="15">
        <v>0</v>
      </c>
      <c r="K60" s="10" t="s">
        <v>916</v>
      </c>
      <c r="L60" s="6" t="str">
        <f t="shared" si="4"/>
        <v>Pass</v>
      </c>
      <c r="M60" s="19" t="s">
        <v>911</v>
      </c>
      <c r="N60" s="6" t="str">
        <f>IF(I60&gt;='Selection Criteria'!$C$25,"Pass","Fail")</f>
        <v>Pass</v>
      </c>
      <c r="O60" s="19" t="s">
        <v>911</v>
      </c>
      <c r="P60" s="14" t="str">
        <f t="shared" si="5"/>
        <v>Pass</v>
      </c>
      <c r="Q60" s="14" t="str">
        <f>INDEX('Hero Segmentation'!$Q$5:$Q$80,MATCH($A60,'Hero Segmentation'!$A$5:$A$80,0))</f>
        <v>Probable Hero</v>
      </c>
      <c r="R60" s="19">
        <v>4</v>
      </c>
      <c r="S60" s="19">
        <v>4</v>
      </c>
      <c r="T60" s="19">
        <v>3</v>
      </c>
      <c r="U60" s="19">
        <v>3</v>
      </c>
      <c r="V60" s="19">
        <v>4</v>
      </c>
      <c r="W60" s="19">
        <v>2</v>
      </c>
      <c r="X60" s="19">
        <v>3</v>
      </c>
      <c r="Y60" s="19">
        <v>2</v>
      </c>
      <c r="Z60" s="23">
        <f>IF(P60="Pass",(R60*'Selection Criteria'!$F$13+S60*'Selection Criteria'!$F$14+T60*'Selection Criteria'!$F$15+U60*'Selection Criteria'!$F$16+V60*'Selection Criteria'!$F$17+W60*'Selection Criteria'!$F$18+X60*'Selection Criteria'!$F$19+Y60*'Selection Criteria'!$F$20)/(5*'Selection Criteria'!$F$21)*100,"-")</f>
        <v>65</v>
      </c>
      <c r="AA60" s="6">
        <f t="shared" si="6"/>
        <v>30</v>
      </c>
      <c r="AB60" s="14" t="str">
        <f>IF(P60&lt;&gt;"Pass","Parked (gate)",IF(AC60="PROTECT","Protect (control)",IF(AA60&lt;=IF(Q60="Hero",'Hero Criteria'!$C$38,IF(Q60="Probable Hero",'Hero Criteria'!$C$39,'Hero Criteria'!$C$40)),"Recommended",IF(AA60&lt;=IF(Q60="Hero",'Hero Criteria'!$C$38,IF(Q60="Probable Hero",'Hero Criteria'!$C$39,'Hero Criteria'!$C$40))+'Hero Criteria'!$C$41,"Reserve","Backlog"))))</f>
        <v>Backlog</v>
      </c>
      <c r="AC60" s="6" t="str">
        <f>INDEX('Hero Segmentation'!$R$5:$R$80,MATCH($A60,'Hero Segmentation'!$A$5:$A$80,0))</f>
        <v>BUILD</v>
      </c>
      <c r="AD60" s="6" t="str">
        <f>IF(AND(AB60="Recommended",J60&gt;='Selection Criteria'!$C$26),"Yes","")</f>
        <v/>
      </c>
      <c r="AE60" s="10" t="str">
        <f>IFERROR(INDEX('Primary Competitor Fit'!$D$5:$D$91,MATCH($A60&amp;"|Primary 1",'Primary Competitor Fit'!$M$5:$M$91,0)),"Best Buy")</f>
        <v>Best Buy</v>
      </c>
      <c r="AF60" s="10" t="str">
        <f>IFERROR(INDEX('Primary Competitor Fit'!$D$5:$D$91,MATCH($A60&amp;"|Primary 2",'Primary Competitor Fit'!$M$5:$M$91,0)),"Amazon")</f>
        <v>Amazon</v>
      </c>
      <c r="AG60" s="10" t="str">
        <f>IFERROR(INDEX('Secondary Competitor Fit'!$D$5:$D$98,MATCH($A60&amp;"|Secondary 1",'Secondary Competitor Fit'!$M$5:$M$98,0)),"-")</f>
        <v>-</v>
      </c>
      <c r="AH60" s="10" t="str">
        <f>IFERROR(INDEX('Secondary Competitor Fit'!$D$5:$D$98,MATCH($A60&amp;"|Secondary 2",'Secondary Competitor Fit'!$M$5:$M$98,0)),"-")</f>
        <v>-</v>
      </c>
      <c r="AI60" s="10" t="s">
        <v>1132</v>
      </c>
      <c r="AJ60" s="24">
        <f t="shared" si="7"/>
        <v>65.034000000000006</v>
      </c>
    </row>
    <row r="61" spans="1:36" x14ac:dyDescent="0.3">
      <c r="A61" s="6" t="s">
        <v>1133</v>
      </c>
      <c r="B61" s="10" t="s">
        <v>372</v>
      </c>
      <c r="C61" s="10" t="s">
        <v>923</v>
      </c>
      <c r="D61" s="10" t="s">
        <v>1134</v>
      </c>
      <c r="E61" s="10" t="s">
        <v>1135</v>
      </c>
      <c r="F61" s="10"/>
      <c r="G61" s="6">
        <v>3</v>
      </c>
      <c r="H61" s="6" t="s">
        <v>373</v>
      </c>
      <c r="I61" s="15">
        <v>203</v>
      </c>
      <c r="J61" s="15">
        <v>0</v>
      </c>
      <c r="K61" s="10" t="s">
        <v>916</v>
      </c>
      <c r="L61" s="6" t="str">
        <f t="shared" si="4"/>
        <v>Pass</v>
      </c>
      <c r="M61" s="19" t="s">
        <v>911</v>
      </c>
      <c r="N61" s="6" t="str">
        <f>IF(I61&gt;='Selection Criteria'!$C$25,"Pass","Fail")</f>
        <v>Pass</v>
      </c>
      <c r="O61" s="19" t="s">
        <v>911</v>
      </c>
      <c r="P61" s="14" t="str">
        <f t="shared" si="5"/>
        <v>Pass</v>
      </c>
      <c r="Q61" s="14" t="str">
        <f>INDEX('Hero Segmentation'!$Q$5:$Q$80,MATCH($A61,'Hero Segmentation'!$A$5:$A$80,0))</f>
        <v>Non-Hero</v>
      </c>
      <c r="R61" s="19">
        <v>4</v>
      </c>
      <c r="S61" s="19">
        <v>5</v>
      </c>
      <c r="T61" s="19">
        <v>4</v>
      </c>
      <c r="U61" s="19">
        <v>3</v>
      </c>
      <c r="V61" s="19">
        <v>1</v>
      </c>
      <c r="W61" s="19">
        <v>2</v>
      </c>
      <c r="X61" s="19">
        <v>2</v>
      </c>
      <c r="Y61" s="19">
        <v>2</v>
      </c>
      <c r="Z61" s="23">
        <f>IF(P61="Pass",(R61*'Selection Criteria'!$F$13+S61*'Selection Criteria'!$F$14+T61*'Selection Criteria'!$F$15+U61*'Selection Criteria'!$F$16+V61*'Selection Criteria'!$F$17+W61*'Selection Criteria'!$F$18+X61*'Selection Criteria'!$F$19+Y61*'Selection Criteria'!$F$20)/(5*'Selection Criteria'!$F$21)*100,"-")</f>
        <v>64</v>
      </c>
      <c r="AA61" s="6">
        <f t="shared" si="6"/>
        <v>9</v>
      </c>
      <c r="AB61" s="14" t="str">
        <f>IF(P61&lt;&gt;"Pass","Parked (gate)",IF(AC61="PROTECT","Protect (control)",IF(AA61&lt;=IF(Q61="Hero",'Hero Criteria'!$C$38,IF(Q61="Probable Hero",'Hero Criteria'!$C$39,'Hero Criteria'!$C$40)),"Recommended",IF(AA61&lt;=IF(Q61="Hero",'Hero Criteria'!$C$38,IF(Q61="Probable Hero",'Hero Criteria'!$C$39,'Hero Criteria'!$C$40))+'Hero Criteria'!$C$41,"Reserve","Backlog"))))</f>
        <v>Reserve</v>
      </c>
      <c r="AC61" s="6" t="str">
        <f>INDEX('Hero Segmentation'!$R$5:$R$80,MATCH($A61,'Hero Segmentation'!$A$5:$A$80,0))</f>
        <v>EXPLORE</v>
      </c>
      <c r="AD61" s="6" t="str">
        <f>IF(AND(AB61="Recommended",J61&gt;='Selection Criteria'!$C$26),"Yes","")</f>
        <v/>
      </c>
      <c r="AE61" s="10" t="str">
        <f>IFERROR(INDEX('Primary Competitor Fit'!$D$5:$D$91,MATCH($A61&amp;"|Primary 1",'Primary Competitor Fit'!$M$5:$M$91,0)),"Wayfair")</f>
        <v>Wayfair</v>
      </c>
      <c r="AF61" s="10" t="str">
        <f>IFERROR(INDEX('Primary Competitor Fit'!$D$5:$D$91,MATCH($A61&amp;"|Primary 2",'Primary Competitor Fit'!$M$5:$M$91,0)),"Target")</f>
        <v>Amazon</v>
      </c>
      <c r="AG61" s="10" t="str">
        <f>IFERROR(INDEX('Secondary Competitor Fit'!$D$5:$D$98,MATCH($A61&amp;"|Secondary 1",'Secondary Competitor Fit'!$M$5:$M$98,0)),"-")</f>
        <v>Article</v>
      </c>
      <c r="AH61" s="10" t="str">
        <f>IFERROR(INDEX('Secondary Competitor Fit'!$D$5:$D$98,MATCH($A61&amp;"|Secondary 2",'Secondary Competitor Fit'!$M$5:$M$98,0)),"-")</f>
        <v>West Elm</v>
      </c>
      <c r="AI61" s="10" t="s">
        <v>1136</v>
      </c>
      <c r="AJ61" s="24">
        <f t="shared" si="7"/>
        <v>64.034000000000006</v>
      </c>
    </row>
    <row r="62" spans="1:36" ht="26.4" x14ac:dyDescent="0.3">
      <c r="A62" s="6" t="s">
        <v>798</v>
      </c>
      <c r="B62" s="10" t="s">
        <v>799</v>
      </c>
      <c r="C62" s="10" t="s">
        <v>972</v>
      </c>
      <c r="D62" s="10" t="s">
        <v>1137</v>
      </c>
      <c r="E62" s="10" t="s">
        <v>1138</v>
      </c>
      <c r="F62" s="10"/>
      <c r="G62" s="6">
        <v>3</v>
      </c>
      <c r="H62" s="6" t="s">
        <v>800</v>
      </c>
      <c r="I62" s="15">
        <v>66</v>
      </c>
      <c r="J62" s="15">
        <v>63</v>
      </c>
      <c r="K62" s="10" t="s">
        <v>910</v>
      </c>
      <c r="L62" s="6" t="str">
        <f t="shared" si="4"/>
        <v>Pass</v>
      </c>
      <c r="M62" s="19" t="s">
        <v>911</v>
      </c>
      <c r="N62" s="6" t="str">
        <f>IF(I62&gt;='Selection Criteria'!$C$25,"Pass","Fail")</f>
        <v>Pass</v>
      </c>
      <c r="O62" s="19" t="s">
        <v>911</v>
      </c>
      <c r="P62" s="14" t="str">
        <f t="shared" si="5"/>
        <v>Pass</v>
      </c>
      <c r="Q62" s="14" t="str">
        <f>INDEX('Hero Segmentation'!$Q$5:$Q$80,MATCH($A62,'Hero Segmentation'!$A$5:$A$80,0))</f>
        <v>Non-Hero</v>
      </c>
      <c r="R62" s="19">
        <v>3</v>
      </c>
      <c r="S62" s="19">
        <v>4</v>
      </c>
      <c r="T62" s="19">
        <v>4</v>
      </c>
      <c r="U62" s="19">
        <v>3</v>
      </c>
      <c r="V62" s="19">
        <v>3</v>
      </c>
      <c r="W62" s="19">
        <v>2</v>
      </c>
      <c r="X62" s="19">
        <v>2</v>
      </c>
      <c r="Y62" s="19">
        <v>3</v>
      </c>
      <c r="Z62" s="23">
        <f>IF(P62="Pass",(R62*'Selection Criteria'!$F$13+S62*'Selection Criteria'!$F$14+T62*'Selection Criteria'!$F$15+U62*'Selection Criteria'!$F$16+V62*'Selection Criteria'!$F$17+W62*'Selection Criteria'!$F$18+X62*'Selection Criteria'!$F$19+Y62*'Selection Criteria'!$F$20)/(5*'Selection Criteria'!$F$21)*100,"-")</f>
        <v>63</v>
      </c>
      <c r="AA62" s="6">
        <f t="shared" si="6"/>
        <v>11</v>
      </c>
      <c r="AB62" s="14" t="str">
        <f>IF(P62&lt;&gt;"Pass","Parked (gate)",IF(AC62="PROTECT","Protect (control)",IF(AA62&lt;=IF(Q62="Hero",'Hero Criteria'!$C$38,IF(Q62="Probable Hero",'Hero Criteria'!$C$39,'Hero Criteria'!$C$40)),"Recommended",IF(AA62&lt;=IF(Q62="Hero",'Hero Criteria'!$C$38,IF(Q62="Probable Hero",'Hero Criteria'!$C$39,'Hero Criteria'!$C$40))+'Hero Criteria'!$C$41,"Reserve","Backlog"))))</f>
        <v>Backlog</v>
      </c>
      <c r="AC62" s="6" t="str">
        <f>INDEX('Hero Segmentation'!$R$5:$R$80,MATCH($A62,'Hero Segmentation'!$A$5:$A$80,0))</f>
        <v>EXPLORE</v>
      </c>
      <c r="AD62" s="6" t="str">
        <f>IF(AND(AB62="Recommended",J62&gt;='Selection Criteria'!$C$26),"Yes","")</f>
        <v/>
      </c>
      <c r="AE62" s="10" t="str">
        <f>IFERROR(INDEX('Primary Competitor Fit'!$D$5:$D$91,MATCH($A62&amp;"|Primary 1",'Primary Competitor Fit'!$M$5:$M$91,0)),"Michaels")</f>
        <v>Michaels</v>
      </c>
      <c r="AF62" s="10" t="str">
        <f>IFERROR(INDEX('Primary Competitor Fit'!$D$5:$D$91,MATCH($A62&amp;"|Primary 2",'Primary Competitor Fit'!$M$5:$M$91,0)),"Container Store")</f>
        <v>Container Store</v>
      </c>
      <c r="AG62" s="10" t="str">
        <f>IFERROR(INDEX('Secondary Competitor Fit'!$D$5:$D$98,MATCH($A62&amp;"|Secondary 1",'Secondary Competitor Fit'!$M$5:$M$98,0)),"-")</f>
        <v>-</v>
      </c>
      <c r="AH62" s="10" t="str">
        <f>IFERROR(INDEX('Secondary Competitor Fit'!$D$5:$D$98,MATCH($A62&amp;"|Secondary 2",'Secondary Competitor Fit'!$M$5:$M$98,0)),"-")</f>
        <v>-</v>
      </c>
      <c r="AI62" s="10" t="s">
        <v>1139</v>
      </c>
      <c r="AJ62" s="24">
        <f t="shared" si="7"/>
        <v>63.033000000000001</v>
      </c>
    </row>
    <row r="63" spans="1:36" x14ac:dyDescent="0.3">
      <c r="A63" s="6" t="s">
        <v>1140</v>
      </c>
      <c r="B63" s="10" t="s">
        <v>1141</v>
      </c>
      <c r="C63" s="10" t="s">
        <v>923</v>
      </c>
      <c r="D63" s="10" t="s">
        <v>1142</v>
      </c>
      <c r="E63" s="10" t="s">
        <v>1143</v>
      </c>
      <c r="F63" s="10"/>
      <c r="G63" s="6">
        <v>3</v>
      </c>
      <c r="H63" s="6" t="s">
        <v>1144</v>
      </c>
      <c r="I63" s="15">
        <v>126</v>
      </c>
      <c r="J63" s="15">
        <v>0</v>
      </c>
      <c r="K63" s="10" t="s">
        <v>916</v>
      </c>
      <c r="L63" s="6" t="str">
        <f t="shared" si="4"/>
        <v>Pass</v>
      </c>
      <c r="M63" s="19" t="s">
        <v>911</v>
      </c>
      <c r="N63" s="6" t="str">
        <f>IF(I63&gt;='Selection Criteria'!$C$25,"Pass","Fail")</f>
        <v>Pass</v>
      </c>
      <c r="O63" s="19" t="s">
        <v>911</v>
      </c>
      <c r="P63" s="14" t="str">
        <f t="shared" si="5"/>
        <v>Pass</v>
      </c>
      <c r="Q63" s="14" t="str">
        <f>INDEX('Hero Segmentation'!$Q$5:$Q$80,MATCH($A63,'Hero Segmentation'!$A$5:$A$80,0))</f>
        <v>Non-Hero</v>
      </c>
      <c r="R63" s="19">
        <v>4</v>
      </c>
      <c r="S63" s="19">
        <v>4</v>
      </c>
      <c r="T63" s="19">
        <v>4</v>
      </c>
      <c r="U63" s="19">
        <v>3</v>
      </c>
      <c r="V63" s="19">
        <v>2</v>
      </c>
      <c r="W63" s="19">
        <v>2</v>
      </c>
      <c r="X63" s="19">
        <v>2</v>
      </c>
      <c r="Y63" s="19">
        <v>2</v>
      </c>
      <c r="Z63" s="23">
        <f>IF(P63="Pass",(R63*'Selection Criteria'!$F$13+S63*'Selection Criteria'!$F$14+T63*'Selection Criteria'!$F$15+U63*'Selection Criteria'!$F$16+V63*'Selection Criteria'!$F$17+W63*'Selection Criteria'!$F$18+X63*'Selection Criteria'!$F$19+Y63*'Selection Criteria'!$F$20)/(5*'Selection Criteria'!$F$21)*100,"-")</f>
        <v>63</v>
      </c>
      <c r="AA63" s="6">
        <f t="shared" si="6"/>
        <v>10</v>
      </c>
      <c r="AB63" s="14" t="str">
        <f>IF(P63&lt;&gt;"Pass","Parked (gate)",IF(AC63="PROTECT","Protect (control)",IF(AA63&lt;=IF(Q63="Hero",'Hero Criteria'!$C$38,IF(Q63="Probable Hero",'Hero Criteria'!$C$39,'Hero Criteria'!$C$40)),"Recommended",IF(AA63&lt;=IF(Q63="Hero",'Hero Criteria'!$C$38,IF(Q63="Probable Hero",'Hero Criteria'!$C$39,'Hero Criteria'!$C$40))+'Hero Criteria'!$C$41,"Reserve","Backlog"))))</f>
        <v>Backlog</v>
      </c>
      <c r="AC63" s="6" t="str">
        <f>INDEX('Hero Segmentation'!$R$5:$R$80,MATCH($A63,'Hero Segmentation'!$A$5:$A$80,0))</f>
        <v>EXPLORE</v>
      </c>
      <c r="AD63" s="6" t="str">
        <f>IF(AND(AB63="Recommended",J63&gt;='Selection Criteria'!$C$26),"Yes","")</f>
        <v/>
      </c>
      <c r="AE63" s="10" t="str">
        <f>IFERROR(INDEX('Primary Competitor Fit'!$D$5:$D$91,MATCH($A63&amp;"|Primary 1",'Primary Competitor Fit'!$M$5:$M$91,0)),"Wayfair")</f>
        <v>Wayfair</v>
      </c>
      <c r="AF63" s="10" t="str">
        <f>IFERROR(INDEX('Primary Competitor Fit'!$D$5:$D$91,MATCH($A63&amp;"|Primary 2",'Primary Competitor Fit'!$M$5:$M$91,0)),"Amazon")</f>
        <v>Amazon</v>
      </c>
      <c r="AG63" s="10" t="str">
        <f>IFERROR(INDEX('Secondary Competitor Fit'!$D$5:$D$98,MATCH($A63&amp;"|Secondary 1",'Secondary Competitor Fit'!$M$5:$M$98,0)),"-")</f>
        <v>-</v>
      </c>
      <c r="AH63" s="10" t="str">
        <f>IFERROR(INDEX('Secondary Competitor Fit'!$D$5:$D$98,MATCH($A63&amp;"|Secondary 2",'Secondary Competitor Fit'!$M$5:$M$98,0)),"-")</f>
        <v>-</v>
      </c>
      <c r="AI63" s="10" t="s">
        <v>1145</v>
      </c>
      <c r="AJ63" s="24">
        <f t="shared" si="7"/>
        <v>63.033999999999999</v>
      </c>
    </row>
    <row r="64" spans="1:36" x14ac:dyDescent="0.3">
      <c r="A64" s="6" t="s">
        <v>1146</v>
      </c>
      <c r="B64" s="10" t="s">
        <v>1147</v>
      </c>
      <c r="C64" s="10" t="s">
        <v>1148</v>
      </c>
      <c r="D64" s="10" t="s">
        <v>1149</v>
      </c>
      <c r="E64" s="10" t="s">
        <v>1150</v>
      </c>
      <c r="F64" s="10"/>
      <c r="G64" s="6">
        <v>3</v>
      </c>
      <c r="H64" s="6" t="s">
        <v>1151</v>
      </c>
      <c r="I64" s="15">
        <v>639</v>
      </c>
      <c r="J64" s="15">
        <v>0</v>
      </c>
      <c r="K64" s="10" t="s">
        <v>916</v>
      </c>
      <c r="L64" s="6" t="str">
        <f t="shared" si="4"/>
        <v>Pass</v>
      </c>
      <c r="M64" s="19" t="s">
        <v>911</v>
      </c>
      <c r="N64" s="6" t="str">
        <f>IF(I64&gt;='Selection Criteria'!$C$25,"Pass","Fail")</f>
        <v>Pass</v>
      </c>
      <c r="O64" s="19" t="s">
        <v>911</v>
      </c>
      <c r="P64" s="14" t="str">
        <f t="shared" si="5"/>
        <v>Pass</v>
      </c>
      <c r="Q64" s="14" t="str">
        <f>INDEX('Hero Segmentation'!$Q$5:$Q$80,MATCH($A64,'Hero Segmentation'!$A$5:$A$80,0))</f>
        <v>Hero</v>
      </c>
      <c r="R64" s="19">
        <v>3</v>
      </c>
      <c r="S64" s="19">
        <v>4</v>
      </c>
      <c r="T64" s="19">
        <v>3</v>
      </c>
      <c r="U64" s="19">
        <v>4</v>
      </c>
      <c r="V64" s="19">
        <v>3</v>
      </c>
      <c r="W64" s="19">
        <v>2</v>
      </c>
      <c r="X64" s="19">
        <v>2</v>
      </c>
      <c r="Y64" s="19">
        <v>3</v>
      </c>
      <c r="Z64" s="23">
        <f>IF(P64="Pass",(R64*'Selection Criteria'!$F$13+S64*'Selection Criteria'!$F$14+T64*'Selection Criteria'!$F$15+U64*'Selection Criteria'!$F$16+V64*'Selection Criteria'!$F$17+W64*'Selection Criteria'!$F$18+X64*'Selection Criteria'!$F$19+Y64*'Selection Criteria'!$F$20)/(5*'Selection Criteria'!$F$21)*100,"-")</f>
        <v>63</v>
      </c>
      <c r="AA64" s="6">
        <f t="shared" si="6"/>
        <v>15</v>
      </c>
      <c r="AB64" s="14" t="str">
        <f>IF(P64&lt;&gt;"Pass","Parked (gate)",IF(AC64="PROTECT","Protect (control)",IF(AA64&lt;=IF(Q64="Hero",'Hero Criteria'!$C$38,IF(Q64="Probable Hero",'Hero Criteria'!$C$39,'Hero Criteria'!$C$40)),"Recommended",IF(AA64&lt;=IF(Q64="Hero",'Hero Criteria'!$C$38,IF(Q64="Probable Hero",'Hero Criteria'!$C$39,'Hero Criteria'!$C$40))+'Hero Criteria'!$C$41,"Reserve","Backlog"))))</f>
        <v>Backlog</v>
      </c>
      <c r="AC64" s="6" t="str">
        <f>INDEX('Hero Segmentation'!$R$5:$R$80,MATCH($A64,'Hero Segmentation'!$A$5:$A$80,0))</f>
        <v>EXTEND</v>
      </c>
      <c r="AD64" s="6" t="str">
        <f>IF(AND(AB64="Recommended",J64&gt;='Selection Criteria'!$C$26),"Yes","")</f>
        <v/>
      </c>
      <c r="AE64" s="10" t="str">
        <f>IFERROR(INDEX('Primary Competitor Fit'!$D$5:$D$91,MATCH($A64&amp;"|Primary 1",'Primary Competitor Fit'!$M$5:$M$91,0)),"Wayfair")</f>
        <v>Wayfair</v>
      </c>
      <c r="AF64" s="10" t="str">
        <f>IFERROR(INDEX('Primary Competitor Fit'!$D$5:$D$91,MATCH($A64&amp;"|Primary 2",'Primary Competitor Fit'!$M$5:$M$91,0)),"Amazon")</f>
        <v>Amazon</v>
      </c>
      <c r="AG64" s="10" t="str">
        <f>IFERROR(INDEX('Secondary Competitor Fit'!$D$5:$D$98,MATCH($A64&amp;"|Secondary 1",'Secondary Competitor Fit'!$M$5:$M$98,0)),"-")</f>
        <v>-</v>
      </c>
      <c r="AH64" s="10" t="str">
        <f>IFERROR(INDEX('Secondary Competitor Fit'!$D$5:$D$98,MATCH($A64&amp;"|Secondary 2",'Secondary Competitor Fit'!$M$5:$M$98,0)),"-")</f>
        <v>-</v>
      </c>
      <c r="AI64" s="10" t="s">
        <v>1152</v>
      </c>
      <c r="AJ64" s="24">
        <f t="shared" si="7"/>
        <v>63.042999999999999</v>
      </c>
    </row>
    <row r="65" spans="1:36" ht="26.4" x14ac:dyDescent="0.3">
      <c r="A65" s="6" t="s">
        <v>1153</v>
      </c>
      <c r="B65" s="10" t="s">
        <v>1154</v>
      </c>
      <c r="C65" s="10" t="s">
        <v>918</v>
      </c>
      <c r="D65" s="10" t="s">
        <v>1038</v>
      </c>
      <c r="E65" s="10" t="s">
        <v>1155</v>
      </c>
      <c r="F65" s="10"/>
      <c r="G65" s="6">
        <v>3</v>
      </c>
      <c r="H65" s="6" t="s">
        <v>1156</v>
      </c>
      <c r="I65" s="15">
        <v>139</v>
      </c>
      <c r="J65" s="15">
        <v>0</v>
      </c>
      <c r="K65" s="10" t="s">
        <v>916</v>
      </c>
      <c r="L65" s="6" t="str">
        <f t="shared" si="4"/>
        <v>Pass</v>
      </c>
      <c r="M65" s="19" t="s">
        <v>911</v>
      </c>
      <c r="N65" s="6" t="str">
        <f>IF(I65&gt;='Selection Criteria'!$C$25,"Pass","Fail")</f>
        <v>Pass</v>
      </c>
      <c r="O65" s="19" t="s">
        <v>911</v>
      </c>
      <c r="P65" s="14" t="str">
        <f t="shared" si="5"/>
        <v>Pass</v>
      </c>
      <c r="Q65" s="14" t="str">
        <f>INDEX('Hero Segmentation'!$Q$5:$Q$80,MATCH($A65,'Hero Segmentation'!$A$5:$A$80,0))</f>
        <v>Probable Hero</v>
      </c>
      <c r="R65" s="19">
        <v>4</v>
      </c>
      <c r="S65" s="19">
        <v>4</v>
      </c>
      <c r="T65" s="19">
        <v>3</v>
      </c>
      <c r="U65" s="19">
        <v>3</v>
      </c>
      <c r="V65" s="19">
        <v>3</v>
      </c>
      <c r="W65" s="19">
        <v>2</v>
      </c>
      <c r="X65" s="19">
        <v>2</v>
      </c>
      <c r="Y65" s="19">
        <v>2</v>
      </c>
      <c r="Z65" s="23">
        <f>IF(P65="Pass",(R65*'Selection Criteria'!$F$13+S65*'Selection Criteria'!$F$14+T65*'Selection Criteria'!$F$15+U65*'Selection Criteria'!$F$16+V65*'Selection Criteria'!$F$17+W65*'Selection Criteria'!$F$18+X65*'Selection Criteria'!$F$19+Y65*'Selection Criteria'!$F$20)/(5*'Selection Criteria'!$F$21)*100,"-")</f>
        <v>62</v>
      </c>
      <c r="AA65" s="6">
        <f t="shared" si="6"/>
        <v>32</v>
      </c>
      <c r="AB65" s="14" t="str">
        <f>IF(P65&lt;&gt;"Pass","Parked (gate)",IF(AC65="PROTECT","Protect (control)",IF(AA65&lt;=IF(Q65="Hero",'Hero Criteria'!$C$38,IF(Q65="Probable Hero",'Hero Criteria'!$C$39,'Hero Criteria'!$C$40)),"Recommended",IF(AA65&lt;=IF(Q65="Hero",'Hero Criteria'!$C$38,IF(Q65="Probable Hero",'Hero Criteria'!$C$39,'Hero Criteria'!$C$40))+'Hero Criteria'!$C$41,"Reserve","Backlog"))))</f>
        <v>Backlog</v>
      </c>
      <c r="AC65" s="6" t="str">
        <f>INDEX('Hero Segmentation'!$R$5:$R$80,MATCH($A65,'Hero Segmentation'!$A$5:$A$80,0))</f>
        <v>BUILD</v>
      </c>
      <c r="AD65" s="6" t="str">
        <f>IF(AND(AB65="Recommended",J65&gt;='Selection Criteria'!$C$26),"Yes","")</f>
        <v/>
      </c>
      <c r="AE65" s="10" t="str">
        <f>IFERROR(INDEX('Primary Competitor Fit'!$D$5:$D$91,MATCH($A65&amp;"|Primary 1",'Primary Competitor Fit'!$M$5:$M$91,0)),"Target")</f>
        <v>Target</v>
      </c>
      <c r="AF65" s="10" t="str">
        <f>IFERROR(INDEX('Primary Competitor Fit'!$D$5:$D$91,MATCH($A65&amp;"|Primary 2",'Primary Competitor Fit'!$M$5:$M$91,0)),"Best Buy")</f>
        <v>Best Buy</v>
      </c>
      <c r="AG65" s="10" t="str">
        <f>IFERROR(INDEX('Secondary Competitor Fit'!$D$5:$D$98,MATCH($A65&amp;"|Secondary 1",'Secondary Competitor Fit'!$M$5:$M$98,0)),"-")</f>
        <v>-</v>
      </c>
      <c r="AH65" s="10" t="str">
        <f>IFERROR(INDEX('Secondary Competitor Fit'!$D$5:$D$98,MATCH($A65&amp;"|Secondary 2",'Secondary Competitor Fit'!$M$5:$M$98,0)),"-")</f>
        <v>-</v>
      </c>
      <c r="AI65" s="10" t="s">
        <v>1157</v>
      </c>
      <c r="AJ65" s="24">
        <f t="shared" si="7"/>
        <v>62.033999999999999</v>
      </c>
    </row>
    <row r="66" spans="1:36" ht="26.4" x14ac:dyDescent="0.3">
      <c r="A66" s="6" t="s">
        <v>1158</v>
      </c>
      <c r="B66" s="10" t="s">
        <v>1159</v>
      </c>
      <c r="C66" s="10" t="s">
        <v>923</v>
      </c>
      <c r="D66" s="10" t="s">
        <v>984</v>
      </c>
      <c r="E66" s="10" t="s">
        <v>1160</v>
      </c>
      <c r="F66" s="10"/>
      <c r="G66" s="6">
        <v>3</v>
      </c>
      <c r="H66" s="6" t="s">
        <v>1161</v>
      </c>
      <c r="I66" s="15">
        <v>745</v>
      </c>
      <c r="J66" s="15">
        <v>0</v>
      </c>
      <c r="K66" s="10" t="s">
        <v>916</v>
      </c>
      <c r="L66" s="6" t="str">
        <f t="shared" si="4"/>
        <v>Pass</v>
      </c>
      <c r="M66" s="19" t="s">
        <v>911</v>
      </c>
      <c r="N66" s="6" t="str">
        <f>IF(I66&gt;='Selection Criteria'!$C$25,"Pass","Fail")</f>
        <v>Pass</v>
      </c>
      <c r="O66" s="19" t="s">
        <v>911</v>
      </c>
      <c r="P66" s="14" t="str">
        <f t="shared" si="5"/>
        <v>Pass</v>
      </c>
      <c r="Q66" s="14" t="str">
        <f>INDEX('Hero Segmentation'!$Q$5:$Q$80,MATCH($A66,'Hero Segmentation'!$A$5:$A$80,0))</f>
        <v>Hero</v>
      </c>
      <c r="R66" s="19">
        <v>3</v>
      </c>
      <c r="S66" s="19">
        <v>3</v>
      </c>
      <c r="T66" s="19">
        <v>2</v>
      </c>
      <c r="U66" s="19">
        <v>5</v>
      </c>
      <c r="V66" s="19">
        <v>3</v>
      </c>
      <c r="W66" s="19">
        <v>3</v>
      </c>
      <c r="X66" s="19">
        <v>3</v>
      </c>
      <c r="Y66" s="19">
        <v>2</v>
      </c>
      <c r="Z66" s="23">
        <f>IF(P66="Pass",(R66*'Selection Criteria'!$F$13+S66*'Selection Criteria'!$F$14+T66*'Selection Criteria'!$F$15+U66*'Selection Criteria'!$F$16+V66*'Selection Criteria'!$F$17+W66*'Selection Criteria'!$F$18+X66*'Selection Criteria'!$F$19+Y66*'Selection Criteria'!$F$20)/(5*'Selection Criteria'!$F$21)*100,"-")</f>
        <v>61</v>
      </c>
      <c r="AA66" s="6" t="str">
        <f t="shared" si="6"/>
        <v>-</v>
      </c>
      <c r="AB66" s="14" t="str">
        <f>IF(P66&lt;&gt;"Pass","Parked (gate)",IF(AC66="PROTECT","Protect (control)",IF(AA66&lt;=IF(Q66="Hero",'Hero Criteria'!$C$38,IF(Q66="Probable Hero",'Hero Criteria'!$C$39,'Hero Criteria'!$C$40)),"Recommended",IF(AA66&lt;=IF(Q66="Hero",'Hero Criteria'!$C$38,IF(Q66="Probable Hero",'Hero Criteria'!$C$39,'Hero Criteria'!$C$40))+'Hero Criteria'!$C$41,"Reserve","Backlog"))))</f>
        <v>Protect (control)</v>
      </c>
      <c r="AC66" s="6" t="str">
        <f>INDEX('Hero Segmentation'!$R$5:$R$80,MATCH($A66,'Hero Segmentation'!$A$5:$A$80,0))</f>
        <v>PROTECT</v>
      </c>
      <c r="AD66" s="6" t="str">
        <f>IF(AND(AB66="Recommended",J66&gt;='Selection Criteria'!$C$26),"Yes","")</f>
        <v/>
      </c>
      <c r="AE66" s="10" t="str">
        <f>IFERROR(INDEX('Primary Competitor Fit'!$D$5:$D$91,MATCH($A66&amp;"|Primary 1",'Primary Competitor Fit'!$M$5:$M$91,0)),"Amazon")</f>
        <v>Amazon</v>
      </c>
      <c r="AF66" s="10" t="str">
        <f>IFERROR(INDEX('Primary Competitor Fit'!$D$5:$D$91,MATCH($A66&amp;"|Primary 2",'Primary Competitor Fit'!$M$5:$M$91,0)),"Wayfair")</f>
        <v>Wayfair</v>
      </c>
      <c r="AG66" s="10" t="str">
        <f>IFERROR(INDEX('Secondary Competitor Fit'!$D$5:$D$98,MATCH($A66&amp;"|Secondary 1",'Secondary Competitor Fit'!$M$5:$M$98,0)),"-")</f>
        <v>-</v>
      </c>
      <c r="AH66" s="10" t="str">
        <f>IFERROR(INDEX('Secondary Competitor Fit'!$D$5:$D$98,MATCH($A66&amp;"|Secondary 2",'Secondary Competitor Fit'!$M$5:$M$98,0)),"-")</f>
        <v>-</v>
      </c>
      <c r="AI66" s="10" t="s">
        <v>1162</v>
      </c>
      <c r="AJ66" s="24">
        <f t="shared" si="7"/>
        <v>-1</v>
      </c>
    </row>
    <row r="67" spans="1:36" x14ac:dyDescent="0.3">
      <c r="A67" s="6" t="s">
        <v>728</v>
      </c>
      <c r="B67" s="10" t="s">
        <v>729</v>
      </c>
      <c r="C67" s="10" t="s">
        <v>923</v>
      </c>
      <c r="D67" s="10" t="s">
        <v>639</v>
      </c>
      <c r="E67" s="10" t="s">
        <v>1163</v>
      </c>
      <c r="F67" s="10"/>
      <c r="G67" s="6">
        <v>3</v>
      </c>
      <c r="H67" s="6" t="s">
        <v>730</v>
      </c>
      <c r="I67" s="15">
        <v>147</v>
      </c>
      <c r="J67" s="15">
        <v>120</v>
      </c>
      <c r="K67" s="10" t="s">
        <v>925</v>
      </c>
      <c r="L67" s="6" t="str">
        <f t="shared" si="4"/>
        <v>Pass</v>
      </c>
      <c r="M67" s="19" t="s">
        <v>911</v>
      </c>
      <c r="N67" s="6" t="str">
        <f>IF(I67&gt;='Selection Criteria'!$C$25,"Pass","Fail")</f>
        <v>Pass</v>
      </c>
      <c r="O67" s="19" t="s">
        <v>911</v>
      </c>
      <c r="P67" s="14" t="str">
        <f t="shared" si="5"/>
        <v>Pass</v>
      </c>
      <c r="Q67" s="14" t="str">
        <f>INDEX('Hero Segmentation'!$Q$5:$Q$80,MATCH($A67,'Hero Segmentation'!$A$5:$A$80,0))</f>
        <v>Non-Hero</v>
      </c>
      <c r="R67" s="19">
        <v>3</v>
      </c>
      <c r="S67" s="19">
        <v>3</v>
      </c>
      <c r="T67" s="19">
        <v>3</v>
      </c>
      <c r="U67" s="19">
        <v>3</v>
      </c>
      <c r="V67" s="19">
        <v>2</v>
      </c>
      <c r="W67" s="19">
        <v>2</v>
      </c>
      <c r="X67" s="19">
        <v>4</v>
      </c>
      <c r="Y67" s="19">
        <v>4</v>
      </c>
      <c r="Z67" s="23">
        <f>IF(P67="Pass",(R67*'Selection Criteria'!$F$13+S67*'Selection Criteria'!$F$14+T67*'Selection Criteria'!$F$15+U67*'Selection Criteria'!$F$16+V67*'Selection Criteria'!$F$17+W67*'Selection Criteria'!$F$18+X67*'Selection Criteria'!$F$19+Y67*'Selection Criteria'!$F$20)/(5*'Selection Criteria'!$F$21)*100,"-")</f>
        <v>59</v>
      </c>
      <c r="AA67" s="6">
        <f t="shared" si="6"/>
        <v>12</v>
      </c>
      <c r="AB67" s="14" t="str">
        <f>IF(P67&lt;&gt;"Pass","Parked (gate)",IF(AC67="PROTECT","Protect (control)",IF(AA67&lt;=IF(Q67="Hero",'Hero Criteria'!$C$38,IF(Q67="Probable Hero",'Hero Criteria'!$C$39,'Hero Criteria'!$C$40)),"Recommended",IF(AA67&lt;=IF(Q67="Hero",'Hero Criteria'!$C$38,IF(Q67="Probable Hero",'Hero Criteria'!$C$39,'Hero Criteria'!$C$40))+'Hero Criteria'!$C$41,"Reserve","Backlog"))))</f>
        <v>Backlog</v>
      </c>
      <c r="AC67" s="6" t="str">
        <f>INDEX('Hero Segmentation'!$R$5:$R$80,MATCH($A67,'Hero Segmentation'!$A$5:$A$80,0))</f>
        <v>EXPLORE</v>
      </c>
      <c r="AD67" s="6" t="str">
        <f>IF(AND(AB67="Recommended",J67&gt;='Selection Criteria'!$C$26),"Yes","")</f>
        <v/>
      </c>
      <c r="AE67" s="10" t="str">
        <f>IFERROR(INDEX('Primary Competitor Fit'!$D$5:$D$91,MATCH($A67&amp;"|Primary 1",'Primary Competitor Fit'!$M$5:$M$91,0)),"Wayfair")</f>
        <v>Wayfair</v>
      </c>
      <c r="AF67" s="10" t="str">
        <f>IFERROR(INDEX('Primary Competitor Fit'!$D$5:$D$91,MATCH($A67&amp;"|Primary 2",'Primary Competitor Fit'!$M$5:$M$91,0)),"Target")</f>
        <v>Target</v>
      </c>
      <c r="AG67" s="10" t="str">
        <f>IFERROR(INDEX('Secondary Competitor Fit'!$D$5:$D$98,MATCH($A67&amp;"|Secondary 1",'Secondary Competitor Fit'!$M$5:$M$98,0)),"-")</f>
        <v>-</v>
      </c>
      <c r="AH67" s="10" t="str">
        <f>IFERROR(INDEX('Secondary Competitor Fit'!$D$5:$D$98,MATCH($A67&amp;"|Secondary 2",'Secondary Competitor Fit'!$M$5:$M$98,0)),"-")</f>
        <v>-</v>
      </c>
      <c r="AI67" s="10" t="s">
        <v>1164</v>
      </c>
      <c r="AJ67" s="24">
        <f t="shared" si="7"/>
        <v>59.033000000000001</v>
      </c>
    </row>
    <row r="68" spans="1:36" ht="26.4" x14ac:dyDescent="0.3">
      <c r="A68" s="6" t="s">
        <v>1165</v>
      </c>
      <c r="B68" s="10" t="s">
        <v>1166</v>
      </c>
      <c r="C68" s="10" t="s">
        <v>907</v>
      </c>
      <c r="D68" s="10" t="s">
        <v>968</v>
      </c>
      <c r="E68" s="10" t="s">
        <v>1167</v>
      </c>
      <c r="F68" s="10"/>
      <c r="G68" s="6">
        <v>3</v>
      </c>
      <c r="H68" s="6" t="s">
        <v>1168</v>
      </c>
      <c r="I68" s="15">
        <v>42</v>
      </c>
      <c r="J68" s="15">
        <v>0</v>
      </c>
      <c r="K68" s="10" t="s">
        <v>916</v>
      </c>
      <c r="L68" s="6" t="str">
        <f t="shared" si="4"/>
        <v>Pass</v>
      </c>
      <c r="M68" s="19" t="s">
        <v>911</v>
      </c>
      <c r="N68" s="6" t="str">
        <f>IF(I68&gt;='Selection Criteria'!$C$25,"Pass","Fail")</f>
        <v>Pass</v>
      </c>
      <c r="O68" s="19" t="s">
        <v>911</v>
      </c>
      <c r="P68" s="14" t="str">
        <f t="shared" si="5"/>
        <v>Pass</v>
      </c>
      <c r="Q68" s="14" t="str">
        <f>INDEX('Hero Segmentation'!$Q$5:$Q$80,MATCH($A68,'Hero Segmentation'!$A$5:$A$80,0))</f>
        <v>Non-Hero</v>
      </c>
      <c r="R68" s="19">
        <v>3</v>
      </c>
      <c r="S68" s="19">
        <v>4</v>
      </c>
      <c r="T68" s="19">
        <v>4</v>
      </c>
      <c r="U68" s="19">
        <v>3</v>
      </c>
      <c r="V68" s="19">
        <v>4</v>
      </c>
      <c r="W68" s="19">
        <v>1</v>
      </c>
      <c r="X68" s="19">
        <v>2</v>
      </c>
      <c r="Y68" s="19">
        <v>1</v>
      </c>
      <c r="Z68" s="23">
        <f>IF(P68="Pass",(R68*'Selection Criteria'!$F$13+S68*'Selection Criteria'!$F$14+T68*'Selection Criteria'!$F$15+U68*'Selection Criteria'!$F$16+V68*'Selection Criteria'!$F$17+W68*'Selection Criteria'!$F$18+X68*'Selection Criteria'!$F$19+Y68*'Selection Criteria'!$F$20)/(5*'Selection Criteria'!$F$21)*100,"-")</f>
        <v>59</v>
      </c>
      <c r="AA68" s="6">
        <f t="shared" si="6"/>
        <v>12</v>
      </c>
      <c r="AB68" s="14" t="str">
        <f>IF(P68&lt;&gt;"Pass","Parked (gate)",IF(AC68="PROTECT","Protect (control)",IF(AA68&lt;=IF(Q68="Hero",'Hero Criteria'!$C$38,IF(Q68="Probable Hero",'Hero Criteria'!$C$39,'Hero Criteria'!$C$40)),"Recommended",IF(AA68&lt;=IF(Q68="Hero",'Hero Criteria'!$C$38,IF(Q68="Probable Hero",'Hero Criteria'!$C$39,'Hero Criteria'!$C$40))+'Hero Criteria'!$C$41,"Reserve","Backlog"))))</f>
        <v>Backlog</v>
      </c>
      <c r="AC68" s="6" t="str">
        <f>INDEX('Hero Segmentation'!$R$5:$R$80,MATCH($A68,'Hero Segmentation'!$A$5:$A$80,0))</f>
        <v>EXPLORE</v>
      </c>
      <c r="AD68" s="6" t="str">
        <f>IF(AND(AB68="Recommended",J68&gt;='Selection Criteria'!$C$26),"Yes","")</f>
        <v/>
      </c>
      <c r="AE68" s="10" t="str">
        <f>IFERROR(INDEX('Primary Competitor Fit'!$D$5:$D$91,MATCH($A68&amp;"|Primary 1",'Primary Competitor Fit'!$M$5:$M$91,0)),"Amazon")</f>
        <v>Amazon</v>
      </c>
      <c r="AF68" s="10" t="str">
        <f>IFERROR(INDEX('Primary Competitor Fit'!$D$5:$D$91,MATCH($A68&amp;"|Primary 2",'Primary Competitor Fit'!$M$5:$M$91,0)),"Walmart")</f>
        <v>Walmart</v>
      </c>
      <c r="AG68" s="10" t="str">
        <f>IFERROR(INDEX('Secondary Competitor Fit'!$D$5:$D$98,MATCH($A68&amp;"|Secondary 1",'Secondary Competitor Fit'!$M$5:$M$98,0)),"-")</f>
        <v>-</v>
      </c>
      <c r="AH68" s="10" t="str">
        <f>IFERROR(INDEX('Secondary Competitor Fit'!$D$5:$D$98,MATCH($A68&amp;"|Secondary 2",'Secondary Competitor Fit'!$M$5:$M$98,0)),"-")</f>
        <v>-</v>
      </c>
      <c r="AI68" s="10" t="s">
        <v>1169</v>
      </c>
      <c r="AJ68" s="24">
        <f t="shared" si="7"/>
        <v>59.033000000000001</v>
      </c>
    </row>
    <row r="69" spans="1:36" x14ac:dyDescent="0.3">
      <c r="A69" s="6" t="s">
        <v>1170</v>
      </c>
      <c r="B69" s="10" t="s">
        <v>1171</v>
      </c>
      <c r="C69" s="10" t="s">
        <v>1148</v>
      </c>
      <c r="D69" s="10" t="s">
        <v>1172</v>
      </c>
      <c r="E69" s="10" t="s">
        <v>1173</v>
      </c>
      <c r="F69" s="10"/>
      <c r="G69" s="6">
        <v>3</v>
      </c>
      <c r="H69" s="6" t="s">
        <v>1174</v>
      </c>
      <c r="I69" s="15">
        <v>91</v>
      </c>
      <c r="J69" s="15">
        <v>0</v>
      </c>
      <c r="K69" s="10" t="s">
        <v>916</v>
      </c>
      <c r="L69" s="6" t="str">
        <f t="shared" ref="L69:L80" si="8">IF(OR(G69=3,G69=4),"Pass","Fail")</f>
        <v>Pass</v>
      </c>
      <c r="M69" s="19" t="s">
        <v>911</v>
      </c>
      <c r="N69" s="6" t="str">
        <f>IF(I69&gt;='Selection Criteria'!$C$25,"Pass","Fail")</f>
        <v>Pass</v>
      </c>
      <c r="O69" s="19" t="s">
        <v>911</v>
      </c>
      <c r="P69" s="14" t="str">
        <f t="shared" ref="P69:P80" si="9">IF(AND(L69="Pass",M69="Pass",N69="Pass",O69="Pass"),"Pass","Fail")</f>
        <v>Pass</v>
      </c>
      <c r="Q69" s="14" t="str">
        <f>INDEX('Hero Segmentation'!$Q$5:$Q$80,MATCH($A69,'Hero Segmentation'!$A$5:$A$80,0))</f>
        <v>Non-Hero</v>
      </c>
      <c r="R69" s="19">
        <v>3</v>
      </c>
      <c r="S69" s="19">
        <v>3</v>
      </c>
      <c r="T69" s="19">
        <v>3</v>
      </c>
      <c r="U69" s="19">
        <v>3</v>
      </c>
      <c r="V69" s="19">
        <v>2</v>
      </c>
      <c r="W69" s="19">
        <v>2</v>
      </c>
      <c r="X69" s="19">
        <v>2</v>
      </c>
      <c r="Y69" s="19">
        <v>2</v>
      </c>
      <c r="Z69" s="23">
        <f>IF(P69="Pass",(R69*'Selection Criteria'!$F$13+S69*'Selection Criteria'!$F$14+T69*'Selection Criteria'!$F$15+U69*'Selection Criteria'!$F$16+V69*'Selection Criteria'!$F$17+W69*'Selection Criteria'!$F$18+X69*'Selection Criteria'!$F$19+Y69*'Selection Criteria'!$F$20)/(5*'Selection Criteria'!$F$21)*100,"-")</f>
        <v>53</v>
      </c>
      <c r="AA69" s="6">
        <f t="shared" ref="AA69:AA80" si="10">IF(AJ69&lt;0,"-",COUNTIFS($Q$5:$Q$80,Q69,$AJ$5:$AJ$80,"&gt;"&amp;AJ69)+1)</f>
        <v>14</v>
      </c>
      <c r="AB69" s="14" t="str">
        <f>IF(P69&lt;&gt;"Pass","Parked (gate)",IF(AC69="PROTECT","Protect (control)",IF(AA69&lt;=IF(Q69="Hero",'Hero Criteria'!$C$38,IF(Q69="Probable Hero",'Hero Criteria'!$C$39,'Hero Criteria'!$C$40)),"Recommended",IF(AA69&lt;=IF(Q69="Hero",'Hero Criteria'!$C$38,IF(Q69="Probable Hero",'Hero Criteria'!$C$39,'Hero Criteria'!$C$40))+'Hero Criteria'!$C$41,"Reserve","Backlog"))))</f>
        <v>Backlog</v>
      </c>
      <c r="AC69" s="6" t="str">
        <f>INDEX('Hero Segmentation'!$R$5:$R$80,MATCH($A69,'Hero Segmentation'!$A$5:$A$80,0))</f>
        <v>EXPLORE</v>
      </c>
      <c r="AD69" s="6" t="str">
        <f>IF(AND(AB69="Recommended",J69&gt;='Selection Criteria'!$C$26),"Yes","")</f>
        <v/>
      </c>
      <c r="AE69" s="10" t="str">
        <f>IFERROR(INDEX('Primary Competitor Fit'!$D$5:$D$91,MATCH($A69&amp;"|Primary 1",'Primary Competitor Fit'!$M$5:$M$91,0)),"Best Buy")</f>
        <v>Best Buy</v>
      </c>
      <c r="AF69" s="10" t="str">
        <f>IFERROR(INDEX('Primary Competitor Fit'!$D$5:$D$91,MATCH($A69&amp;"|Primary 2",'Primary Competitor Fit'!$M$5:$M$91,0)),"Target")</f>
        <v>Target</v>
      </c>
      <c r="AG69" s="10" t="str">
        <f>IFERROR(INDEX('Secondary Competitor Fit'!$D$5:$D$98,MATCH($A69&amp;"|Secondary 1",'Secondary Competitor Fit'!$M$5:$M$98,0)),"-")</f>
        <v>-</v>
      </c>
      <c r="AH69" s="10" t="str">
        <f>IFERROR(INDEX('Secondary Competitor Fit'!$D$5:$D$98,MATCH($A69&amp;"|Secondary 2",'Secondary Competitor Fit'!$M$5:$M$98,0)),"-")</f>
        <v>-</v>
      </c>
      <c r="AI69" s="10" t="s">
        <v>1175</v>
      </c>
      <c r="AJ69" s="24">
        <f t="shared" ref="AJ69:AJ80" si="11">IF(AND(P69="Pass",AC69&lt;&gt;"PROTECT"),Z69+U69/100+R69/1000,-1)</f>
        <v>53.033000000000001</v>
      </c>
    </row>
    <row r="70" spans="1:36" ht="26.4" x14ac:dyDescent="0.3">
      <c r="A70" s="6" t="s">
        <v>739</v>
      </c>
      <c r="B70" s="10" t="s">
        <v>740</v>
      </c>
      <c r="C70" s="10" t="s">
        <v>923</v>
      </c>
      <c r="D70" s="10" t="s">
        <v>647</v>
      </c>
      <c r="E70" s="10" t="s">
        <v>1176</v>
      </c>
      <c r="F70" s="10" t="s">
        <v>1177</v>
      </c>
      <c r="G70" s="6">
        <v>4</v>
      </c>
      <c r="H70" s="6" t="s">
        <v>741</v>
      </c>
      <c r="I70" s="15">
        <v>77</v>
      </c>
      <c r="J70" s="15">
        <v>40</v>
      </c>
      <c r="K70" s="10" t="s">
        <v>958</v>
      </c>
      <c r="L70" s="6" t="str">
        <f t="shared" si="8"/>
        <v>Pass</v>
      </c>
      <c r="M70" s="19" t="s">
        <v>911</v>
      </c>
      <c r="N70" s="6" t="str">
        <f>IF(I70&gt;='Selection Criteria'!$C$25,"Pass","Fail")</f>
        <v>Pass</v>
      </c>
      <c r="O70" s="19" t="s">
        <v>911</v>
      </c>
      <c r="P70" s="14" t="str">
        <f t="shared" si="9"/>
        <v>Pass</v>
      </c>
      <c r="Q70" s="14" t="str">
        <f>INDEX('Hero Segmentation'!$Q$5:$Q$80,MATCH($A70,'Hero Segmentation'!$A$5:$A$80,0))</f>
        <v>Non-Hero</v>
      </c>
      <c r="R70" s="19">
        <v>2</v>
      </c>
      <c r="S70" s="19">
        <v>3</v>
      </c>
      <c r="T70" s="19">
        <v>3</v>
      </c>
      <c r="U70" s="19">
        <v>4</v>
      </c>
      <c r="V70" s="19">
        <v>1</v>
      </c>
      <c r="W70" s="19">
        <v>2</v>
      </c>
      <c r="X70" s="19">
        <v>2</v>
      </c>
      <c r="Y70" s="19">
        <v>3</v>
      </c>
      <c r="Z70" s="23">
        <f>IF(P70="Pass",(R70*'Selection Criteria'!$F$13+S70*'Selection Criteria'!$F$14+T70*'Selection Criteria'!$F$15+U70*'Selection Criteria'!$F$16+V70*'Selection Criteria'!$F$17+W70*'Selection Criteria'!$F$18+X70*'Selection Criteria'!$F$19+Y70*'Selection Criteria'!$F$20)/(5*'Selection Criteria'!$F$21)*100,"-")</f>
        <v>52</v>
      </c>
      <c r="AA70" s="6">
        <f t="shared" si="10"/>
        <v>15</v>
      </c>
      <c r="AB70" s="14" t="str">
        <f>IF(P70&lt;&gt;"Pass","Parked (gate)",IF(AC70="PROTECT","Protect (control)",IF(AA70&lt;=IF(Q70="Hero",'Hero Criteria'!$C$38,IF(Q70="Probable Hero",'Hero Criteria'!$C$39,'Hero Criteria'!$C$40)),"Recommended",IF(AA70&lt;=IF(Q70="Hero",'Hero Criteria'!$C$38,IF(Q70="Probable Hero",'Hero Criteria'!$C$39,'Hero Criteria'!$C$40))+'Hero Criteria'!$C$41,"Reserve","Backlog"))))</f>
        <v>Backlog</v>
      </c>
      <c r="AC70" s="6" t="str">
        <f>INDEX('Hero Segmentation'!$R$5:$R$80,MATCH($A70,'Hero Segmentation'!$A$5:$A$80,0))</f>
        <v>EXPLORE</v>
      </c>
      <c r="AD70" s="6" t="str">
        <f>IF(AND(AB70="Recommended",J70&gt;='Selection Criteria'!$C$26),"Yes","")</f>
        <v/>
      </c>
      <c r="AE70" s="10" t="str">
        <f>IFERROR(INDEX('Primary Competitor Fit'!$D$5:$D$91,MATCH($A70&amp;"|Primary 1",'Primary Competitor Fit'!$M$5:$M$91,0)),"Wayfair")</f>
        <v>Wayfair</v>
      </c>
      <c r="AF70" s="10" t="str">
        <f>IFERROR(INDEX('Primary Competitor Fit'!$D$5:$D$91,MATCH($A70&amp;"|Primary 2",'Primary Competitor Fit'!$M$5:$M$91,0)),"Amazon")</f>
        <v>Amazon</v>
      </c>
      <c r="AG70" s="10" t="str">
        <f>IFERROR(INDEX('Secondary Competitor Fit'!$D$5:$D$98,MATCH($A70&amp;"|Secondary 1",'Secondary Competitor Fit'!$M$5:$M$98,0)),"-")</f>
        <v>-</v>
      </c>
      <c r="AH70" s="10" t="str">
        <f>IFERROR(INDEX('Secondary Competitor Fit'!$D$5:$D$98,MATCH($A70&amp;"|Secondary 2",'Secondary Competitor Fit'!$M$5:$M$98,0)),"-")</f>
        <v>-</v>
      </c>
      <c r="AI70" s="10" t="s">
        <v>1178</v>
      </c>
      <c r="AJ70" s="24">
        <f t="shared" si="11"/>
        <v>52.042000000000002</v>
      </c>
    </row>
    <row r="71" spans="1:36" x14ac:dyDescent="0.3">
      <c r="A71" s="6" t="s">
        <v>731</v>
      </c>
      <c r="B71" s="10" t="s">
        <v>732</v>
      </c>
      <c r="C71" s="10" t="s">
        <v>923</v>
      </c>
      <c r="D71" s="10" t="s">
        <v>639</v>
      </c>
      <c r="E71" s="10" t="s">
        <v>1179</v>
      </c>
      <c r="F71" s="10"/>
      <c r="G71" s="6">
        <v>3</v>
      </c>
      <c r="H71" s="6" t="s">
        <v>733</v>
      </c>
      <c r="I71" s="15">
        <v>87</v>
      </c>
      <c r="J71" s="15">
        <v>40</v>
      </c>
      <c r="K71" s="10" t="s">
        <v>925</v>
      </c>
      <c r="L71" s="6" t="str">
        <f t="shared" si="8"/>
        <v>Pass</v>
      </c>
      <c r="M71" s="19" t="s">
        <v>911</v>
      </c>
      <c r="N71" s="6" t="str">
        <f>IF(I71&gt;='Selection Criteria'!$C$25,"Pass","Fail")</f>
        <v>Pass</v>
      </c>
      <c r="O71" s="19" t="s">
        <v>911</v>
      </c>
      <c r="P71" s="14" t="str">
        <f t="shared" si="9"/>
        <v>Pass</v>
      </c>
      <c r="Q71" s="14" t="str">
        <f>INDEX('Hero Segmentation'!$Q$5:$Q$80,MATCH($A71,'Hero Segmentation'!$A$5:$A$80,0))</f>
        <v>Non-Hero</v>
      </c>
      <c r="R71" s="19">
        <v>3</v>
      </c>
      <c r="S71" s="19">
        <v>3</v>
      </c>
      <c r="T71" s="19">
        <v>2</v>
      </c>
      <c r="U71" s="19">
        <v>3</v>
      </c>
      <c r="V71" s="19">
        <v>1</v>
      </c>
      <c r="W71" s="19">
        <v>2</v>
      </c>
      <c r="X71" s="19">
        <v>2</v>
      </c>
      <c r="Y71" s="19">
        <v>3</v>
      </c>
      <c r="Z71" s="23">
        <f>IF(P71="Pass",(R71*'Selection Criteria'!$F$13+S71*'Selection Criteria'!$F$14+T71*'Selection Criteria'!$F$15+U71*'Selection Criteria'!$F$16+V71*'Selection Criteria'!$F$17+W71*'Selection Criteria'!$F$18+X71*'Selection Criteria'!$F$19+Y71*'Selection Criteria'!$F$20)/(5*'Selection Criteria'!$F$21)*100,"-")</f>
        <v>50</v>
      </c>
      <c r="AA71" s="6">
        <f t="shared" si="10"/>
        <v>16</v>
      </c>
      <c r="AB71" s="14" t="str">
        <f>IF(P71&lt;&gt;"Pass","Parked (gate)",IF(AC71="PROTECT","Protect (control)",IF(AA71&lt;=IF(Q71="Hero",'Hero Criteria'!$C$38,IF(Q71="Probable Hero",'Hero Criteria'!$C$39,'Hero Criteria'!$C$40)),"Recommended",IF(AA71&lt;=IF(Q71="Hero",'Hero Criteria'!$C$38,IF(Q71="Probable Hero",'Hero Criteria'!$C$39,'Hero Criteria'!$C$40))+'Hero Criteria'!$C$41,"Reserve","Backlog"))))</f>
        <v>Backlog</v>
      </c>
      <c r="AC71" s="6" t="str">
        <f>INDEX('Hero Segmentation'!$R$5:$R$80,MATCH($A71,'Hero Segmentation'!$A$5:$A$80,0))</f>
        <v>EXPLORE</v>
      </c>
      <c r="AD71" s="6" t="str">
        <f>IF(AND(AB71="Recommended",J71&gt;='Selection Criteria'!$C$26),"Yes","")</f>
        <v/>
      </c>
      <c r="AE71" s="10" t="str">
        <f>IFERROR(INDEX('Primary Competitor Fit'!$D$5:$D$91,MATCH($A71&amp;"|Primary 1",'Primary Competitor Fit'!$M$5:$M$91,0)),"Best Buy")</f>
        <v>Best Buy</v>
      </c>
      <c r="AF71" s="10" t="str">
        <f>IFERROR(INDEX('Primary Competitor Fit'!$D$5:$D$91,MATCH($A71&amp;"|Primary 2",'Primary Competitor Fit'!$M$5:$M$91,0)),"Amazon")</f>
        <v>Amazon</v>
      </c>
      <c r="AG71" s="10" t="str">
        <f>IFERROR(INDEX('Secondary Competitor Fit'!$D$5:$D$98,MATCH($A71&amp;"|Secondary 1",'Secondary Competitor Fit'!$M$5:$M$98,0)),"-")</f>
        <v>-</v>
      </c>
      <c r="AH71" s="10" t="str">
        <f>IFERROR(INDEX('Secondary Competitor Fit'!$D$5:$D$98,MATCH($A71&amp;"|Secondary 2",'Secondary Competitor Fit'!$M$5:$M$98,0)),"-")</f>
        <v>-</v>
      </c>
      <c r="AI71" s="10" t="s">
        <v>1180</v>
      </c>
      <c r="AJ71" s="24">
        <f t="shared" si="11"/>
        <v>50.033000000000001</v>
      </c>
    </row>
    <row r="72" spans="1:36" ht="26.4" x14ac:dyDescent="0.3">
      <c r="A72" s="6" t="s">
        <v>749</v>
      </c>
      <c r="B72" s="10" t="s">
        <v>750</v>
      </c>
      <c r="C72" s="10" t="s">
        <v>964</v>
      </c>
      <c r="D72" s="10" t="s">
        <v>661</v>
      </c>
      <c r="E72" s="10"/>
      <c r="F72" s="10"/>
      <c r="G72" s="6">
        <v>2</v>
      </c>
      <c r="H72" s="6" t="s">
        <v>751</v>
      </c>
      <c r="I72" s="15">
        <v>804</v>
      </c>
      <c r="J72" s="15">
        <v>746</v>
      </c>
      <c r="K72" s="10" t="s">
        <v>1181</v>
      </c>
      <c r="L72" s="6" t="str">
        <f t="shared" si="8"/>
        <v>Fail</v>
      </c>
      <c r="M72" s="19" t="s">
        <v>911</v>
      </c>
      <c r="N72" s="6" t="str">
        <f>IF(I72&gt;='Selection Criteria'!$C$25,"Pass","Fail")</f>
        <v>Pass</v>
      </c>
      <c r="O72" s="19" t="s">
        <v>911</v>
      </c>
      <c r="P72" s="14" t="str">
        <f t="shared" si="9"/>
        <v>Fail</v>
      </c>
      <c r="Q72" s="14" t="str">
        <f>INDEX('Hero Segmentation'!$Q$5:$Q$80,MATCH($A72,'Hero Segmentation'!$A$5:$A$80,0))</f>
        <v>Probable Hero</v>
      </c>
      <c r="R72" s="19"/>
      <c r="S72" s="19"/>
      <c r="T72" s="19"/>
      <c r="U72" s="19"/>
      <c r="V72" s="19"/>
      <c r="W72" s="19"/>
      <c r="X72" s="19"/>
      <c r="Y72" s="19"/>
      <c r="Z72" s="23" t="str">
        <f>IF(P72="Pass",(R72*'Selection Criteria'!$F$13+S72*'Selection Criteria'!$F$14+T72*'Selection Criteria'!$F$15+U72*'Selection Criteria'!$F$16+V72*'Selection Criteria'!$F$17+W72*'Selection Criteria'!$F$18+X72*'Selection Criteria'!$F$19+Y72*'Selection Criteria'!$F$20)/(5*'Selection Criteria'!$F$21)*100,"-")</f>
        <v>-</v>
      </c>
      <c r="AA72" s="6" t="str">
        <f t="shared" si="10"/>
        <v>-</v>
      </c>
      <c r="AB72" s="14" t="str">
        <f>IF(P72&lt;&gt;"Pass","Parked (gate)",IF(AC72="PROTECT","Protect (control)",IF(AA72&lt;=IF(Q72="Hero",'Hero Criteria'!$C$38,IF(Q72="Probable Hero",'Hero Criteria'!$C$39,'Hero Criteria'!$C$40)),"Recommended",IF(AA72&lt;=IF(Q72="Hero",'Hero Criteria'!$C$38,IF(Q72="Probable Hero",'Hero Criteria'!$C$39,'Hero Criteria'!$C$40))+'Hero Criteria'!$C$41,"Reserve","Backlog"))))</f>
        <v>Parked (gate)</v>
      </c>
      <c r="AC72" s="6" t="str">
        <f>INDEX('Hero Segmentation'!$R$5:$R$80,MATCH($A72,'Hero Segmentation'!$A$5:$A$80,0))</f>
        <v>BUILD</v>
      </c>
      <c r="AD72" s="6" t="str">
        <f>IF(AND(AB72="Recommended",J72&gt;='Selection Criteria'!$C$26),"Yes","")</f>
        <v/>
      </c>
      <c r="AE72" s="10" t="str">
        <f>IFERROR(INDEX('Primary Competitor Fit'!$D$5:$D$91,MATCH($A72&amp;"|Primary 1",'Primary Competitor Fit'!$M$5:$M$91,0)),"-")</f>
        <v>-</v>
      </c>
      <c r="AF72" s="10" t="str">
        <f>IFERROR(INDEX('Primary Competitor Fit'!$D$5:$D$91,MATCH($A72&amp;"|Primary 2",'Primary Competitor Fit'!$M$5:$M$91,0)),"-")</f>
        <v>-</v>
      </c>
      <c r="AG72" s="10" t="str">
        <f>IFERROR(INDEX('Secondary Competitor Fit'!$D$5:$D$98,MATCH($A72&amp;"|Secondary 1",'Secondary Competitor Fit'!$M$5:$M$98,0)),"-")</f>
        <v>-</v>
      </c>
      <c r="AH72" s="10" t="str">
        <f>IFERROR(INDEX('Secondary Competitor Fit'!$D$5:$D$98,MATCH($A72&amp;"|Secondary 2",'Secondary Competitor Fit'!$M$5:$M$98,0)),"-")</f>
        <v>-</v>
      </c>
      <c r="AI72" s="10" t="s">
        <v>1182</v>
      </c>
      <c r="AJ72" s="24">
        <f t="shared" si="11"/>
        <v>-1</v>
      </c>
    </row>
    <row r="73" spans="1:36" x14ac:dyDescent="0.3">
      <c r="A73" s="6" t="s">
        <v>1183</v>
      </c>
      <c r="B73" s="10" t="s">
        <v>1184</v>
      </c>
      <c r="C73" s="10" t="s">
        <v>923</v>
      </c>
      <c r="D73" s="10" t="s">
        <v>1185</v>
      </c>
      <c r="E73" s="10"/>
      <c r="F73" s="10"/>
      <c r="G73" s="6">
        <v>2</v>
      </c>
      <c r="H73" s="6" t="s">
        <v>1186</v>
      </c>
      <c r="I73" s="15">
        <v>308</v>
      </c>
      <c r="J73" s="15">
        <v>0</v>
      </c>
      <c r="K73" s="10" t="s">
        <v>916</v>
      </c>
      <c r="L73" s="6" t="str">
        <f t="shared" si="8"/>
        <v>Fail</v>
      </c>
      <c r="M73" s="19" t="s">
        <v>911</v>
      </c>
      <c r="N73" s="6" t="str">
        <f>IF(I73&gt;='Selection Criteria'!$C$25,"Pass","Fail")</f>
        <v>Pass</v>
      </c>
      <c r="O73" s="19" t="s">
        <v>911</v>
      </c>
      <c r="P73" s="14" t="str">
        <f t="shared" si="9"/>
        <v>Fail</v>
      </c>
      <c r="Q73" s="14" t="str">
        <f>INDEX('Hero Segmentation'!$Q$5:$Q$80,MATCH($A73,'Hero Segmentation'!$A$5:$A$80,0))</f>
        <v>Hero</v>
      </c>
      <c r="R73" s="19"/>
      <c r="S73" s="19"/>
      <c r="T73" s="19"/>
      <c r="U73" s="19"/>
      <c r="V73" s="19"/>
      <c r="W73" s="19"/>
      <c r="X73" s="19"/>
      <c r="Y73" s="19"/>
      <c r="Z73" s="23" t="str">
        <f>IF(P73="Pass",(R73*'Selection Criteria'!$F$13+S73*'Selection Criteria'!$F$14+T73*'Selection Criteria'!$F$15+U73*'Selection Criteria'!$F$16+V73*'Selection Criteria'!$F$17+W73*'Selection Criteria'!$F$18+X73*'Selection Criteria'!$F$19+Y73*'Selection Criteria'!$F$20)/(5*'Selection Criteria'!$F$21)*100,"-")</f>
        <v>-</v>
      </c>
      <c r="AA73" s="6" t="str">
        <f t="shared" si="10"/>
        <v>-</v>
      </c>
      <c r="AB73" s="14" t="str">
        <f>IF(P73&lt;&gt;"Pass","Parked (gate)",IF(AC73="PROTECT","Protect (control)",IF(AA73&lt;=IF(Q73="Hero",'Hero Criteria'!$C$38,IF(Q73="Probable Hero",'Hero Criteria'!$C$39,'Hero Criteria'!$C$40)),"Recommended",IF(AA73&lt;=IF(Q73="Hero",'Hero Criteria'!$C$38,IF(Q73="Probable Hero",'Hero Criteria'!$C$39,'Hero Criteria'!$C$40))+'Hero Criteria'!$C$41,"Reserve","Backlog"))))</f>
        <v>Parked (gate)</v>
      </c>
      <c r="AC73" s="6" t="str">
        <f>INDEX('Hero Segmentation'!$R$5:$R$80,MATCH($A73,'Hero Segmentation'!$A$5:$A$80,0))</f>
        <v>PROTECT</v>
      </c>
      <c r="AD73" s="6" t="str">
        <f>IF(AND(AB73="Recommended",J73&gt;='Selection Criteria'!$C$26),"Yes","")</f>
        <v/>
      </c>
      <c r="AE73" s="10" t="str">
        <f>IFERROR(INDEX('Primary Competitor Fit'!$D$5:$D$91,MATCH($A73&amp;"|Primary 1",'Primary Competitor Fit'!$M$5:$M$91,0)),"-")</f>
        <v>-</v>
      </c>
      <c r="AF73" s="10" t="str">
        <f>IFERROR(INDEX('Primary Competitor Fit'!$D$5:$D$91,MATCH($A73&amp;"|Primary 2",'Primary Competitor Fit'!$M$5:$M$91,0)),"-")</f>
        <v>-</v>
      </c>
      <c r="AG73" s="10" t="str">
        <f>IFERROR(INDEX('Secondary Competitor Fit'!$D$5:$D$98,MATCH($A73&amp;"|Secondary 1",'Secondary Competitor Fit'!$M$5:$M$98,0)),"-")</f>
        <v>-</v>
      </c>
      <c r="AH73" s="10" t="str">
        <f>IFERROR(INDEX('Secondary Competitor Fit'!$D$5:$D$98,MATCH($A73&amp;"|Secondary 2",'Secondary Competitor Fit'!$M$5:$M$98,0)),"-")</f>
        <v>-</v>
      </c>
      <c r="AI73" s="10" t="s">
        <v>1187</v>
      </c>
      <c r="AJ73" s="24">
        <f t="shared" si="11"/>
        <v>-1</v>
      </c>
    </row>
    <row r="74" spans="1:36" ht="26.4" x14ac:dyDescent="0.3">
      <c r="A74" s="6" t="s">
        <v>775</v>
      </c>
      <c r="B74" s="10" t="s">
        <v>776</v>
      </c>
      <c r="C74" s="10" t="s">
        <v>907</v>
      </c>
      <c r="D74" s="10" t="s">
        <v>1188</v>
      </c>
      <c r="E74" s="10"/>
      <c r="F74" s="10"/>
      <c r="G74" s="6">
        <v>2</v>
      </c>
      <c r="H74" s="6" t="s">
        <v>777</v>
      </c>
      <c r="I74" s="15">
        <v>11493</v>
      </c>
      <c r="J74" s="15">
        <v>9862</v>
      </c>
      <c r="K74" s="10" t="s">
        <v>998</v>
      </c>
      <c r="L74" s="6" t="str">
        <f t="shared" si="8"/>
        <v>Fail</v>
      </c>
      <c r="M74" s="19" t="s">
        <v>911</v>
      </c>
      <c r="N74" s="6" t="str">
        <f>IF(I74&gt;='Selection Criteria'!$C$25,"Pass","Fail")</f>
        <v>Pass</v>
      </c>
      <c r="O74" s="19" t="s">
        <v>911</v>
      </c>
      <c r="P74" s="14" t="str">
        <f t="shared" si="9"/>
        <v>Fail</v>
      </c>
      <c r="Q74" s="14" t="str">
        <f>INDEX('Hero Segmentation'!$Q$5:$Q$80,MATCH($A74,'Hero Segmentation'!$A$5:$A$80,0))</f>
        <v>Hero</v>
      </c>
      <c r="R74" s="19"/>
      <c r="S74" s="19"/>
      <c r="T74" s="19"/>
      <c r="U74" s="19"/>
      <c r="V74" s="19"/>
      <c r="W74" s="19"/>
      <c r="X74" s="19"/>
      <c r="Y74" s="19"/>
      <c r="Z74" s="23" t="str">
        <f>IF(P74="Pass",(R74*'Selection Criteria'!$F$13+S74*'Selection Criteria'!$F$14+T74*'Selection Criteria'!$F$15+U74*'Selection Criteria'!$F$16+V74*'Selection Criteria'!$F$17+W74*'Selection Criteria'!$F$18+X74*'Selection Criteria'!$F$19+Y74*'Selection Criteria'!$F$20)/(5*'Selection Criteria'!$F$21)*100,"-")</f>
        <v>-</v>
      </c>
      <c r="AA74" s="6" t="str">
        <f t="shared" si="10"/>
        <v>-</v>
      </c>
      <c r="AB74" s="14" t="str">
        <f>IF(P74&lt;&gt;"Pass","Parked (gate)",IF(AC74="PROTECT","Protect (control)",IF(AA74&lt;=IF(Q74="Hero",'Hero Criteria'!$C$38,IF(Q74="Probable Hero",'Hero Criteria'!$C$39,'Hero Criteria'!$C$40)),"Recommended",IF(AA74&lt;=IF(Q74="Hero",'Hero Criteria'!$C$38,IF(Q74="Probable Hero",'Hero Criteria'!$C$39,'Hero Criteria'!$C$40))+'Hero Criteria'!$C$41,"Reserve","Backlog"))))</f>
        <v>Parked (gate)</v>
      </c>
      <c r="AC74" s="6" t="str">
        <f>INDEX('Hero Segmentation'!$R$5:$R$80,MATCH($A74,'Hero Segmentation'!$A$5:$A$80,0))</f>
        <v>PROTECT</v>
      </c>
      <c r="AD74" s="6" t="str">
        <f>IF(AND(AB74="Recommended",J74&gt;='Selection Criteria'!$C$26),"Yes","")</f>
        <v/>
      </c>
      <c r="AE74" s="10" t="str">
        <f>IFERROR(INDEX('Primary Competitor Fit'!$D$5:$D$91,MATCH($A74&amp;"|Primary 1",'Primary Competitor Fit'!$M$5:$M$91,0)),"-")</f>
        <v>-</v>
      </c>
      <c r="AF74" s="10" t="str">
        <f>IFERROR(INDEX('Primary Competitor Fit'!$D$5:$D$91,MATCH($A74&amp;"|Primary 2",'Primary Competitor Fit'!$M$5:$M$91,0)),"-")</f>
        <v>-</v>
      </c>
      <c r="AG74" s="10" t="str">
        <f>IFERROR(INDEX('Secondary Competitor Fit'!$D$5:$D$98,MATCH($A74&amp;"|Secondary 1",'Secondary Competitor Fit'!$M$5:$M$98,0)),"-")</f>
        <v>-</v>
      </c>
      <c r="AH74" s="10" t="str">
        <f>IFERROR(INDEX('Secondary Competitor Fit'!$D$5:$D$98,MATCH($A74&amp;"|Secondary 2",'Secondary Competitor Fit'!$M$5:$M$98,0)),"-")</f>
        <v>-</v>
      </c>
      <c r="AI74" s="10" t="s">
        <v>1189</v>
      </c>
      <c r="AJ74" s="24">
        <f t="shared" si="11"/>
        <v>-1</v>
      </c>
    </row>
    <row r="75" spans="1:36" ht="26.4" x14ac:dyDescent="0.3">
      <c r="A75" s="6" t="s">
        <v>779</v>
      </c>
      <c r="B75" s="10" t="s">
        <v>780</v>
      </c>
      <c r="C75" s="10" t="s">
        <v>1190</v>
      </c>
      <c r="D75" s="10" t="s">
        <v>1191</v>
      </c>
      <c r="E75" s="10" t="s">
        <v>1192</v>
      </c>
      <c r="F75" s="10"/>
      <c r="G75" s="6">
        <v>3</v>
      </c>
      <c r="H75" s="6" t="s">
        <v>781</v>
      </c>
      <c r="I75" s="15">
        <v>123</v>
      </c>
      <c r="J75" s="15">
        <v>0</v>
      </c>
      <c r="K75" s="10" t="s">
        <v>998</v>
      </c>
      <c r="L75" s="6" t="str">
        <f t="shared" si="8"/>
        <v>Pass</v>
      </c>
      <c r="M75" s="19" t="s">
        <v>911</v>
      </c>
      <c r="N75" s="6" t="str">
        <f>IF(I75&gt;='Selection Criteria'!$C$25,"Pass","Fail")</f>
        <v>Pass</v>
      </c>
      <c r="O75" s="19" t="s">
        <v>1193</v>
      </c>
      <c r="P75" s="14" t="str">
        <f t="shared" si="9"/>
        <v>Fail</v>
      </c>
      <c r="Q75" s="14" t="str">
        <f>INDEX('Hero Segmentation'!$Q$5:$Q$80,MATCH($A75,'Hero Segmentation'!$A$5:$A$80,0))</f>
        <v>Hero</v>
      </c>
      <c r="R75" s="19"/>
      <c r="S75" s="19"/>
      <c r="T75" s="19"/>
      <c r="U75" s="19"/>
      <c r="V75" s="19"/>
      <c r="W75" s="19"/>
      <c r="X75" s="19"/>
      <c r="Y75" s="19"/>
      <c r="Z75" s="23" t="str">
        <f>IF(P75="Pass",(R75*'Selection Criteria'!$F$13+S75*'Selection Criteria'!$F$14+T75*'Selection Criteria'!$F$15+U75*'Selection Criteria'!$F$16+V75*'Selection Criteria'!$F$17+W75*'Selection Criteria'!$F$18+X75*'Selection Criteria'!$F$19+Y75*'Selection Criteria'!$F$20)/(5*'Selection Criteria'!$F$21)*100,"-")</f>
        <v>-</v>
      </c>
      <c r="AA75" s="6" t="str">
        <f t="shared" si="10"/>
        <v>-</v>
      </c>
      <c r="AB75" s="14" t="str">
        <f>IF(P75&lt;&gt;"Pass","Parked (gate)",IF(AC75="PROTECT","Protect (control)",IF(AA75&lt;=IF(Q75="Hero",'Hero Criteria'!$C$38,IF(Q75="Probable Hero",'Hero Criteria'!$C$39,'Hero Criteria'!$C$40)),"Recommended",IF(AA75&lt;=IF(Q75="Hero",'Hero Criteria'!$C$38,IF(Q75="Probable Hero",'Hero Criteria'!$C$39,'Hero Criteria'!$C$40))+'Hero Criteria'!$C$41,"Reserve","Backlog"))))</f>
        <v>Parked (gate)</v>
      </c>
      <c r="AC75" s="6" t="str">
        <f>INDEX('Hero Segmentation'!$R$5:$R$80,MATCH($A75,'Hero Segmentation'!$A$5:$A$80,0))</f>
        <v>PROTECT</v>
      </c>
      <c r="AD75" s="6" t="str">
        <f>IF(AND(AB75="Recommended",J75&gt;='Selection Criteria'!$C$26),"Yes","")</f>
        <v/>
      </c>
      <c r="AE75" s="10" t="str">
        <f>IFERROR(INDEX('Primary Competitor Fit'!$D$5:$D$91,MATCH($A75&amp;"|Primary 1",'Primary Competitor Fit'!$M$5:$M$91,0)),"-")</f>
        <v>-</v>
      </c>
      <c r="AF75" s="10" t="str">
        <f>IFERROR(INDEX('Primary Competitor Fit'!$D$5:$D$91,MATCH($A75&amp;"|Primary 2",'Primary Competitor Fit'!$M$5:$M$91,0)),"-")</f>
        <v>-</v>
      </c>
      <c r="AG75" s="10" t="str">
        <f>IFERROR(INDEX('Secondary Competitor Fit'!$D$5:$D$98,MATCH($A75&amp;"|Secondary 1",'Secondary Competitor Fit'!$M$5:$M$98,0)),"-")</f>
        <v>-</v>
      </c>
      <c r="AH75" s="10" t="str">
        <f>IFERROR(INDEX('Secondary Competitor Fit'!$D$5:$D$98,MATCH($A75&amp;"|Secondary 2",'Secondary Competitor Fit'!$M$5:$M$98,0)),"-")</f>
        <v>-</v>
      </c>
      <c r="AI75" s="10" t="s">
        <v>1194</v>
      </c>
      <c r="AJ75" s="24">
        <f t="shared" si="11"/>
        <v>-1</v>
      </c>
    </row>
    <row r="76" spans="1:36" ht="26.4" x14ac:dyDescent="0.3">
      <c r="A76" s="6" t="s">
        <v>783</v>
      </c>
      <c r="B76" s="10" t="s">
        <v>784</v>
      </c>
      <c r="C76" s="10" t="s">
        <v>1190</v>
      </c>
      <c r="D76" s="10" t="s">
        <v>1191</v>
      </c>
      <c r="E76" s="10" t="s">
        <v>1195</v>
      </c>
      <c r="F76" s="10"/>
      <c r="G76" s="6">
        <v>3</v>
      </c>
      <c r="H76" s="6" t="s">
        <v>785</v>
      </c>
      <c r="I76" s="15">
        <v>149</v>
      </c>
      <c r="J76" s="15">
        <v>0</v>
      </c>
      <c r="K76" s="10" t="s">
        <v>998</v>
      </c>
      <c r="L76" s="6" t="str">
        <f t="shared" si="8"/>
        <v>Pass</v>
      </c>
      <c r="M76" s="19" t="s">
        <v>911</v>
      </c>
      <c r="N76" s="6" t="str">
        <f>IF(I76&gt;='Selection Criteria'!$C$25,"Pass","Fail")</f>
        <v>Pass</v>
      </c>
      <c r="O76" s="19" t="s">
        <v>1193</v>
      </c>
      <c r="P76" s="14" t="str">
        <f t="shared" si="9"/>
        <v>Fail</v>
      </c>
      <c r="Q76" s="14" t="str">
        <f>INDEX('Hero Segmentation'!$Q$5:$Q$80,MATCH($A76,'Hero Segmentation'!$A$5:$A$80,0))</f>
        <v>Hero</v>
      </c>
      <c r="R76" s="19"/>
      <c r="S76" s="19"/>
      <c r="T76" s="19"/>
      <c r="U76" s="19"/>
      <c r="V76" s="19"/>
      <c r="W76" s="19"/>
      <c r="X76" s="19"/>
      <c r="Y76" s="19"/>
      <c r="Z76" s="23" t="str">
        <f>IF(P76="Pass",(R76*'Selection Criteria'!$F$13+S76*'Selection Criteria'!$F$14+T76*'Selection Criteria'!$F$15+U76*'Selection Criteria'!$F$16+V76*'Selection Criteria'!$F$17+W76*'Selection Criteria'!$F$18+X76*'Selection Criteria'!$F$19+Y76*'Selection Criteria'!$F$20)/(5*'Selection Criteria'!$F$21)*100,"-")</f>
        <v>-</v>
      </c>
      <c r="AA76" s="6" t="str">
        <f t="shared" si="10"/>
        <v>-</v>
      </c>
      <c r="AB76" s="14" t="str">
        <f>IF(P76&lt;&gt;"Pass","Parked (gate)",IF(AC76="PROTECT","Protect (control)",IF(AA76&lt;=IF(Q76="Hero",'Hero Criteria'!$C$38,IF(Q76="Probable Hero",'Hero Criteria'!$C$39,'Hero Criteria'!$C$40)),"Recommended",IF(AA76&lt;=IF(Q76="Hero",'Hero Criteria'!$C$38,IF(Q76="Probable Hero",'Hero Criteria'!$C$39,'Hero Criteria'!$C$40))+'Hero Criteria'!$C$41,"Reserve","Backlog"))))</f>
        <v>Parked (gate)</v>
      </c>
      <c r="AC76" s="6" t="str">
        <f>INDEX('Hero Segmentation'!$R$5:$R$80,MATCH($A76,'Hero Segmentation'!$A$5:$A$80,0))</f>
        <v>PROTECT</v>
      </c>
      <c r="AD76" s="6" t="str">
        <f>IF(AND(AB76="Recommended",J76&gt;='Selection Criteria'!$C$26),"Yes","")</f>
        <v/>
      </c>
      <c r="AE76" s="10" t="str">
        <f>IFERROR(INDEX('Primary Competitor Fit'!$D$5:$D$91,MATCH($A76&amp;"|Primary 1",'Primary Competitor Fit'!$M$5:$M$91,0)),"-")</f>
        <v>-</v>
      </c>
      <c r="AF76" s="10" t="str">
        <f>IFERROR(INDEX('Primary Competitor Fit'!$D$5:$D$91,MATCH($A76&amp;"|Primary 2",'Primary Competitor Fit'!$M$5:$M$91,0)),"-")</f>
        <v>-</v>
      </c>
      <c r="AG76" s="10" t="str">
        <f>IFERROR(INDEX('Secondary Competitor Fit'!$D$5:$D$98,MATCH($A76&amp;"|Secondary 1",'Secondary Competitor Fit'!$M$5:$M$98,0)),"-")</f>
        <v>-</v>
      </c>
      <c r="AH76" s="10" t="str">
        <f>IFERROR(INDEX('Secondary Competitor Fit'!$D$5:$D$98,MATCH($A76&amp;"|Secondary 2",'Secondary Competitor Fit'!$M$5:$M$98,0)),"-")</f>
        <v>-</v>
      </c>
      <c r="AI76" s="10" t="s">
        <v>1194</v>
      </c>
      <c r="AJ76" s="24">
        <f t="shared" si="11"/>
        <v>-1</v>
      </c>
    </row>
    <row r="77" spans="1:36" ht="26.4" x14ac:dyDescent="0.3">
      <c r="A77" s="6" t="s">
        <v>766</v>
      </c>
      <c r="B77" s="10" t="s">
        <v>767</v>
      </c>
      <c r="C77" s="10" t="s">
        <v>1114</v>
      </c>
      <c r="D77" s="10" t="s">
        <v>1115</v>
      </c>
      <c r="E77" s="10" t="s">
        <v>1196</v>
      </c>
      <c r="F77" s="10" t="s">
        <v>1197</v>
      </c>
      <c r="G77" s="6">
        <v>4</v>
      </c>
      <c r="H77" s="6" t="s">
        <v>768</v>
      </c>
      <c r="I77" s="15">
        <v>15</v>
      </c>
      <c r="J77" s="15">
        <v>15</v>
      </c>
      <c r="K77" s="10" t="s">
        <v>921</v>
      </c>
      <c r="L77" s="6" t="str">
        <f t="shared" si="8"/>
        <v>Pass</v>
      </c>
      <c r="M77" s="19" t="s">
        <v>911</v>
      </c>
      <c r="N77" s="6" t="str">
        <f>IF(I77&gt;='Selection Criteria'!$C$25,"Pass","Fail")</f>
        <v>Fail</v>
      </c>
      <c r="O77" s="19" t="s">
        <v>911</v>
      </c>
      <c r="P77" s="14" t="str">
        <f t="shared" si="9"/>
        <v>Fail</v>
      </c>
      <c r="Q77" s="14" t="str">
        <f>INDEX('Hero Segmentation'!$Q$5:$Q$80,MATCH($A77,'Hero Segmentation'!$A$5:$A$80,0))</f>
        <v>Probable Hero</v>
      </c>
      <c r="R77" s="19"/>
      <c r="S77" s="19"/>
      <c r="T77" s="19"/>
      <c r="U77" s="19"/>
      <c r="V77" s="19"/>
      <c r="W77" s="19"/>
      <c r="X77" s="19"/>
      <c r="Y77" s="19"/>
      <c r="Z77" s="23" t="str">
        <f>IF(P77="Pass",(R77*'Selection Criteria'!$F$13+S77*'Selection Criteria'!$F$14+T77*'Selection Criteria'!$F$15+U77*'Selection Criteria'!$F$16+V77*'Selection Criteria'!$F$17+W77*'Selection Criteria'!$F$18+X77*'Selection Criteria'!$F$19+Y77*'Selection Criteria'!$F$20)/(5*'Selection Criteria'!$F$21)*100,"-")</f>
        <v>-</v>
      </c>
      <c r="AA77" s="6" t="str">
        <f t="shared" si="10"/>
        <v>-</v>
      </c>
      <c r="AB77" s="14" t="str">
        <f>IF(P77&lt;&gt;"Pass","Parked (gate)",IF(AC77="PROTECT","Protect (control)",IF(AA77&lt;=IF(Q77="Hero",'Hero Criteria'!$C$38,IF(Q77="Probable Hero",'Hero Criteria'!$C$39,'Hero Criteria'!$C$40)),"Recommended",IF(AA77&lt;=IF(Q77="Hero",'Hero Criteria'!$C$38,IF(Q77="Probable Hero",'Hero Criteria'!$C$39,'Hero Criteria'!$C$40))+'Hero Criteria'!$C$41,"Reserve","Backlog"))))</f>
        <v>Parked (gate)</v>
      </c>
      <c r="AC77" s="6" t="str">
        <f>INDEX('Hero Segmentation'!$R$5:$R$80,MATCH($A77,'Hero Segmentation'!$A$5:$A$80,0))</f>
        <v>BUILD</v>
      </c>
      <c r="AD77" s="6" t="str">
        <f>IF(AND(AB77="Recommended",J77&gt;='Selection Criteria'!$C$26),"Yes","")</f>
        <v/>
      </c>
      <c r="AE77" s="10" t="str">
        <f>IFERROR(INDEX('Primary Competitor Fit'!$D$5:$D$91,MATCH($A77&amp;"|Primary 1",'Primary Competitor Fit'!$M$5:$M$91,0)),"-")</f>
        <v>-</v>
      </c>
      <c r="AF77" s="10" t="str">
        <f>IFERROR(INDEX('Primary Competitor Fit'!$D$5:$D$91,MATCH($A77&amp;"|Primary 2",'Primary Competitor Fit'!$M$5:$M$91,0)),"-")</f>
        <v>-</v>
      </c>
      <c r="AG77" s="10" t="str">
        <f>IFERROR(INDEX('Secondary Competitor Fit'!$D$5:$D$98,MATCH($A77&amp;"|Secondary 1",'Secondary Competitor Fit'!$M$5:$M$98,0)),"-")</f>
        <v>-</v>
      </c>
      <c r="AH77" s="10" t="str">
        <f>IFERROR(INDEX('Secondary Competitor Fit'!$D$5:$D$98,MATCH($A77&amp;"|Secondary 2",'Secondary Competitor Fit'!$M$5:$M$98,0)),"-")</f>
        <v>-</v>
      </c>
      <c r="AI77" s="10" t="s">
        <v>1198</v>
      </c>
      <c r="AJ77" s="24">
        <f t="shared" si="11"/>
        <v>-1</v>
      </c>
    </row>
    <row r="78" spans="1:36" x14ac:dyDescent="0.3">
      <c r="A78" s="6" t="s">
        <v>1199</v>
      </c>
      <c r="B78" s="10" t="s">
        <v>1200</v>
      </c>
      <c r="C78" s="10" t="s">
        <v>1201</v>
      </c>
      <c r="D78" s="10" t="s">
        <v>1202</v>
      </c>
      <c r="E78" s="10"/>
      <c r="F78" s="10"/>
      <c r="G78" s="6">
        <v>2</v>
      </c>
      <c r="H78" s="6" t="s">
        <v>1203</v>
      </c>
      <c r="I78" s="15">
        <v>437</v>
      </c>
      <c r="J78" s="15">
        <v>0</v>
      </c>
      <c r="K78" s="10" t="s">
        <v>916</v>
      </c>
      <c r="L78" s="6" t="str">
        <f t="shared" si="8"/>
        <v>Fail</v>
      </c>
      <c r="M78" s="19" t="s">
        <v>911</v>
      </c>
      <c r="N78" s="6" t="str">
        <f>IF(I78&gt;='Selection Criteria'!$C$25,"Pass","Fail")</f>
        <v>Pass</v>
      </c>
      <c r="O78" s="19" t="s">
        <v>911</v>
      </c>
      <c r="P78" s="14" t="str">
        <f t="shared" si="9"/>
        <v>Fail</v>
      </c>
      <c r="Q78" s="14" t="str">
        <f>INDEX('Hero Segmentation'!$Q$5:$Q$80,MATCH($A78,'Hero Segmentation'!$A$5:$A$80,0))</f>
        <v>Non-Hero</v>
      </c>
      <c r="R78" s="19"/>
      <c r="S78" s="19"/>
      <c r="T78" s="19"/>
      <c r="U78" s="19"/>
      <c r="V78" s="19"/>
      <c r="W78" s="19"/>
      <c r="X78" s="19"/>
      <c r="Y78" s="19"/>
      <c r="Z78" s="23" t="str">
        <f>IF(P78="Pass",(R78*'Selection Criteria'!$F$13+S78*'Selection Criteria'!$F$14+T78*'Selection Criteria'!$F$15+U78*'Selection Criteria'!$F$16+V78*'Selection Criteria'!$F$17+W78*'Selection Criteria'!$F$18+X78*'Selection Criteria'!$F$19+Y78*'Selection Criteria'!$F$20)/(5*'Selection Criteria'!$F$21)*100,"-")</f>
        <v>-</v>
      </c>
      <c r="AA78" s="6" t="str">
        <f t="shared" si="10"/>
        <v>-</v>
      </c>
      <c r="AB78" s="14" t="str">
        <f>IF(P78&lt;&gt;"Pass","Parked (gate)",IF(AC78="PROTECT","Protect (control)",IF(AA78&lt;=IF(Q78="Hero",'Hero Criteria'!$C$38,IF(Q78="Probable Hero",'Hero Criteria'!$C$39,'Hero Criteria'!$C$40)),"Recommended",IF(AA78&lt;=IF(Q78="Hero",'Hero Criteria'!$C$38,IF(Q78="Probable Hero",'Hero Criteria'!$C$39,'Hero Criteria'!$C$40))+'Hero Criteria'!$C$41,"Reserve","Backlog"))))</f>
        <v>Parked (gate)</v>
      </c>
      <c r="AC78" s="6" t="str">
        <f>INDEX('Hero Segmentation'!$R$5:$R$80,MATCH($A78,'Hero Segmentation'!$A$5:$A$80,0))</f>
        <v>EXPLORE</v>
      </c>
      <c r="AD78" s="6" t="str">
        <f>IF(AND(AB78="Recommended",J78&gt;='Selection Criteria'!$C$26),"Yes","")</f>
        <v/>
      </c>
      <c r="AE78" s="10" t="str">
        <f>IFERROR(INDEX('Primary Competitor Fit'!$D$5:$D$91,MATCH($A78&amp;"|Primary 1",'Primary Competitor Fit'!$M$5:$M$91,0)),"-")</f>
        <v>-</v>
      </c>
      <c r="AF78" s="10" t="str">
        <f>IFERROR(INDEX('Primary Competitor Fit'!$D$5:$D$91,MATCH($A78&amp;"|Primary 2",'Primary Competitor Fit'!$M$5:$M$91,0)),"-")</f>
        <v>-</v>
      </c>
      <c r="AG78" s="10" t="str">
        <f>IFERROR(INDEX('Secondary Competitor Fit'!$D$5:$D$98,MATCH($A78&amp;"|Secondary 1",'Secondary Competitor Fit'!$M$5:$M$98,0)),"-")</f>
        <v>-</v>
      </c>
      <c r="AH78" s="10" t="str">
        <f>IFERROR(INDEX('Secondary Competitor Fit'!$D$5:$D$98,MATCH($A78&amp;"|Secondary 2",'Secondary Competitor Fit'!$M$5:$M$98,0)),"-")</f>
        <v>-</v>
      </c>
      <c r="AI78" s="10" t="s">
        <v>1204</v>
      </c>
      <c r="AJ78" s="24">
        <f t="shared" si="11"/>
        <v>-1</v>
      </c>
    </row>
    <row r="79" spans="1:36" ht="26.4" x14ac:dyDescent="0.3">
      <c r="A79" s="6" t="s">
        <v>1205</v>
      </c>
      <c r="B79" s="10" t="s">
        <v>1206</v>
      </c>
      <c r="C79" s="10" t="s">
        <v>1201</v>
      </c>
      <c r="D79" s="10" t="s">
        <v>1207</v>
      </c>
      <c r="E79" s="10" t="s">
        <v>1208</v>
      </c>
      <c r="F79" s="10" t="s">
        <v>1209</v>
      </c>
      <c r="G79" s="6">
        <v>4</v>
      </c>
      <c r="H79" s="6" t="s">
        <v>1210</v>
      </c>
      <c r="I79" s="15">
        <v>1116</v>
      </c>
      <c r="J79" s="15">
        <v>0</v>
      </c>
      <c r="K79" s="10" t="s">
        <v>916</v>
      </c>
      <c r="L79" s="6" t="str">
        <f t="shared" si="8"/>
        <v>Pass</v>
      </c>
      <c r="M79" s="19" t="s">
        <v>1193</v>
      </c>
      <c r="N79" s="6" t="str">
        <f>IF(I79&gt;='Selection Criteria'!$C$25,"Pass","Fail")</f>
        <v>Pass</v>
      </c>
      <c r="O79" s="19" t="s">
        <v>911</v>
      </c>
      <c r="P79" s="14" t="str">
        <f t="shared" si="9"/>
        <v>Fail</v>
      </c>
      <c r="Q79" s="14" t="str">
        <f>INDEX('Hero Segmentation'!$Q$5:$Q$80,MATCH($A79,'Hero Segmentation'!$A$5:$A$80,0))</f>
        <v>Probable Hero</v>
      </c>
      <c r="R79" s="19"/>
      <c r="S79" s="19"/>
      <c r="T79" s="19"/>
      <c r="U79" s="19"/>
      <c r="V79" s="19"/>
      <c r="W79" s="19"/>
      <c r="X79" s="19"/>
      <c r="Y79" s="19"/>
      <c r="Z79" s="23" t="str">
        <f>IF(P79="Pass",(R79*'Selection Criteria'!$F$13+S79*'Selection Criteria'!$F$14+T79*'Selection Criteria'!$F$15+U79*'Selection Criteria'!$F$16+V79*'Selection Criteria'!$F$17+W79*'Selection Criteria'!$F$18+X79*'Selection Criteria'!$F$19+Y79*'Selection Criteria'!$F$20)/(5*'Selection Criteria'!$F$21)*100,"-")</f>
        <v>-</v>
      </c>
      <c r="AA79" s="6" t="str">
        <f t="shared" si="10"/>
        <v>-</v>
      </c>
      <c r="AB79" s="14" t="str">
        <f>IF(P79&lt;&gt;"Pass","Parked (gate)",IF(AC79="PROTECT","Protect (control)",IF(AA79&lt;=IF(Q79="Hero",'Hero Criteria'!$C$38,IF(Q79="Probable Hero",'Hero Criteria'!$C$39,'Hero Criteria'!$C$40)),"Recommended",IF(AA79&lt;=IF(Q79="Hero",'Hero Criteria'!$C$38,IF(Q79="Probable Hero",'Hero Criteria'!$C$39,'Hero Criteria'!$C$40))+'Hero Criteria'!$C$41,"Reserve","Backlog"))))</f>
        <v>Parked (gate)</v>
      </c>
      <c r="AC79" s="6" t="str">
        <f>INDEX('Hero Segmentation'!$R$5:$R$80,MATCH($A79,'Hero Segmentation'!$A$5:$A$80,0))</f>
        <v>BUILD</v>
      </c>
      <c r="AD79" s="6" t="str">
        <f>IF(AND(AB79="Recommended",J79&gt;='Selection Criteria'!$C$26),"Yes","")</f>
        <v/>
      </c>
      <c r="AE79" s="10" t="str">
        <f>IFERROR(INDEX('Primary Competitor Fit'!$D$5:$D$91,MATCH($A79&amp;"|Primary 1",'Primary Competitor Fit'!$M$5:$M$91,0)),"-")</f>
        <v>-</v>
      </c>
      <c r="AF79" s="10" t="str">
        <f>IFERROR(INDEX('Primary Competitor Fit'!$D$5:$D$91,MATCH($A79&amp;"|Primary 2",'Primary Competitor Fit'!$M$5:$M$91,0)),"-")</f>
        <v>-</v>
      </c>
      <c r="AG79" s="10" t="str">
        <f>IFERROR(INDEX('Secondary Competitor Fit'!$D$5:$D$98,MATCH($A79&amp;"|Secondary 1",'Secondary Competitor Fit'!$M$5:$M$98,0)),"-")</f>
        <v>-</v>
      </c>
      <c r="AH79" s="10" t="str">
        <f>IFERROR(INDEX('Secondary Competitor Fit'!$D$5:$D$98,MATCH($A79&amp;"|Secondary 2",'Secondary Competitor Fit'!$M$5:$M$98,0)),"-")</f>
        <v>-</v>
      </c>
      <c r="AI79" s="10" t="s">
        <v>1211</v>
      </c>
      <c r="AJ79" s="24">
        <f t="shared" si="11"/>
        <v>-1</v>
      </c>
    </row>
    <row r="80" spans="1:36" ht="26.4" x14ac:dyDescent="0.3">
      <c r="A80" s="6" t="s">
        <v>761</v>
      </c>
      <c r="B80" s="10" t="s">
        <v>762</v>
      </c>
      <c r="C80" s="10" t="s">
        <v>935</v>
      </c>
      <c r="D80" s="10" t="s">
        <v>1212</v>
      </c>
      <c r="E80" s="10" t="s">
        <v>1213</v>
      </c>
      <c r="F80" s="10" t="s">
        <v>1214</v>
      </c>
      <c r="G80" s="6">
        <v>4</v>
      </c>
      <c r="H80" s="6" t="s">
        <v>763</v>
      </c>
      <c r="I80" s="15">
        <v>881</v>
      </c>
      <c r="J80" s="15">
        <v>872</v>
      </c>
      <c r="K80" s="10" t="s">
        <v>938</v>
      </c>
      <c r="L80" s="6" t="str">
        <f t="shared" si="8"/>
        <v>Pass</v>
      </c>
      <c r="M80" s="19" t="s">
        <v>1193</v>
      </c>
      <c r="N80" s="6" t="str">
        <f>IF(I80&gt;='Selection Criteria'!$C$25,"Pass","Fail")</f>
        <v>Pass</v>
      </c>
      <c r="O80" s="19" t="s">
        <v>911</v>
      </c>
      <c r="P80" s="14" t="str">
        <f t="shared" si="9"/>
        <v>Fail</v>
      </c>
      <c r="Q80" s="14" t="str">
        <f>INDEX('Hero Segmentation'!$Q$5:$Q$80,MATCH($A80,'Hero Segmentation'!$A$5:$A$80,0))</f>
        <v>Probable Hero</v>
      </c>
      <c r="R80" s="19"/>
      <c r="S80" s="19"/>
      <c r="T80" s="19"/>
      <c r="U80" s="19"/>
      <c r="V80" s="19"/>
      <c r="W80" s="19"/>
      <c r="X80" s="19"/>
      <c r="Y80" s="19"/>
      <c r="Z80" s="23" t="str">
        <f>IF(P80="Pass",(R80*'Selection Criteria'!$F$13+S80*'Selection Criteria'!$F$14+T80*'Selection Criteria'!$F$15+U80*'Selection Criteria'!$F$16+V80*'Selection Criteria'!$F$17+W80*'Selection Criteria'!$F$18+X80*'Selection Criteria'!$F$19+Y80*'Selection Criteria'!$F$20)/(5*'Selection Criteria'!$F$21)*100,"-")</f>
        <v>-</v>
      </c>
      <c r="AA80" s="6" t="str">
        <f t="shared" si="10"/>
        <v>-</v>
      </c>
      <c r="AB80" s="14" t="str">
        <f>IF(P80&lt;&gt;"Pass","Parked (gate)",IF(AC80="PROTECT","Protect (control)",IF(AA80&lt;=IF(Q80="Hero",'Hero Criteria'!$C$38,IF(Q80="Probable Hero",'Hero Criteria'!$C$39,'Hero Criteria'!$C$40)),"Recommended",IF(AA80&lt;=IF(Q80="Hero",'Hero Criteria'!$C$38,IF(Q80="Probable Hero",'Hero Criteria'!$C$39,'Hero Criteria'!$C$40))+'Hero Criteria'!$C$41,"Reserve","Backlog"))))</f>
        <v>Parked (gate)</v>
      </c>
      <c r="AC80" s="6" t="str">
        <f>INDEX('Hero Segmentation'!$R$5:$R$80,MATCH($A80,'Hero Segmentation'!$A$5:$A$80,0))</f>
        <v>BUILD</v>
      </c>
      <c r="AD80" s="6" t="str">
        <f>IF(AND(AB80="Recommended",J80&gt;='Selection Criteria'!$C$26),"Yes","")</f>
        <v/>
      </c>
      <c r="AE80" s="10" t="str">
        <f>IFERROR(INDEX('Primary Competitor Fit'!$D$5:$D$91,MATCH($A80&amp;"|Primary 1",'Primary Competitor Fit'!$M$5:$M$91,0)),"-")</f>
        <v>-</v>
      </c>
      <c r="AF80" s="10" t="str">
        <f>IFERROR(INDEX('Primary Competitor Fit'!$D$5:$D$91,MATCH($A80&amp;"|Primary 2",'Primary Competitor Fit'!$M$5:$M$91,0)),"-")</f>
        <v>-</v>
      </c>
      <c r="AG80" s="10" t="str">
        <f>IFERROR(INDEX('Secondary Competitor Fit'!$D$5:$D$98,MATCH($A80&amp;"|Secondary 1",'Secondary Competitor Fit'!$M$5:$M$98,0)),"-")</f>
        <v>-</v>
      </c>
      <c r="AH80" s="10" t="str">
        <f>IFERROR(INDEX('Secondary Competitor Fit'!$D$5:$D$98,MATCH($A80&amp;"|Secondary 2",'Secondary Competitor Fit'!$M$5:$M$98,0)),"-")</f>
        <v>-</v>
      </c>
      <c r="AI80" s="10" t="s">
        <v>1215</v>
      </c>
      <c r="AJ80" s="24">
        <f t="shared" si="11"/>
        <v>-1</v>
      </c>
    </row>
  </sheetData>
  <autoFilter ref="A4:AJ80" xr:uid="{00000000-0009-0000-0000-000007000000}"/>
  <conditionalFormatting sqref="Q5:Q80">
    <cfRule type="expression" dxfId="27" priority="6">
      <formula>$Q5="Hero"</formula>
    </cfRule>
    <cfRule type="expression" dxfId="26" priority="7">
      <formula>$Q5="Probable Hero"</formula>
    </cfRule>
    <cfRule type="expression" dxfId="25" priority="8">
      <formula>$Q5="Non-Hero"</formula>
    </cfRule>
  </conditionalFormatting>
  <conditionalFormatting sqref="AB5:AB80">
    <cfRule type="expression" dxfId="24" priority="1">
      <formula>LEFT($AB5,11)="Recommended"</formula>
    </cfRule>
    <cfRule type="expression" dxfId="23" priority="2">
      <formula>LEFT($AB5,7)="Reserve"</formula>
    </cfRule>
    <cfRule type="expression" dxfId="22" priority="3">
      <formula>LEFT($AB5,7)="Backlog"</formula>
    </cfRule>
    <cfRule type="expression" dxfId="21" priority="4">
      <formula>LEFT($AB5,7)="Protect"</formula>
    </cfRule>
    <cfRule type="expression" dxfId="20" priority="5">
      <formula>LEFT($AB5,6)="Parked"</formula>
    </cfRule>
  </conditionalFormatting>
  <dataValidations count="2">
    <dataValidation type="whole" showErrorMessage="1" sqref="R5:Y80" xr:uid="{00000000-0002-0000-0700-000000000000}">
      <formula1>1</formula1>
      <formula2>5</formula2>
    </dataValidation>
    <dataValidation type="list" showErrorMessage="1" sqref="M5:M80 O5:O80" xr:uid="{00000000-0002-0000-0700-000001000000}">
      <formula1>"Pass,Fail"</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6A6A6"/>
  </sheetPr>
  <dimension ref="A1:AA125"/>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8" customWidth="1"/>
    <col min="2" max="2" width="56" customWidth="1"/>
    <col min="3" max="3" width="22" customWidth="1"/>
    <col min="4" max="4" width="34" customWidth="1"/>
    <col min="5" max="6" width="9" customWidth="1"/>
    <col min="7" max="7" width="7" customWidth="1"/>
    <col min="8" max="8" width="8" customWidth="1"/>
    <col min="9" max="10" width="9" customWidth="1"/>
    <col min="11" max="11" width="10" customWidth="1"/>
    <col min="12" max="12" width="9" customWidth="1"/>
    <col min="13" max="13" width="10" customWidth="1"/>
    <col min="14" max="15" width="9" customWidth="1"/>
    <col min="16" max="16" width="10" customWidth="1"/>
    <col min="17" max="17" width="13" customWidth="1"/>
    <col min="18" max="18" width="11" customWidth="1"/>
    <col min="19" max="19" width="14" customWidth="1"/>
    <col min="20" max="20" width="60" customWidth="1"/>
    <col min="21" max="21" width="14" customWidth="1"/>
    <col min="22" max="27" width="9" customWidth="1"/>
  </cols>
  <sheetData>
    <row r="1" spans="1:27" ht="21" x14ac:dyDescent="0.4">
      <c r="A1" s="1" t="s">
        <v>1216</v>
      </c>
    </row>
    <row r="2" spans="1:27" x14ac:dyDescent="0.3">
      <c r="A2" s="2" t="s">
        <v>1217</v>
      </c>
    </row>
    <row r="4" spans="1:27" ht="30" customHeight="1" x14ac:dyDescent="0.3">
      <c r="A4" s="5" t="s">
        <v>705</v>
      </c>
      <c r="B4" s="5" t="s">
        <v>128</v>
      </c>
      <c r="C4" s="5" t="s">
        <v>890</v>
      </c>
      <c r="D4" s="5" t="s">
        <v>1218</v>
      </c>
      <c r="E4" s="5" t="s">
        <v>131</v>
      </c>
      <c r="F4" s="5" t="s">
        <v>445</v>
      </c>
      <c r="G4" s="5" t="s">
        <v>1219</v>
      </c>
      <c r="H4" s="5" t="s">
        <v>1220</v>
      </c>
      <c r="I4" s="5" t="s">
        <v>1221</v>
      </c>
      <c r="J4" s="5" t="s">
        <v>1222</v>
      </c>
      <c r="K4" s="5" t="s">
        <v>1223</v>
      </c>
      <c r="L4" s="5" t="s">
        <v>1224</v>
      </c>
      <c r="M4" s="5" t="s">
        <v>1225</v>
      </c>
      <c r="N4" s="5" t="s">
        <v>1226</v>
      </c>
      <c r="O4" s="5" t="s">
        <v>1227</v>
      </c>
      <c r="P4" s="5" t="s">
        <v>1228</v>
      </c>
      <c r="Q4" s="5" t="s">
        <v>389</v>
      </c>
      <c r="R4" s="5" t="s">
        <v>126</v>
      </c>
      <c r="S4" s="5" t="s">
        <v>706</v>
      </c>
      <c r="T4" s="5" t="s">
        <v>1229</v>
      </c>
      <c r="U4" s="5" t="s">
        <v>1230</v>
      </c>
      <c r="V4" s="5" t="s">
        <v>1231</v>
      </c>
      <c r="W4" s="5" t="s">
        <v>1232</v>
      </c>
      <c r="X4" s="5" t="s">
        <v>1233</v>
      </c>
      <c r="Y4" s="5" t="s">
        <v>1234</v>
      </c>
      <c r="Z4" s="5" t="s">
        <v>1235</v>
      </c>
      <c r="AA4" s="5" t="s">
        <v>1236</v>
      </c>
    </row>
    <row r="5" spans="1:27" ht="26.4" x14ac:dyDescent="0.3">
      <c r="A5" s="6" t="s">
        <v>786</v>
      </c>
      <c r="B5" s="8" t="s">
        <v>21</v>
      </c>
      <c r="C5" s="10" t="s">
        <v>910</v>
      </c>
      <c r="D5" s="10" t="s">
        <v>1237</v>
      </c>
      <c r="E5" s="15">
        <v>1037</v>
      </c>
      <c r="F5" s="6" t="s">
        <v>1238</v>
      </c>
      <c r="G5" s="6">
        <f>IF(E5&gt;='Hero Criteria'!$C$42,5,IF(E5&gt;='Hero Criteria'!$C$43,4,IF(E5&gt;='Hero Criteria'!$C$44,3,IF(E5&gt;='Hero Criteria'!$C$45,2,1))))</f>
        <v>5</v>
      </c>
      <c r="H5" s="6">
        <f>IF(F5="Yes",'Hero Criteria'!$C$46,'Hero Criteria'!$C$47)</f>
        <v>5</v>
      </c>
      <c r="I5" s="19">
        <v>5</v>
      </c>
      <c r="J5" s="19">
        <v>5</v>
      </c>
      <c r="K5" s="25">
        <f>(G5*'Hero Criteria'!$D$19+H5*'Hero Criteria'!$D$20+I5*'Hero Criteria'!$D$21+J5*'Hero Criteria'!$D$22)/(5*'Hero Criteria'!$D$23)*100</f>
        <v>100</v>
      </c>
      <c r="L5" s="19">
        <v>5</v>
      </c>
      <c r="M5" s="19">
        <v>5</v>
      </c>
      <c r="N5" s="19">
        <v>4</v>
      </c>
      <c r="O5" s="6">
        <f>IF(INDEX('Path Scorecard'!$X$5:$X$80,MATCH($A5,'Path Scorecard'!$A$5:$A$80,0))="",3,INDEX('Path Scorecard'!$X$5:$X$80,MATCH($A5,'Path Scorecard'!$A$5:$A$80,0)))</f>
        <v>5</v>
      </c>
      <c r="P5" s="25">
        <f>(L5*'Hero Criteria'!$D$27+M5*'Hero Criteria'!$D$28+N5*'Hero Criteria'!$D$29+O5*'Hero Criteria'!$D$30)/(5*'Hero Criteria'!$D$31)*100</f>
        <v>95</v>
      </c>
      <c r="Q5" s="14" t="str">
        <f>IF(K5&gt;='Hero Criteria'!$C$35,"Hero",IF(P5&gt;='Hero Criteria'!$C$36,"Probable Hero","Non-Hero"))</f>
        <v>Hero</v>
      </c>
      <c r="R5" s="14" t="str">
        <f>IF(Q5="Hero",IF(INDEX('Path Scorecard'!$T$5:$T$80,MATCH($A5,'Path Scorecard'!$A$5:$A$80,0))&lt;='Hero Criteria'!$C$37,"PROTECT","EXTEND"),IF(Q5="Probable Hero","BUILD","EXPLORE"))</f>
        <v>EXTEND</v>
      </c>
      <c r="S5" s="6" t="str">
        <f>INDEX('Path Scorecard'!$AB$5:$AB$80,MATCH($A5,'Path Scorecard'!$A$5:$A$80,0))</f>
        <v>Recommended</v>
      </c>
      <c r="T5" s="10" t="s">
        <v>1239</v>
      </c>
      <c r="V5" s="26">
        <f t="shared" ref="V5:V36" si="0">IF(AND($Q5="Hero",$S5&lt;&gt;"Parked (gate)"),K5,NA())</f>
        <v>100</v>
      </c>
      <c r="W5" s="26">
        <f t="shared" ref="W5:W36" si="1">IF(AND($Q5="Hero",$S5&lt;&gt;"Parked (gate)"),P5,NA())</f>
        <v>95</v>
      </c>
      <c r="X5" s="26" t="e">
        <f t="shared" ref="X5:X36" si="2">IF(AND($Q5="Probable Hero",$S5&lt;&gt;"Parked (gate)"),K5,NA())</f>
        <v>#N/A</v>
      </c>
      <c r="Y5" s="26" t="e">
        <f t="shared" ref="Y5:Y36" si="3">IF(AND($Q5="Probable Hero",$S5&lt;&gt;"Parked (gate)"),P5,NA())</f>
        <v>#N/A</v>
      </c>
      <c r="Z5" s="26" t="e">
        <f t="shared" ref="Z5:Z36" si="4">IF(AND($Q5="Non-Hero",$S5&lt;&gt;"Parked (gate)"),K5,NA())</f>
        <v>#N/A</v>
      </c>
      <c r="AA5" s="26" t="e">
        <f t="shared" ref="AA5:AA36" si="5">IF(AND($Q5="Non-Hero",$S5&lt;&gt;"Parked (gate)"),P5,NA())</f>
        <v>#N/A</v>
      </c>
    </row>
    <row r="6" spans="1:27" ht="26.4" x14ac:dyDescent="0.3">
      <c r="A6" s="6" t="s">
        <v>913</v>
      </c>
      <c r="B6" s="8" t="s">
        <v>24</v>
      </c>
      <c r="C6" s="10" t="s">
        <v>916</v>
      </c>
      <c r="D6" s="10" t="s">
        <v>1240</v>
      </c>
      <c r="E6" s="15">
        <v>342</v>
      </c>
      <c r="F6" s="6" t="s">
        <v>1238</v>
      </c>
      <c r="G6" s="6">
        <f>IF(E6&gt;='Hero Criteria'!$C$42,5,IF(E6&gt;='Hero Criteria'!$C$43,4,IF(E6&gt;='Hero Criteria'!$C$44,3,IF(E6&gt;='Hero Criteria'!$C$45,2,1))))</f>
        <v>3</v>
      </c>
      <c r="H6" s="6">
        <f>IF(F6="Yes",'Hero Criteria'!$C$46,'Hero Criteria'!$C$47)</f>
        <v>5</v>
      </c>
      <c r="I6" s="19">
        <v>4</v>
      </c>
      <c r="J6" s="19">
        <v>5</v>
      </c>
      <c r="K6" s="25">
        <f>(G6*'Hero Criteria'!$D$19+H6*'Hero Criteria'!$D$20+I6*'Hero Criteria'!$D$21+J6*'Hero Criteria'!$D$22)/(5*'Hero Criteria'!$D$23)*100</f>
        <v>83</v>
      </c>
      <c r="L6" s="19">
        <v>4</v>
      </c>
      <c r="M6" s="19">
        <v>5</v>
      </c>
      <c r="N6" s="19">
        <v>4</v>
      </c>
      <c r="O6" s="6">
        <f>IF(INDEX('Path Scorecard'!$X$5:$X$80,MATCH($A6,'Path Scorecard'!$A$5:$A$80,0))="",3,INDEX('Path Scorecard'!$X$5:$X$80,MATCH($A6,'Path Scorecard'!$A$5:$A$80,0)))</f>
        <v>5</v>
      </c>
      <c r="P6" s="25">
        <f>(L6*'Hero Criteria'!$D$27+M6*'Hero Criteria'!$D$28+N6*'Hero Criteria'!$D$29+O6*'Hero Criteria'!$D$30)/(5*'Hero Criteria'!$D$31)*100</f>
        <v>88</v>
      </c>
      <c r="Q6" s="14" t="str">
        <f>IF(K6&gt;='Hero Criteria'!$C$35,"Hero",IF(P6&gt;='Hero Criteria'!$C$36,"Probable Hero","Non-Hero"))</f>
        <v>Hero</v>
      </c>
      <c r="R6" s="14" t="str">
        <f>IF(Q6="Hero",IF(INDEX('Path Scorecard'!$T$5:$T$80,MATCH($A6,'Path Scorecard'!$A$5:$A$80,0))&lt;='Hero Criteria'!$C$37,"PROTECT","EXTEND"),IF(Q6="Probable Hero","BUILD","EXPLORE"))</f>
        <v>EXTEND</v>
      </c>
      <c r="S6" s="6" t="str">
        <f>INDEX('Path Scorecard'!$AB$5:$AB$80,MATCH($A6,'Path Scorecard'!$A$5:$A$80,0))</f>
        <v>Recommended</v>
      </c>
      <c r="T6" s="10" t="s">
        <v>1241</v>
      </c>
      <c r="V6" s="26">
        <f t="shared" si="0"/>
        <v>83</v>
      </c>
      <c r="W6" s="26">
        <f t="shared" si="1"/>
        <v>88</v>
      </c>
      <c r="X6" s="26" t="e">
        <f t="shared" si="2"/>
        <v>#N/A</v>
      </c>
      <c r="Y6" s="26" t="e">
        <f t="shared" si="3"/>
        <v>#N/A</v>
      </c>
      <c r="Z6" s="26" t="e">
        <f t="shared" si="4"/>
        <v>#N/A</v>
      </c>
      <c r="AA6" s="26" t="e">
        <f t="shared" si="5"/>
        <v>#N/A</v>
      </c>
    </row>
    <row r="7" spans="1:27" ht="26.4" x14ac:dyDescent="0.3">
      <c r="A7" s="6" t="s">
        <v>765</v>
      </c>
      <c r="B7" s="8" t="s">
        <v>42</v>
      </c>
      <c r="C7" s="10" t="s">
        <v>921</v>
      </c>
      <c r="D7" s="10" t="s">
        <v>1242</v>
      </c>
      <c r="E7" s="15">
        <v>463</v>
      </c>
      <c r="F7" s="6" t="s">
        <v>1238</v>
      </c>
      <c r="G7" s="6">
        <f>IF(E7&gt;='Hero Criteria'!$C$42,5,IF(E7&gt;='Hero Criteria'!$C$43,4,IF(E7&gt;='Hero Criteria'!$C$44,3,IF(E7&gt;='Hero Criteria'!$C$45,2,1))))</f>
        <v>3</v>
      </c>
      <c r="H7" s="6">
        <f>IF(F7="Yes",'Hero Criteria'!$C$46,'Hero Criteria'!$C$47)</f>
        <v>5</v>
      </c>
      <c r="I7" s="19">
        <v>3</v>
      </c>
      <c r="J7" s="19">
        <v>2</v>
      </c>
      <c r="K7" s="25">
        <f>(G7*'Hero Criteria'!$D$19+H7*'Hero Criteria'!$D$20+I7*'Hero Criteria'!$D$21+J7*'Hero Criteria'!$D$22)/(5*'Hero Criteria'!$D$23)*100</f>
        <v>60</v>
      </c>
      <c r="L7" s="19">
        <v>5</v>
      </c>
      <c r="M7" s="19">
        <v>5</v>
      </c>
      <c r="N7" s="19">
        <v>5</v>
      </c>
      <c r="O7" s="6">
        <f>IF(INDEX('Path Scorecard'!$X$5:$X$80,MATCH($A7,'Path Scorecard'!$A$5:$A$80,0))="",3,INDEX('Path Scorecard'!$X$5:$X$80,MATCH($A7,'Path Scorecard'!$A$5:$A$80,0)))</f>
        <v>4</v>
      </c>
      <c r="P7" s="25">
        <f>(L7*'Hero Criteria'!$D$27+M7*'Hero Criteria'!$D$28+N7*'Hero Criteria'!$D$29+O7*'Hero Criteria'!$D$30)/(5*'Hero Criteria'!$D$31)*100</f>
        <v>97</v>
      </c>
      <c r="Q7" s="14" t="str">
        <f>IF(K7&gt;='Hero Criteria'!$C$35,"Hero",IF(P7&gt;='Hero Criteria'!$C$36,"Probable Hero","Non-Hero"))</f>
        <v>Probable Hero</v>
      </c>
      <c r="R7" s="14" t="str">
        <f>IF(Q7="Hero",IF(INDEX('Path Scorecard'!$T$5:$T$80,MATCH($A7,'Path Scorecard'!$A$5:$A$80,0))&lt;='Hero Criteria'!$C$37,"PROTECT","EXTEND"),IF(Q7="Probable Hero","BUILD","EXPLORE"))</f>
        <v>BUILD</v>
      </c>
      <c r="S7" s="6" t="str">
        <f>INDEX('Path Scorecard'!$AB$5:$AB$80,MATCH($A7,'Path Scorecard'!$A$5:$A$80,0))</f>
        <v>Recommended</v>
      </c>
      <c r="T7" s="10" t="s">
        <v>1243</v>
      </c>
      <c r="V7" s="26" t="e">
        <f t="shared" si="0"/>
        <v>#N/A</v>
      </c>
      <c r="W7" s="26" t="e">
        <f t="shared" si="1"/>
        <v>#N/A</v>
      </c>
      <c r="X7" s="26">
        <f t="shared" si="2"/>
        <v>60</v>
      </c>
      <c r="Y7" s="26">
        <f t="shared" si="3"/>
        <v>97</v>
      </c>
      <c r="Z7" s="26" t="e">
        <f t="shared" si="4"/>
        <v>#N/A</v>
      </c>
      <c r="AA7" s="26" t="e">
        <f t="shared" si="5"/>
        <v>#N/A</v>
      </c>
    </row>
    <row r="8" spans="1:27" ht="26.4" x14ac:dyDescent="0.3">
      <c r="A8" s="6" t="s">
        <v>710</v>
      </c>
      <c r="B8" s="8" t="s">
        <v>45</v>
      </c>
      <c r="C8" s="10" t="s">
        <v>925</v>
      </c>
      <c r="D8" s="10" t="s">
        <v>641</v>
      </c>
      <c r="E8" s="15">
        <v>229</v>
      </c>
      <c r="F8" s="6" t="s">
        <v>1238</v>
      </c>
      <c r="G8" s="6">
        <f>IF(E8&gt;='Hero Criteria'!$C$42,5,IF(E8&gt;='Hero Criteria'!$C$43,4,IF(E8&gt;='Hero Criteria'!$C$44,3,IF(E8&gt;='Hero Criteria'!$C$45,2,1))))</f>
        <v>3</v>
      </c>
      <c r="H8" s="6">
        <f>IF(F8="Yes",'Hero Criteria'!$C$46,'Hero Criteria'!$C$47)</f>
        <v>5</v>
      </c>
      <c r="I8" s="19">
        <v>2</v>
      </c>
      <c r="J8" s="19">
        <v>2</v>
      </c>
      <c r="K8" s="25">
        <f>(G8*'Hero Criteria'!$D$19+H8*'Hero Criteria'!$D$20+I8*'Hero Criteria'!$D$21+J8*'Hero Criteria'!$D$22)/(5*'Hero Criteria'!$D$23)*100</f>
        <v>55.000000000000007</v>
      </c>
      <c r="L8" s="19">
        <v>4</v>
      </c>
      <c r="M8" s="19">
        <v>5</v>
      </c>
      <c r="N8" s="19">
        <v>4</v>
      </c>
      <c r="O8" s="6">
        <f>IF(INDEX('Path Scorecard'!$X$5:$X$80,MATCH($A8,'Path Scorecard'!$A$5:$A$80,0))="",3,INDEX('Path Scorecard'!$X$5:$X$80,MATCH($A8,'Path Scorecard'!$A$5:$A$80,0)))</f>
        <v>3</v>
      </c>
      <c r="P8" s="25">
        <f>(L8*'Hero Criteria'!$D$27+M8*'Hero Criteria'!$D$28+N8*'Hero Criteria'!$D$29+O8*'Hero Criteria'!$D$30)/(5*'Hero Criteria'!$D$31)*100</f>
        <v>82</v>
      </c>
      <c r="Q8" s="14" t="str">
        <f>IF(K8&gt;='Hero Criteria'!$C$35,"Hero",IF(P8&gt;='Hero Criteria'!$C$36,"Probable Hero","Non-Hero"))</f>
        <v>Probable Hero</v>
      </c>
      <c r="R8" s="14" t="str">
        <f>IF(Q8="Hero",IF(INDEX('Path Scorecard'!$T$5:$T$80,MATCH($A8,'Path Scorecard'!$A$5:$A$80,0))&lt;='Hero Criteria'!$C$37,"PROTECT","EXTEND"),IF(Q8="Probable Hero","BUILD","EXPLORE"))</f>
        <v>BUILD</v>
      </c>
      <c r="S8" s="6" t="str">
        <f>INDEX('Path Scorecard'!$AB$5:$AB$80,MATCH($A8,'Path Scorecard'!$A$5:$A$80,0))</f>
        <v>Recommended</v>
      </c>
      <c r="T8" s="10" t="s">
        <v>1244</v>
      </c>
      <c r="V8" s="26" t="e">
        <f t="shared" si="0"/>
        <v>#N/A</v>
      </c>
      <c r="W8" s="26" t="e">
        <f t="shared" si="1"/>
        <v>#N/A</v>
      </c>
      <c r="X8" s="26">
        <f t="shared" si="2"/>
        <v>55.000000000000007</v>
      </c>
      <c r="Y8" s="26">
        <f t="shared" si="3"/>
        <v>82</v>
      </c>
      <c r="Z8" s="26" t="e">
        <f t="shared" si="4"/>
        <v>#N/A</v>
      </c>
      <c r="AA8" s="26" t="e">
        <f t="shared" si="5"/>
        <v>#N/A</v>
      </c>
    </row>
    <row r="9" spans="1:27" ht="26.4" x14ac:dyDescent="0.3">
      <c r="A9" s="6" t="s">
        <v>742</v>
      </c>
      <c r="B9" s="8" t="s">
        <v>48</v>
      </c>
      <c r="C9" s="10" t="s">
        <v>928</v>
      </c>
      <c r="D9" s="10" t="s">
        <v>655</v>
      </c>
      <c r="E9" s="15">
        <v>210</v>
      </c>
      <c r="F9" s="6" t="s">
        <v>1238</v>
      </c>
      <c r="G9" s="6">
        <f>IF(E9&gt;='Hero Criteria'!$C$42,5,IF(E9&gt;='Hero Criteria'!$C$43,4,IF(E9&gt;='Hero Criteria'!$C$44,3,IF(E9&gt;='Hero Criteria'!$C$45,2,1))))</f>
        <v>3</v>
      </c>
      <c r="H9" s="6">
        <f>IF(F9="Yes",'Hero Criteria'!$C$46,'Hero Criteria'!$C$47)</f>
        <v>5</v>
      </c>
      <c r="I9" s="19">
        <v>2</v>
      </c>
      <c r="J9" s="19">
        <v>3</v>
      </c>
      <c r="K9" s="25">
        <f>(G9*'Hero Criteria'!$D$19+H9*'Hero Criteria'!$D$20+I9*'Hero Criteria'!$D$21+J9*'Hero Criteria'!$D$22)/(5*'Hero Criteria'!$D$23)*100</f>
        <v>61</v>
      </c>
      <c r="L9" s="19">
        <v>4</v>
      </c>
      <c r="M9" s="19">
        <v>5</v>
      </c>
      <c r="N9" s="19">
        <v>4</v>
      </c>
      <c r="O9" s="6">
        <f>IF(INDEX('Path Scorecard'!$X$5:$X$80,MATCH($A9,'Path Scorecard'!$A$5:$A$80,0))="",3,INDEX('Path Scorecard'!$X$5:$X$80,MATCH($A9,'Path Scorecard'!$A$5:$A$80,0)))</f>
        <v>3</v>
      </c>
      <c r="P9" s="25">
        <f>(L9*'Hero Criteria'!$D$27+M9*'Hero Criteria'!$D$28+N9*'Hero Criteria'!$D$29+O9*'Hero Criteria'!$D$30)/(5*'Hero Criteria'!$D$31)*100</f>
        <v>82</v>
      </c>
      <c r="Q9" s="14" t="str">
        <f>IF(K9&gt;='Hero Criteria'!$C$35,"Hero",IF(P9&gt;='Hero Criteria'!$C$36,"Probable Hero","Non-Hero"))</f>
        <v>Probable Hero</v>
      </c>
      <c r="R9" s="14" t="str">
        <f>IF(Q9="Hero",IF(INDEX('Path Scorecard'!$T$5:$T$80,MATCH($A9,'Path Scorecard'!$A$5:$A$80,0))&lt;='Hero Criteria'!$C$37,"PROTECT","EXTEND"),IF(Q9="Probable Hero","BUILD","EXPLORE"))</f>
        <v>BUILD</v>
      </c>
      <c r="S9" s="6" t="str">
        <f>INDEX('Path Scorecard'!$AB$5:$AB$80,MATCH($A9,'Path Scorecard'!$A$5:$A$80,0))</f>
        <v>Recommended</v>
      </c>
      <c r="T9" s="10" t="s">
        <v>1245</v>
      </c>
      <c r="V9" s="26" t="e">
        <f t="shared" si="0"/>
        <v>#N/A</v>
      </c>
      <c r="W9" s="26" t="e">
        <f t="shared" si="1"/>
        <v>#N/A</v>
      </c>
      <c r="X9" s="26">
        <f t="shared" si="2"/>
        <v>61</v>
      </c>
      <c r="Y9" s="26">
        <f t="shared" si="3"/>
        <v>82</v>
      </c>
      <c r="Z9" s="26" t="e">
        <f t="shared" si="4"/>
        <v>#N/A</v>
      </c>
      <c r="AA9" s="26" t="e">
        <f t="shared" si="5"/>
        <v>#N/A</v>
      </c>
    </row>
    <row r="10" spans="1:27" ht="26.4" x14ac:dyDescent="0.3">
      <c r="A10" s="6" t="s">
        <v>930</v>
      </c>
      <c r="B10" s="8" t="s">
        <v>51</v>
      </c>
      <c r="C10" s="10" t="s">
        <v>916</v>
      </c>
      <c r="D10" s="10" t="s">
        <v>1246</v>
      </c>
      <c r="E10" s="15">
        <v>107</v>
      </c>
      <c r="F10" s="6" t="s">
        <v>1238</v>
      </c>
      <c r="G10" s="6">
        <f>IF(E10&gt;='Hero Criteria'!$C$42,5,IF(E10&gt;='Hero Criteria'!$C$43,4,IF(E10&gt;='Hero Criteria'!$C$44,3,IF(E10&gt;='Hero Criteria'!$C$45,2,1))))</f>
        <v>2</v>
      </c>
      <c r="H10" s="6">
        <f>IF(F10="Yes",'Hero Criteria'!$C$46,'Hero Criteria'!$C$47)</f>
        <v>5</v>
      </c>
      <c r="I10" s="19">
        <v>3</v>
      </c>
      <c r="J10" s="19">
        <v>3</v>
      </c>
      <c r="K10" s="25">
        <f>(G10*'Hero Criteria'!$D$19+H10*'Hero Criteria'!$D$20+I10*'Hero Criteria'!$D$21+J10*'Hero Criteria'!$D$22)/(5*'Hero Criteria'!$D$23)*100</f>
        <v>60</v>
      </c>
      <c r="L10" s="19">
        <v>5</v>
      </c>
      <c r="M10" s="19">
        <v>4</v>
      </c>
      <c r="N10" s="19">
        <v>4</v>
      </c>
      <c r="O10" s="6">
        <f>IF(INDEX('Path Scorecard'!$X$5:$X$80,MATCH($A10,'Path Scorecard'!$A$5:$A$80,0))="",3,INDEX('Path Scorecard'!$X$5:$X$80,MATCH($A10,'Path Scorecard'!$A$5:$A$80,0)))</f>
        <v>5</v>
      </c>
      <c r="P10" s="25">
        <f>(L10*'Hero Criteria'!$D$27+M10*'Hero Criteria'!$D$28+N10*'Hero Criteria'!$D$29+O10*'Hero Criteria'!$D$30)/(5*'Hero Criteria'!$D$31)*100</f>
        <v>90</v>
      </c>
      <c r="Q10" s="14" t="str">
        <f>IF(K10&gt;='Hero Criteria'!$C$35,"Hero",IF(P10&gt;='Hero Criteria'!$C$36,"Probable Hero","Non-Hero"))</f>
        <v>Probable Hero</v>
      </c>
      <c r="R10" s="14" t="str">
        <f>IF(Q10="Hero",IF(INDEX('Path Scorecard'!$T$5:$T$80,MATCH($A10,'Path Scorecard'!$A$5:$A$80,0))&lt;='Hero Criteria'!$C$37,"PROTECT","EXTEND"),IF(Q10="Probable Hero","BUILD","EXPLORE"))</f>
        <v>BUILD</v>
      </c>
      <c r="S10" s="6" t="str">
        <f>INDEX('Path Scorecard'!$AB$5:$AB$80,MATCH($A10,'Path Scorecard'!$A$5:$A$80,0))</f>
        <v>Recommended</v>
      </c>
      <c r="T10" s="10" t="s">
        <v>1247</v>
      </c>
      <c r="V10" s="26" t="e">
        <f t="shared" si="0"/>
        <v>#N/A</v>
      </c>
      <c r="W10" s="26" t="e">
        <f t="shared" si="1"/>
        <v>#N/A</v>
      </c>
      <c r="X10" s="26">
        <f t="shared" si="2"/>
        <v>60</v>
      </c>
      <c r="Y10" s="26">
        <f t="shared" si="3"/>
        <v>90</v>
      </c>
      <c r="Z10" s="26" t="e">
        <f t="shared" si="4"/>
        <v>#N/A</v>
      </c>
      <c r="AA10" s="26" t="e">
        <f t="shared" si="5"/>
        <v>#N/A</v>
      </c>
    </row>
    <row r="11" spans="1:27" ht="26.4" x14ac:dyDescent="0.3">
      <c r="A11" s="6" t="s">
        <v>756</v>
      </c>
      <c r="B11" s="8" t="s">
        <v>30</v>
      </c>
      <c r="C11" s="10" t="s">
        <v>938</v>
      </c>
      <c r="D11" s="10" t="s">
        <v>1248</v>
      </c>
      <c r="E11" s="15">
        <v>585</v>
      </c>
      <c r="F11" s="6" t="s">
        <v>1249</v>
      </c>
      <c r="G11" s="6">
        <f>IF(E11&gt;='Hero Criteria'!$C$42,5,IF(E11&gt;='Hero Criteria'!$C$43,4,IF(E11&gt;='Hero Criteria'!$C$44,3,IF(E11&gt;='Hero Criteria'!$C$45,2,1))))</f>
        <v>4</v>
      </c>
      <c r="H11" s="6">
        <f>IF(F11="Yes",'Hero Criteria'!$C$46,'Hero Criteria'!$C$47)</f>
        <v>2</v>
      </c>
      <c r="I11" s="19">
        <v>4</v>
      </c>
      <c r="J11" s="19">
        <v>4</v>
      </c>
      <c r="K11" s="25">
        <f>(G11*'Hero Criteria'!$D$19+H11*'Hero Criteria'!$D$20+I11*'Hero Criteria'!$D$21+J11*'Hero Criteria'!$D$22)/(5*'Hero Criteria'!$D$23)*100</f>
        <v>74</v>
      </c>
      <c r="L11" s="19">
        <v>4</v>
      </c>
      <c r="M11" s="19">
        <v>5</v>
      </c>
      <c r="N11" s="19">
        <v>5</v>
      </c>
      <c r="O11" s="6">
        <f>IF(INDEX('Path Scorecard'!$X$5:$X$80,MATCH($A11,'Path Scorecard'!$A$5:$A$80,0))="",3,INDEX('Path Scorecard'!$X$5:$X$80,MATCH($A11,'Path Scorecard'!$A$5:$A$80,0)))</f>
        <v>5</v>
      </c>
      <c r="P11" s="25">
        <f>(L11*'Hero Criteria'!$D$27+M11*'Hero Criteria'!$D$28+N11*'Hero Criteria'!$D$29+O11*'Hero Criteria'!$D$30)/(5*'Hero Criteria'!$D$31)*100</f>
        <v>93</v>
      </c>
      <c r="Q11" s="14" t="str">
        <f>IF(K11&gt;='Hero Criteria'!$C$35,"Hero",IF(P11&gt;='Hero Criteria'!$C$36,"Probable Hero","Non-Hero"))</f>
        <v>Hero</v>
      </c>
      <c r="R11" s="14" t="str">
        <f>IF(Q11="Hero",IF(INDEX('Path Scorecard'!$T$5:$T$80,MATCH($A11,'Path Scorecard'!$A$5:$A$80,0))&lt;='Hero Criteria'!$C$37,"PROTECT","EXTEND"),IF(Q11="Probable Hero","BUILD","EXPLORE"))</f>
        <v>EXTEND</v>
      </c>
      <c r="S11" s="6" t="str">
        <f>INDEX('Path Scorecard'!$AB$5:$AB$80,MATCH($A11,'Path Scorecard'!$A$5:$A$80,0))</f>
        <v>Recommended</v>
      </c>
      <c r="T11" s="10" t="s">
        <v>1250</v>
      </c>
      <c r="V11" s="26">
        <f t="shared" si="0"/>
        <v>74</v>
      </c>
      <c r="W11" s="26">
        <f t="shared" si="1"/>
        <v>93</v>
      </c>
      <c r="X11" s="26" t="e">
        <f t="shared" si="2"/>
        <v>#N/A</v>
      </c>
      <c r="Y11" s="26" t="e">
        <f t="shared" si="3"/>
        <v>#N/A</v>
      </c>
      <c r="Z11" s="26" t="e">
        <f t="shared" si="4"/>
        <v>#N/A</v>
      </c>
      <c r="AA11" s="26" t="e">
        <f t="shared" si="5"/>
        <v>#N/A</v>
      </c>
    </row>
    <row r="12" spans="1:27" ht="26.4" x14ac:dyDescent="0.3">
      <c r="A12" s="6" t="s">
        <v>757</v>
      </c>
      <c r="B12" s="8" t="s">
        <v>54</v>
      </c>
      <c r="C12" s="10" t="s">
        <v>938</v>
      </c>
      <c r="D12" s="10" t="s">
        <v>1251</v>
      </c>
      <c r="E12" s="15">
        <v>404</v>
      </c>
      <c r="F12" s="6" t="s">
        <v>1249</v>
      </c>
      <c r="G12" s="6">
        <f>IF(E12&gt;='Hero Criteria'!$C$42,5,IF(E12&gt;='Hero Criteria'!$C$43,4,IF(E12&gt;='Hero Criteria'!$C$44,3,IF(E12&gt;='Hero Criteria'!$C$45,2,1))))</f>
        <v>3</v>
      </c>
      <c r="H12" s="6">
        <f>IF(F12="Yes",'Hero Criteria'!$C$46,'Hero Criteria'!$C$47)</f>
        <v>2</v>
      </c>
      <c r="I12" s="19">
        <v>3</v>
      </c>
      <c r="J12" s="19">
        <v>3</v>
      </c>
      <c r="K12" s="25">
        <f>(G12*'Hero Criteria'!$D$19+H12*'Hero Criteria'!$D$20+I12*'Hero Criteria'!$D$21+J12*'Hero Criteria'!$D$22)/(5*'Hero Criteria'!$D$23)*100</f>
        <v>56.999999999999993</v>
      </c>
      <c r="L12" s="19">
        <v>5</v>
      </c>
      <c r="M12" s="19">
        <v>5</v>
      </c>
      <c r="N12" s="19">
        <v>4</v>
      </c>
      <c r="O12" s="6">
        <f>IF(INDEX('Path Scorecard'!$X$5:$X$80,MATCH($A12,'Path Scorecard'!$A$5:$A$80,0))="",3,INDEX('Path Scorecard'!$X$5:$X$80,MATCH($A12,'Path Scorecard'!$A$5:$A$80,0)))</f>
        <v>5</v>
      </c>
      <c r="P12" s="25">
        <f>(L12*'Hero Criteria'!$D$27+M12*'Hero Criteria'!$D$28+N12*'Hero Criteria'!$D$29+O12*'Hero Criteria'!$D$30)/(5*'Hero Criteria'!$D$31)*100</f>
        <v>95</v>
      </c>
      <c r="Q12" s="14" t="str">
        <f>IF(K12&gt;='Hero Criteria'!$C$35,"Hero",IF(P12&gt;='Hero Criteria'!$C$36,"Probable Hero","Non-Hero"))</f>
        <v>Probable Hero</v>
      </c>
      <c r="R12" s="14" t="str">
        <f>IF(Q12="Hero",IF(INDEX('Path Scorecard'!$T$5:$T$80,MATCH($A12,'Path Scorecard'!$A$5:$A$80,0))&lt;='Hero Criteria'!$C$37,"PROTECT","EXTEND"),IF(Q12="Probable Hero","BUILD","EXPLORE"))</f>
        <v>BUILD</v>
      </c>
      <c r="S12" s="6" t="str">
        <f>INDEX('Path Scorecard'!$AB$5:$AB$80,MATCH($A12,'Path Scorecard'!$A$5:$A$80,0))</f>
        <v>Recommended</v>
      </c>
      <c r="T12" s="10" t="s">
        <v>1252</v>
      </c>
      <c r="V12" s="26" t="e">
        <f t="shared" si="0"/>
        <v>#N/A</v>
      </c>
      <c r="W12" s="26" t="e">
        <f t="shared" si="1"/>
        <v>#N/A</v>
      </c>
      <c r="X12" s="26">
        <f t="shared" si="2"/>
        <v>56.999999999999993</v>
      </c>
      <c r="Y12" s="26">
        <f t="shared" si="3"/>
        <v>95</v>
      </c>
      <c r="Z12" s="26" t="e">
        <f t="shared" si="4"/>
        <v>#N/A</v>
      </c>
      <c r="AA12" s="26" t="e">
        <f t="shared" si="5"/>
        <v>#N/A</v>
      </c>
    </row>
    <row r="13" spans="1:27" ht="26.4" x14ac:dyDescent="0.3">
      <c r="A13" s="6" t="s">
        <v>943</v>
      </c>
      <c r="B13" s="8" t="s">
        <v>27</v>
      </c>
      <c r="C13" s="10" t="s">
        <v>916</v>
      </c>
      <c r="D13" s="10" t="s">
        <v>1253</v>
      </c>
      <c r="E13" s="15">
        <v>607</v>
      </c>
      <c r="F13" s="6" t="s">
        <v>1238</v>
      </c>
      <c r="G13" s="6">
        <f>IF(E13&gt;='Hero Criteria'!$C$42,5,IF(E13&gt;='Hero Criteria'!$C$43,4,IF(E13&gt;='Hero Criteria'!$C$44,3,IF(E13&gt;='Hero Criteria'!$C$45,2,1))))</f>
        <v>4</v>
      </c>
      <c r="H13" s="6">
        <f>IF(F13="Yes",'Hero Criteria'!$C$46,'Hero Criteria'!$C$47)</f>
        <v>5</v>
      </c>
      <c r="I13" s="19">
        <v>4</v>
      </c>
      <c r="J13" s="19">
        <v>4</v>
      </c>
      <c r="K13" s="25">
        <f>(G13*'Hero Criteria'!$D$19+H13*'Hero Criteria'!$D$20+I13*'Hero Criteria'!$D$21+J13*'Hero Criteria'!$D$22)/(5*'Hero Criteria'!$D$23)*100</f>
        <v>83</v>
      </c>
      <c r="L13" s="19">
        <v>4</v>
      </c>
      <c r="M13" s="19">
        <v>4</v>
      </c>
      <c r="N13" s="19">
        <v>4</v>
      </c>
      <c r="O13" s="6">
        <f>IF(INDEX('Path Scorecard'!$X$5:$X$80,MATCH($A13,'Path Scorecard'!$A$5:$A$80,0))="",3,INDEX('Path Scorecard'!$X$5:$X$80,MATCH($A13,'Path Scorecard'!$A$5:$A$80,0)))</f>
        <v>5</v>
      </c>
      <c r="P13" s="25">
        <f>(L13*'Hero Criteria'!$D$27+M13*'Hero Criteria'!$D$28+N13*'Hero Criteria'!$D$29+O13*'Hero Criteria'!$D$30)/(5*'Hero Criteria'!$D$31)*100</f>
        <v>83</v>
      </c>
      <c r="Q13" s="14" t="str">
        <f>IF(K13&gt;='Hero Criteria'!$C$35,"Hero",IF(P13&gt;='Hero Criteria'!$C$36,"Probable Hero","Non-Hero"))</f>
        <v>Hero</v>
      </c>
      <c r="R13" s="14" t="str">
        <f>IF(Q13="Hero",IF(INDEX('Path Scorecard'!$T$5:$T$80,MATCH($A13,'Path Scorecard'!$A$5:$A$80,0))&lt;='Hero Criteria'!$C$37,"PROTECT","EXTEND"),IF(Q13="Probable Hero","BUILD","EXPLORE"))</f>
        <v>EXTEND</v>
      </c>
      <c r="S13" s="6" t="str">
        <f>INDEX('Path Scorecard'!$AB$5:$AB$80,MATCH($A13,'Path Scorecard'!$A$5:$A$80,0))</f>
        <v>Recommended</v>
      </c>
      <c r="T13" s="10" t="s">
        <v>1254</v>
      </c>
      <c r="V13" s="26">
        <f t="shared" si="0"/>
        <v>83</v>
      </c>
      <c r="W13" s="26">
        <f t="shared" si="1"/>
        <v>83</v>
      </c>
      <c r="X13" s="26" t="e">
        <f t="shared" si="2"/>
        <v>#N/A</v>
      </c>
      <c r="Y13" s="26" t="e">
        <f t="shared" si="3"/>
        <v>#N/A</v>
      </c>
      <c r="Z13" s="26" t="e">
        <f t="shared" si="4"/>
        <v>#N/A</v>
      </c>
      <c r="AA13" s="26" t="e">
        <f t="shared" si="5"/>
        <v>#N/A</v>
      </c>
    </row>
    <row r="14" spans="1:27" ht="26.4" x14ac:dyDescent="0.3">
      <c r="A14" s="6" t="s">
        <v>949</v>
      </c>
      <c r="B14" s="8" t="s">
        <v>57</v>
      </c>
      <c r="C14" s="10" t="s">
        <v>916</v>
      </c>
      <c r="D14" s="10" t="s">
        <v>1255</v>
      </c>
      <c r="E14" s="15">
        <v>95</v>
      </c>
      <c r="F14" s="6" t="s">
        <v>1238</v>
      </c>
      <c r="G14" s="6">
        <f>IF(E14&gt;='Hero Criteria'!$C$42,5,IF(E14&gt;='Hero Criteria'!$C$43,4,IF(E14&gt;='Hero Criteria'!$C$44,3,IF(E14&gt;='Hero Criteria'!$C$45,2,1))))</f>
        <v>2</v>
      </c>
      <c r="H14" s="6">
        <f>IF(F14="Yes",'Hero Criteria'!$C$46,'Hero Criteria'!$C$47)</f>
        <v>5</v>
      </c>
      <c r="I14" s="19">
        <v>1</v>
      </c>
      <c r="J14" s="19">
        <v>2</v>
      </c>
      <c r="K14" s="25">
        <f>(G14*'Hero Criteria'!$D$19+H14*'Hero Criteria'!$D$20+I14*'Hero Criteria'!$D$21+J14*'Hero Criteria'!$D$22)/(5*'Hero Criteria'!$D$23)*100</f>
        <v>44</v>
      </c>
      <c r="L14" s="19">
        <v>4</v>
      </c>
      <c r="M14" s="19">
        <v>5</v>
      </c>
      <c r="N14" s="19">
        <v>4</v>
      </c>
      <c r="O14" s="6">
        <f>IF(INDEX('Path Scorecard'!$X$5:$X$80,MATCH($A14,'Path Scorecard'!$A$5:$A$80,0))="",3,INDEX('Path Scorecard'!$X$5:$X$80,MATCH($A14,'Path Scorecard'!$A$5:$A$80,0)))</f>
        <v>5</v>
      </c>
      <c r="P14" s="25">
        <f>(L14*'Hero Criteria'!$D$27+M14*'Hero Criteria'!$D$28+N14*'Hero Criteria'!$D$29+O14*'Hero Criteria'!$D$30)/(5*'Hero Criteria'!$D$31)*100</f>
        <v>88</v>
      </c>
      <c r="Q14" s="14" t="str">
        <f>IF(K14&gt;='Hero Criteria'!$C$35,"Hero",IF(P14&gt;='Hero Criteria'!$C$36,"Probable Hero","Non-Hero"))</f>
        <v>Probable Hero</v>
      </c>
      <c r="R14" s="14" t="str">
        <f>IF(Q14="Hero",IF(INDEX('Path Scorecard'!$T$5:$T$80,MATCH($A14,'Path Scorecard'!$A$5:$A$80,0))&lt;='Hero Criteria'!$C$37,"PROTECT","EXTEND"),IF(Q14="Probable Hero","BUILD","EXPLORE"))</f>
        <v>BUILD</v>
      </c>
      <c r="S14" s="6" t="str">
        <f>INDEX('Path Scorecard'!$AB$5:$AB$80,MATCH($A14,'Path Scorecard'!$A$5:$A$80,0))</f>
        <v>Recommended</v>
      </c>
      <c r="T14" s="10" t="s">
        <v>1256</v>
      </c>
      <c r="V14" s="26" t="e">
        <f t="shared" si="0"/>
        <v>#N/A</v>
      </c>
      <c r="W14" s="26" t="e">
        <f t="shared" si="1"/>
        <v>#N/A</v>
      </c>
      <c r="X14" s="26">
        <f t="shared" si="2"/>
        <v>44</v>
      </c>
      <c r="Y14" s="26">
        <f t="shared" si="3"/>
        <v>88</v>
      </c>
      <c r="Z14" s="26" t="e">
        <f t="shared" si="4"/>
        <v>#N/A</v>
      </c>
      <c r="AA14" s="26" t="e">
        <f t="shared" si="5"/>
        <v>#N/A</v>
      </c>
    </row>
    <row r="15" spans="1:27" ht="26.4" x14ac:dyDescent="0.3">
      <c r="A15" s="6" t="s">
        <v>758</v>
      </c>
      <c r="B15" s="8" t="s">
        <v>60</v>
      </c>
      <c r="C15" s="10" t="s">
        <v>938</v>
      </c>
      <c r="D15" s="10" t="s">
        <v>1248</v>
      </c>
      <c r="E15" s="15">
        <v>300</v>
      </c>
      <c r="F15" s="6" t="s">
        <v>1249</v>
      </c>
      <c r="G15" s="6">
        <f>IF(E15&gt;='Hero Criteria'!$C$42,5,IF(E15&gt;='Hero Criteria'!$C$43,4,IF(E15&gt;='Hero Criteria'!$C$44,3,IF(E15&gt;='Hero Criteria'!$C$45,2,1))))</f>
        <v>3</v>
      </c>
      <c r="H15" s="6">
        <f>IF(F15="Yes",'Hero Criteria'!$C$46,'Hero Criteria'!$C$47)</f>
        <v>2</v>
      </c>
      <c r="I15" s="19">
        <v>3</v>
      </c>
      <c r="J15" s="19">
        <v>4</v>
      </c>
      <c r="K15" s="25">
        <f>(G15*'Hero Criteria'!$D$19+H15*'Hero Criteria'!$D$20+I15*'Hero Criteria'!$D$21+J15*'Hero Criteria'!$D$22)/(5*'Hero Criteria'!$D$23)*100</f>
        <v>63</v>
      </c>
      <c r="L15" s="19">
        <v>3</v>
      </c>
      <c r="M15" s="19">
        <v>4</v>
      </c>
      <c r="N15" s="19">
        <v>4</v>
      </c>
      <c r="O15" s="6">
        <f>IF(INDEX('Path Scorecard'!$X$5:$X$80,MATCH($A15,'Path Scorecard'!$A$5:$A$80,0))="",3,INDEX('Path Scorecard'!$X$5:$X$80,MATCH($A15,'Path Scorecard'!$A$5:$A$80,0)))</f>
        <v>4</v>
      </c>
      <c r="P15" s="25">
        <f>(L15*'Hero Criteria'!$D$27+M15*'Hero Criteria'!$D$28+N15*'Hero Criteria'!$D$29+O15*'Hero Criteria'!$D$30)/(5*'Hero Criteria'!$D$31)*100</f>
        <v>73</v>
      </c>
      <c r="Q15" s="14" t="str">
        <f>IF(K15&gt;='Hero Criteria'!$C$35,"Hero",IF(P15&gt;='Hero Criteria'!$C$36,"Probable Hero","Non-Hero"))</f>
        <v>Probable Hero</v>
      </c>
      <c r="R15" s="14" t="str">
        <f>IF(Q15="Hero",IF(INDEX('Path Scorecard'!$T$5:$T$80,MATCH($A15,'Path Scorecard'!$A$5:$A$80,0))&lt;='Hero Criteria'!$C$37,"PROTECT","EXTEND"),IF(Q15="Probable Hero","BUILD","EXPLORE"))</f>
        <v>BUILD</v>
      </c>
      <c r="S15" s="6" t="str">
        <f>INDEX('Path Scorecard'!$AB$5:$AB$80,MATCH($A15,'Path Scorecard'!$A$5:$A$80,0))</f>
        <v>Recommended</v>
      </c>
      <c r="T15" s="10"/>
      <c r="V15" s="26" t="e">
        <f t="shared" si="0"/>
        <v>#N/A</v>
      </c>
      <c r="W15" s="26" t="e">
        <f t="shared" si="1"/>
        <v>#N/A</v>
      </c>
      <c r="X15" s="26">
        <f t="shared" si="2"/>
        <v>63</v>
      </c>
      <c r="Y15" s="26">
        <f t="shared" si="3"/>
        <v>73</v>
      </c>
      <c r="Z15" s="26" t="e">
        <f t="shared" si="4"/>
        <v>#N/A</v>
      </c>
      <c r="AA15" s="26" t="e">
        <f t="shared" si="5"/>
        <v>#N/A</v>
      </c>
    </row>
    <row r="16" spans="1:27" ht="26.4" x14ac:dyDescent="0.3">
      <c r="A16" s="6" t="s">
        <v>759</v>
      </c>
      <c r="B16" s="8" t="s">
        <v>317</v>
      </c>
      <c r="C16" s="10" t="s">
        <v>938</v>
      </c>
      <c r="D16" s="10" t="s">
        <v>1257</v>
      </c>
      <c r="E16" s="15">
        <v>173</v>
      </c>
      <c r="F16" s="6" t="s">
        <v>1249</v>
      </c>
      <c r="G16" s="6">
        <f>IF(E16&gt;='Hero Criteria'!$C$42,5,IF(E16&gt;='Hero Criteria'!$C$43,4,IF(E16&gt;='Hero Criteria'!$C$44,3,IF(E16&gt;='Hero Criteria'!$C$45,2,1))))</f>
        <v>2</v>
      </c>
      <c r="H16" s="6">
        <f>IF(F16="Yes",'Hero Criteria'!$C$46,'Hero Criteria'!$C$47)</f>
        <v>2</v>
      </c>
      <c r="I16" s="19">
        <v>2</v>
      </c>
      <c r="J16" s="19">
        <v>2</v>
      </c>
      <c r="K16" s="25">
        <f>(G16*'Hero Criteria'!$D$19+H16*'Hero Criteria'!$D$20+I16*'Hero Criteria'!$D$21+J16*'Hero Criteria'!$D$22)/(5*'Hero Criteria'!$D$23)*100</f>
        <v>40</v>
      </c>
      <c r="L16" s="19">
        <v>3</v>
      </c>
      <c r="M16" s="19">
        <v>4</v>
      </c>
      <c r="N16" s="19">
        <v>3</v>
      </c>
      <c r="O16" s="6">
        <f>IF(INDEX('Path Scorecard'!$X$5:$X$80,MATCH($A16,'Path Scorecard'!$A$5:$A$80,0))="",3,INDEX('Path Scorecard'!$X$5:$X$80,MATCH($A16,'Path Scorecard'!$A$5:$A$80,0)))</f>
        <v>3</v>
      </c>
      <c r="P16" s="25">
        <f>(L16*'Hero Criteria'!$D$27+M16*'Hero Criteria'!$D$28+N16*'Hero Criteria'!$D$29+O16*'Hero Criteria'!$D$30)/(5*'Hero Criteria'!$D$31)*100</f>
        <v>65</v>
      </c>
      <c r="Q16" s="14" t="str">
        <f>IF(K16&gt;='Hero Criteria'!$C$35,"Hero",IF(P16&gt;='Hero Criteria'!$C$36,"Probable Hero","Non-Hero"))</f>
        <v>Probable Hero</v>
      </c>
      <c r="R16" s="14" t="str">
        <f>IF(Q16="Hero",IF(INDEX('Path Scorecard'!$T$5:$T$80,MATCH($A16,'Path Scorecard'!$A$5:$A$80,0))&lt;='Hero Criteria'!$C$37,"PROTECT","EXTEND"),IF(Q16="Probable Hero","BUILD","EXPLORE"))</f>
        <v>BUILD</v>
      </c>
      <c r="S16" s="6" t="str">
        <f>INDEX('Path Scorecard'!$AB$5:$AB$80,MATCH($A16,'Path Scorecard'!$A$5:$A$80,0))</f>
        <v>Reserve</v>
      </c>
      <c r="T16" s="10"/>
      <c r="V16" s="26" t="e">
        <f t="shared" si="0"/>
        <v>#N/A</v>
      </c>
      <c r="W16" s="26" t="e">
        <f t="shared" si="1"/>
        <v>#N/A</v>
      </c>
      <c r="X16" s="26">
        <f t="shared" si="2"/>
        <v>40</v>
      </c>
      <c r="Y16" s="26">
        <f t="shared" si="3"/>
        <v>65</v>
      </c>
      <c r="Z16" s="26" t="e">
        <f t="shared" si="4"/>
        <v>#N/A</v>
      </c>
      <c r="AA16" s="26" t="e">
        <f t="shared" si="5"/>
        <v>#N/A</v>
      </c>
    </row>
    <row r="17" spans="1:27" x14ac:dyDescent="0.3">
      <c r="A17" s="6" t="s">
        <v>734</v>
      </c>
      <c r="B17" s="8" t="s">
        <v>33</v>
      </c>
      <c r="C17" s="10" t="s">
        <v>958</v>
      </c>
      <c r="D17" s="10" t="s">
        <v>648</v>
      </c>
      <c r="E17" s="15">
        <v>1501</v>
      </c>
      <c r="F17" s="6" t="s">
        <v>1238</v>
      </c>
      <c r="G17" s="6">
        <f>IF(E17&gt;='Hero Criteria'!$C$42,5,IF(E17&gt;='Hero Criteria'!$C$43,4,IF(E17&gt;='Hero Criteria'!$C$44,3,IF(E17&gt;='Hero Criteria'!$C$45,2,1))))</f>
        <v>5</v>
      </c>
      <c r="H17" s="6">
        <f>IF(F17="Yes",'Hero Criteria'!$C$46,'Hero Criteria'!$C$47)</f>
        <v>5</v>
      </c>
      <c r="I17" s="19">
        <v>4</v>
      </c>
      <c r="J17" s="19">
        <v>5</v>
      </c>
      <c r="K17" s="25">
        <f>(G17*'Hero Criteria'!$D$19+H17*'Hero Criteria'!$D$20+I17*'Hero Criteria'!$D$21+J17*'Hero Criteria'!$D$22)/(5*'Hero Criteria'!$D$23)*100</f>
        <v>95</v>
      </c>
      <c r="L17" s="19">
        <v>3</v>
      </c>
      <c r="M17" s="19">
        <v>5</v>
      </c>
      <c r="N17" s="19">
        <v>4</v>
      </c>
      <c r="O17" s="6">
        <f>IF(INDEX('Path Scorecard'!$X$5:$X$80,MATCH($A17,'Path Scorecard'!$A$5:$A$80,0))="",3,INDEX('Path Scorecard'!$X$5:$X$80,MATCH($A17,'Path Scorecard'!$A$5:$A$80,0)))</f>
        <v>4</v>
      </c>
      <c r="P17" s="25">
        <f>(L17*'Hero Criteria'!$D$27+M17*'Hero Criteria'!$D$28+N17*'Hero Criteria'!$D$29+O17*'Hero Criteria'!$D$30)/(5*'Hero Criteria'!$D$31)*100</f>
        <v>78</v>
      </c>
      <c r="Q17" s="14" t="str">
        <f>IF(K17&gt;='Hero Criteria'!$C$35,"Hero",IF(P17&gt;='Hero Criteria'!$C$36,"Probable Hero","Non-Hero"))</f>
        <v>Hero</v>
      </c>
      <c r="R17" s="14" t="str">
        <f>IF(Q17="Hero",IF(INDEX('Path Scorecard'!$T$5:$T$80,MATCH($A17,'Path Scorecard'!$A$5:$A$80,0))&lt;='Hero Criteria'!$C$37,"PROTECT","EXTEND"),IF(Q17="Probable Hero","BUILD","EXPLORE"))</f>
        <v>EXTEND</v>
      </c>
      <c r="S17" s="6" t="str">
        <f>INDEX('Path Scorecard'!$AB$5:$AB$80,MATCH($A17,'Path Scorecard'!$A$5:$A$80,0))</f>
        <v>Recommended</v>
      </c>
      <c r="T17" s="10" t="s">
        <v>1258</v>
      </c>
      <c r="V17" s="26">
        <f t="shared" si="0"/>
        <v>95</v>
      </c>
      <c r="W17" s="26">
        <f t="shared" si="1"/>
        <v>78</v>
      </c>
      <c r="X17" s="26" t="e">
        <f t="shared" si="2"/>
        <v>#N/A</v>
      </c>
      <c r="Y17" s="26" t="e">
        <f t="shared" si="3"/>
        <v>#N/A</v>
      </c>
      <c r="Z17" s="26" t="e">
        <f t="shared" si="4"/>
        <v>#N/A</v>
      </c>
      <c r="AA17" s="26" t="e">
        <f t="shared" si="5"/>
        <v>#N/A</v>
      </c>
    </row>
    <row r="18" spans="1:27" ht="26.4" x14ac:dyDescent="0.3">
      <c r="A18" s="6" t="s">
        <v>787</v>
      </c>
      <c r="B18" s="8" t="s">
        <v>328</v>
      </c>
      <c r="C18" s="10" t="s">
        <v>910</v>
      </c>
      <c r="D18" s="10" t="s">
        <v>1259</v>
      </c>
      <c r="E18" s="15">
        <v>253</v>
      </c>
      <c r="F18" s="6" t="s">
        <v>1238</v>
      </c>
      <c r="G18" s="6">
        <f>IF(E18&gt;='Hero Criteria'!$C$42,5,IF(E18&gt;='Hero Criteria'!$C$43,4,IF(E18&gt;='Hero Criteria'!$C$44,3,IF(E18&gt;='Hero Criteria'!$C$45,2,1))))</f>
        <v>3</v>
      </c>
      <c r="H18" s="6">
        <f>IF(F18="Yes",'Hero Criteria'!$C$46,'Hero Criteria'!$C$47)</f>
        <v>5</v>
      </c>
      <c r="I18" s="19">
        <v>3</v>
      </c>
      <c r="J18" s="19">
        <v>2</v>
      </c>
      <c r="K18" s="25">
        <f>(G18*'Hero Criteria'!$D$19+H18*'Hero Criteria'!$D$20+I18*'Hero Criteria'!$D$21+J18*'Hero Criteria'!$D$22)/(5*'Hero Criteria'!$D$23)*100</f>
        <v>60</v>
      </c>
      <c r="L18" s="19">
        <v>5</v>
      </c>
      <c r="M18" s="19">
        <v>4</v>
      </c>
      <c r="N18" s="19">
        <v>4</v>
      </c>
      <c r="O18" s="6">
        <f>IF(INDEX('Path Scorecard'!$X$5:$X$80,MATCH($A18,'Path Scorecard'!$A$5:$A$80,0))="",3,INDEX('Path Scorecard'!$X$5:$X$80,MATCH($A18,'Path Scorecard'!$A$5:$A$80,0)))</f>
        <v>4</v>
      </c>
      <c r="P18" s="25">
        <f>(L18*'Hero Criteria'!$D$27+M18*'Hero Criteria'!$D$28+N18*'Hero Criteria'!$D$29+O18*'Hero Criteria'!$D$30)/(5*'Hero Criteria'!$D$31)*100</f>
        <v>87</v>
      </c>
      <c r="Q18" s="14" t="str">
        <f>IF(K18&gt;='Hero Criteria'!$C$35,"Hero",IF(P18&gt;='Hero Criteria'!$C$36,"Probable Hero","Non-Hero"))</f>
        <v>Probable Hero</v>
      </c>
      <c r="R18" s="14" t="str">
        <f>IF(Q18="Hero",IF(INDEX('Path Scorecard'!$T$5:$T$80,MATCH($A18,'Path Scorecard'!$A$5:$A$80,0))&lt;='Hero Criteria'!$C$37,"PROTECT","EXTEND"),IF(Q18="Probable Hero","BUILD","EXPLORE"))</f>
        <v>BUILD</v>
      </c>
      <c r="S18" s="6" t="str">
        <f>INDEX('Path Scorecard'!$AB$5:$AB$80,MATCH($A18,'Path Scorecard'!$A$5:$A$80,0))</f>
        <v>Reserve</v>
      </c>
      <c r="T18" s="10"/>
      <c r="V18" s="26" t="e">
        <f t="shared" si="0"/>
        <v>#N/A</v>
      </c>
      <c r="W18" s="26" t="e">
        <f t="shared" si="1"/>
        <v>#N/A</v>
      </c>
      <c r="X18" s="26">
        <f t="shared" si="2"/>
        <v>60</v>
      </c>
      <c r="Y18" s="26">
        <f t="shared" si="3"/>
        <v>87</v>
      </c>
      <c r="Z18" s="26" t="e">
        <f t="shared" si="4"/>
        <v>#N/A</v>
      </c>
      <c r="AA18" s="26" t="e">
        <f t="shared" si="5"/>
        <v>#N/A</v>
      </c>
    </row>
    <row r="19" spans="1:27" ht="26.4" x14ac:dyDescent="0.3">
      <c r="A19" s="6" t="s">
        <v>963</v>
      </c>
      <c r="B19" s="8" t="s">
        <v>339</v>
      </c>
      <c r="C19" s="10" t="s">
        <v>916</v>
      </c>
      <c r="D19" s="10" t="s">
        <v>1260</v>
      </c>
      <c r="E19" s="15">
        <v>203</v>
      </c>
      <c r="F19" s="6" t="s">
        <v>1238</v>
      </c>
      <c r="G19" s="6">
        <f>IF(E19&gt;='Hero Criteria'!$C$42,5,IF(E19&gt;='Hero Criteria'!$C$43,4,IF(E19&gt;='Hero Criteria'!$C$44,3,IF(E19&gt;='Hero Criteria'!$C$45,2,1))))</f>
        <v>3</v>
      </c>
      <c r="H19" s="6">
        <f>IF(F19="Yes",'Hero Criteria'!$C$46,'Hero Criteria'!$C$47)</f>
        <v>5</v>
      </c>
      <c r="I19" s="19">
        <v>2</v>
      </c>
      <c r="J19" s="19">
        <v>2</v>
      </c>
      <c r="K19" s="25">
        <f>(G19*'Hero Criteria'!$D$19+H19*'Hero Criteria'!$D$20+I19*'Hero Criteria'!$D$21+J19*'Hero Criteria'!$D$22)/(5*'Hero Criteria'!$D$23)*100</f>
        <v>55.000000000000007</v>
      </c>
      <c r="L19" s="19">
        <v>4</v>
      </c>
      <c r="M19" s="19">
        <v>5</v>
      </c>
      <c r="N19" s="19">
        <v>4</v>
      </c>
      <c r="O19" s="6">
        <f>IF(INDEX('Path Scorecard'!$X$5:$X$80,MATCH($A19,'Path Scorecard'!$A$5:$A$80,0))="",3,INDEX('Path Scorecard'!$X$5:$X$80,MATCH($A19,'Path Scorecard'!$A$5:$A$80,0)))</f>
        <v>3</v>
      </c>
      <c r="P19" s="25">
        <f>(L19*'Hero Criteria'!$D$27+M19*'Hero Criteria'!$D$28+N19*'Hero Criteria'!$D$29+O19*'Hero Criteria'!$D$30)/(5*'Hero Criteria'!$D$31)*100</f>
        <v>82</v>
      </c>
      <c r="Q19" s="14" t="str">
        <f>IF(K19&gt;='Hero Criteria'!$C$35,"Hero",IF(P19&gt;='Hero Criteria'!$C$36,"Probable Hero","Non-Hero"))</f>
        <v>Probable Hero</v>
      </c>
      <c r="R19" s="14" t="str">
        <f>IF(Q19="Hero",IF(INDEX('Path Scorecard'!$T$5:$T$80,MATCH($A19,'Path Scorecard'!$A$5:$A$80,0))&lt;='Hero Criteria'!$C$37,"PROTECT","EXTEND"),IF(Q19="Probable Hero","BUILD","EXPLORE"))</f>
        <v>BUILD</v>
      </c>
      <c r="S19" s="6" t="str">
        <f>INDEX('Path Scorecard'!$AB$5:$AB$80,MATCH($A19,'Path Scorecard'!$A$5:$A$80,0))</f>
        <v>Reserve</v>
      </c>
      <c r="T19" s="10"/>
      <c r="V19" s="26" t="e">
        <f t="shared" si="0"/>
        <v>#N/A</v>
      </c>
      <c r="W19" s="26" t="e">
        <f t="shared" si="1"/>
        <v>#N/A</v>
      </c>
      <c r="X19" s="26">
        <f t="shared" si="2"/>
        <v>55.000000000000007</v>
      </c>
      <c r="Y19" s="26">
        <f t="shared" si="3"/>
        <v>82</v>
      </c>
      <c r="Z19" s="26" t="e">
        <f t="shared" si="4"/>
        <v>#N/A</v>
      </c>
      <c r="AA19" s="26" t="e">
        <f t="shared" si="5"/>
        <v>#N/A</v>
      </c>
    </row>
    <row r="20" spans="1:27" ht="26.4" x14ac:dyDescent="0.3">
      <c r="A20" s="6" t="s">
        <v>792</v>
      </c>
      <c r="B20" s="8" t="s">
        <v>793</v>
      </c>
      <c r="C20" s="10" t="s">
        <v>910</v>
      </c>
      <c r="D20" s="10" t="s">
        <v>1261</v>
      </c>
      <c r="E20" s="15">
        <v>32</v>
      </c>
      <c r="F20" s="6" t="s">
        <v>1238</v>
      </c>
      <c r="G20" s="6">
        <f>IF(E20&gt;='Hero Criteria'!$C$42,5,IF(E20&gt;='Hero Criteria'!$C$43,4,IF(E20&gt;='Hero Criteria'!$C$44,3,IF(E20&gt;='Hero Criteria'!$C$45,2,1))))</f>
        <v>1</v>
      </c>
      <c r="H20" s="6">
        <f>IF(F20="Yes",'Hero Criteria'!$C$46,'Hero Criteria'!$C$47)</f>
        <v>5</v>
      </c>
      <c r="I20" s="19">
        <v>1</v>
      </c>
      <c r="J20" s="19">
        <v>1</v>
      </c>
      <c r="K20" s="25">
        <f>(G20*'Hero Criteria'!$D$19+H20*'Hero Criteria'!$D$20+I20*'Hero Criteria'!$D$21+J20*'Hero Criteria'!$D$22)/(5*'Hero Criteria'!$D$23)*100</f>
        <v>32</v>
      </c>
      <c r="L20" s="19">
        <v>4</v>
      </c>
      <c r="M20" s="19">
        <v>4</v>
      </c>
      <c r="N20" s="19">
        <v>3</v>
      </c>
      <c r="O20" s="6">
        <f>IF(INDEX('Path Scorecard'!$X$5:$X$80,MATCH($A20,'Path Scorecard'!$A$5:$A$80,0))="",3,INDEX('Path Scorecard'!$X$5:$X$80,MATCH($A20,'Path Scorecard'!$A$5:$A$80,0)))</f>
        <v>3</v>
      </c>
      <c r="P20" s="25">
        <f>(L20*'Hero Criteria'!$D$27+M20*'Hero Criteria'!$D$28+N20*'Hero Criteria'!$D$29+O20*'Hero Criteria'!$D$30)/(5*'Hero Criteria'!$D$31)*100</f>
        <v>72</v>
      </c>
      <c r="Q20" s="14" t="str">
        <f>IF(K20&gt;='Hero Criteria'!$C$35,"Hero",IF(P20&gt;='Hero Criteria'!$C$36,"Probable Hero","Non-Hero"))</f>
        <v>Probable Hero</v>
      </c>
      <c r="R20" s="14" t="str">
        <f>IF(Q20="Hero",IF(INDEX('Path Scorecard'!$T$5:$T$80,MATCH($A20,'Path Scorecard'!$A$5:$A$80,0))&lt;='Hero Criteria'!$C$37,"PROTECT","EXTEND"),IF(Q20="Probable Hero","BUILD","EXPLORE"))</f>
        <v>BUILD</v>
      </c>
      <c r="S20" s="6" t="str">
        <f>INDEX('Path Scorecard'!$AB$5:$AB$80,MATCH($A20,'Path Scorecard'!$A$5:$A$80,0))</f>
        <v>Backlog</v>
      </c>
      <c r="T20" s="10"/>
      <c r="V20" s="26" t="e">
        <f t="shared" si="0"/>
        <v>#N/A</v>
      </c>
      <c r="W20" s="26" t="e">
        <f t="shared" si="1"/>
        <v>#N/A</v>
      </c>
      <c r="X20" s="26">
        <f t="shared" si="2"/>
        <v>32</v>
      </c>
      <c r="Y20" s="26">
        <f t="shared" si="3"/>
        <v>72</v>
      </c>
      <c r="Z20" s="26" t="e">
        <f t="shared" si="4"/>
        <v>#N/A</v>
      </c>
      <c r="AA20" s="26" t="e">
        <f t="shared" si="5"/>
        <v>#N/A</v>
      </c>
    </row>
    <row r="21" spans="1:27" ht="26.4" x14ac:dyDescent="0.3">
      <c r="A21" s="6" t="s">
        <v>789</v>
      </c>
      <c r="B21" s="8" t="s">
        <v>790</v>
      </c>
      <c r="C21" s="10" t="s">
        <v>910</v>
      </c>
      <c r="D21" s="10" t="s">
        <v>1262</v>
      </c>
      <c r="E21" s="15">
        <v>166</v>
      </c>
      <c r="F21" s="6" t="s">
        <v>1249</v>
      </c>
      <c r="G21" s="6">
        <f>IF(E21&gt;='Hero Criteria'!$C$42,5,IF(E21&gt;='Hero Criteria'!$C$43,4,IF(E21&gt;='Hero Criteria'!$C$44,3,IF(E21&gt;='Hero Criteria'!$C$45,2,1))))</f>
        <v>2</v>
      </c>
      <c r="H21" s="6">
        <f>IF(F21="Yes",'Hero Criteria'!$C$46,'Hero Criteria'!$C$47)</f>
        <v>2</v>
      </c>
      <c r="I21" s="19">
        <v>1</v>
      </c>
      <c r="J21" s="19">
        <v>2</v>
      </c>
      <c r="K21" s="25">
        <f>(G21*'Hero Criteria'!$D$19+H21*'Hero Criteria'!$D$20+I21*'Hero Criteria'!$D$21+J21*'Hero Criteria'!$D$22)/(5*'Hero Criteria'!$D$23)*100</f>
        <v>35</v>
      </c>
      <c r="L21" s="19">
        <v>3</v>
      </c>
      <c r="M21" s="19">
        <v>5</v>
      </c>
      <c r="N21" s="19">
        <v>3</v>
      </c>
      <c r="O21" s="6">
        <f>IF(INDEX('Path Scorecard'!$X$5:$X$80,MATCH($A21,'Path Scorecard'!$A$5:$A$80,0))="",3,INDEX('Path Scorecard'!$X$5:$X$80,MATCH($A21,'Path Scorecard'!$A$5:$A$80,0)))</f>
        <v>3</v>
      </c>
      <c r="P21" s="25">
        <f>(L21*'Hero Criteria'!$D$27+M21*'Hero Criteria'!$D$28+N21*'Hero Criteria'!$D$29+O21*'Hero Criteria'!$D$30)/(5*'Hero Criteria'!$D$31)*100</f>
        <v>70</v>
      </c>
      <c r="Q21" s="14" t="str">
        <f>IF(K21&gt;='Hero Criteria'!$C$35,"Hero",IF(P21&gt;='Hero Criteria'!$C$36,"Probable Hero","Non-Hero"))</f>
        <v>Probable Hero</v>
      </c>
      <c r="R21" s="14" t="str">
        <f>IF(Q21="Hero",IF(INDEX('Path Scorecard'!$T$5:$T$80,MATCH($A21,'Path Scorecard'!$A$5:$A$80,0))&lt;='Hero Criteria'!$C$37,"PROTECT","EXTEND"),IF(Q21="Probable Hero","BUILD","EXPLORE"))</f>
        <v>BUILD</v>
      </c>
      <c r="S21" s="6" t="str">
        <f>INDEX('Path Scorecard'!$AB$5:$AB$80,MATCH($A21,'Path Scorecard'!$A$5:$A$80,0))</f>
        <v>Backlog</v>
      </c>
      <c r="T21" s="10"/>
      <c r="V21" s="26" t="e">
        <f t="shared" si="0"/>
        <v>#N/A</v>
      </c>
      <c r="W21" s="26" t="e">
        <f t="shared" si="1"/>
        <v>#N/A</v>
      </c>
      <c r="X21" s="26">
        <f t="shared" si="2"/>
        <v>35</v>
      </c>
      <c r="Y21" s="26">
        <f t="shared" si="3"/>
        <v>70</v>
      </c>
      <c r="Z21" s="26" t="e">
        <f t="shared" si="4"/>
        <v>#N/A</v>
      </c>
      <c r="AA21" s="26" t="e">
        <f t="shared" si="5"/>
        <v>#N/A</v>
      </c>
    </row>
    <row r="22" spans="1:27" ht="26.4" x14ac:dyDescent="0.3">
      <c r="A22" s="6" t="s">
        <v>976</v>
      </c>
      <c r="B22" s="8" t="s">
        <v>977</v>
      </c>
      <c r="C22" s="10" t="s">
        <v>916</v>
      </c>
      <c r="D22" s="10" t="s">
        <v>1263</v>
      </c>
      <c r="E22" s="15">
        <v>318</v>
      </c>
      <c r="F22" s="6" t="s">
        <v>1238</v>
      </c>
      <c r="G22" s="6">
        <f>IF(E22&gt;='Hero Criteria'!$C$42,5,IF(E22&gt;='Hero Criteria'!$C$43,4,IF(E22&gt;='Hero Criteria'!$C$44,3,IF(E22&gt;='Hero Criteria'!$C$45,2,1))))</f>
        <v>3</v>
      </c>
      <c r="H22" s="6">
        <f>IF(F22="Yes",'Hero Criteria'!$C$46,'Hero Criteria'!$C$47)</f>
        <v>5</v>
      </c>
      <c r="I22" s="19">
        <v>2</v>
      </c>
      <c r="J22" s="19">
        <v>3</v>
      </c>
      <c r="K22" s="25">
        <f>(G22*'Hero Criteria'!$D$19+H22*'Hero Criteria'!$D$20+I22*'Hero Criteria'!$D$21+J22*'Hero Criteria'!$D$22)/(5*'Hero Criteria'!$D$23)*100</f>
        <v>61</v>
      </c>
      <c r="L22" s="19">
        <v>4</v>
      </c>
      <c r="M22" s="19">
        <v>4</v>
      </c>
      <c r="N22" s="19">
        <v>3</v>
      </c>
      <c r="O22" s="6">
        <f>IF(INDEX('Path Scorecard'!$X$5:$X$80,MATCH($A22,'Path Scorecard'!$A$5:$A$80,0))="",3,INDEX('Path Scorecard'!$X$5:$X$80,MATCH($A22,'Path Scorecard'!$A$5:$A$80,0)))</f>
        <v>3</v>
      </c>
      <c r="P22" s="25">
        <f>(L22*'Hero Criteria'!$D$27+M22*'Hero Criteria'!$D$28+N22*'Hero Criteria'!$D$29+O22*'Hero Criteria'!$D$30)/(5*'Hero Criteria'!$D$31)*100</f>
        <v>72</v>
      </c>
      <c r="Q22" s="14" t="str">
        <f>IF(K22&gt;='Hero Criteria'!$C$35,"Hero",IF(P22&gt;='Hero Criteria'!$C$36,"Probable Hero","Non-Hero"))</f>
        <v>Probable Hero</v>
      </c>
      <c r="R22" s="14" t="str">
        <f>IF(Q22="Hero",IF(INDEX('Path Scorecard'!$T$5:$T$80,MATCH($A22,'Path Scorecard'!$A$5:$A$80,0))&lt;='Hero Criteria'!$C$37,"PROTECT","EXTEND"),IF(Q22="Probable Hero","BUILD","EXPLORE"))</f>
        <v>BUILD</v>
      </c>
      <c r="S22" s="6" t="str">
        <f>INDEX('Path Scorecard'!$AB$5:$AB$80,MATCH($A22,'Path Scorecard'!$A$5:$A$80,0))</f>
        <v>Backlog</v>
      </c>
      <c r="T22" s="10"/>
      <c r="V22" s="26" t="e">
        <f t="shared" si="0"/>
        <v>#N/A</v>
      </c>
      <c r="W22" s="26" t="e">
        <f t="shared" si="1"/>
        <v>#N/A</v>
      </c>
      <c r="X22" s="26">
        <f t="shared" si="2"/>
        <v>61</v>
      </c>
      <c r="Y22" s="26">
        <f t="shared" si="3"/>
        <v>72</v>
      </c>
      <c r="Z22" s="26" t="e">
        <f t="shared" si="4"/>
        <v>#N/A</v>
      </c>
      <c r="AA22" s="26" t="e">
        <f t="shared" si="5"/>
        <v>#N/A</v>
      </c>
    </row>
    <row r="23" spans="1:27" x14ac:dyDescent="0.3">
      <c r="A23" s="6" t="s">
        <v>983</v>
      </c>
      <c r="B23" s="8" t="s">
        <v>36</v>
      </c>
      <c r="C23" s="10" t="s">
        <v>916</v>
      </c>
      <c r="D23" s="10" t="s">
        <v>1264</v>
      </c>
      <c r="E23" s="15">
        <v>284</v>
      </c>
      <c r="F23" s="6" t="s">
        <v>1238</v>
      </c>
      <c r="G23" s="6">
        <f>IF(E23&gt;='Hero Criteria'!$C$42,5,IF(E23&gt;='Hero Criteria'!$C$43,4,IF(E23&gt;='Hero Criteria'!$C$44,3,IF(E23&gt;='Hero Criteria'!$C$45,2,1))))</f>
        <v>3</v>
      </c>
      <c r="H23" s="6">
        <f>IF(F23="Yes",'Hero Criteria'!$C$46,'Hero Criteria'!$C$47)</f>
        <v>5</v>
      </c>
      <c r="I23" s="19">
        <v>4</v>
      </c>
      <c r="J23" s="19">
        <v>4</v>
      </c>
      <c r="K23" s="25">
        <f>(G23*'Hero Criteria'!$D$19+H23*'Hero Criteria'!$D$20+I23*'Hero Criteria'!$D$21+J23*'Hero Criteria'!$D$22)/(5*'Hero Criteria'!$D$23)*100</f>
        <v>77</v>
      </c>
      <c r="L23" s="19">
        <v>3</v>
      </c>
      <c r="M23" s="19">
        <v>4</v>
      </c>
      <c r="N23" s="19">
        <v>3</v>
      </c>
      <c r="O23" s="6">
        <f>IF(INDEX('Path Scorecard'!$X$5:$X$80,MATCH($A23,'Path Scorecard'!$A$5:$A$80,0))="",3,INDEX('Path Scorecard'!$X$5:$X$80,MATCH($A23,'Path Scorecard'!$A$5:$A$80,0)))</f>
        <v>4</v>
      </c>
      <c r="P23" s="25">
        <f>(L23*'Hero Criteria'!$D$27+M23*'Hero Criteria'!$D$28+N23*'Hero Criteria'!$D$29+O23*'Hero Criteria'!$D$30)/(5*'Hero Criteria'!$D$31)*100</f>
        <v>68</v>
      </c>
      <c r="Q23" s="14" t="str">
        <f>IF(K23&gt;='Hero Criteria'!$C$35,"Hero",IF(P23&gt;='Hero Criteria'!$C$36,"Probable Hero","Non-Hero"))</f>
        <v>Hero</v>
      </c>
      <c r="R23" s="14" t="str">
        <f>IF(Q23="Hero",IF(INDEX('Path Scorecard'!$T$5:$T$80,MATCH($A23,'Path Scorecard'!$A$5:$A$80,0))&lt;='Hero Criteria'!$C$37,"PROTECT","EXTEND"),IF(Q23="Probable Hero","BUILD","EXPLORE"))</f>
        <v>EXTEND</v>
      </c>
      <c r="S23" s="6" t="str">
        <f>INDEX('Path Scorecard'!$AB$5:$AB$80,MATCH($A23,'Path Scorecard'!$A$5:$A$80,0))</f>
        <v>Recommended</v>
      </c>
      <c r="T23" s="10"/>
      <c r="V23" s="26">
        <f t="shared" si="0"/>
        <v>77</v>
      </c>
      <c r="W23" s="26">
        <f t="shared" si="1"/>
        <v>68</v>
      </c>
      <c r="X23" s="26" t="e">
        <f t="shared" si="2"/>
        <v>#N/A</v>
      </c>
      <c r="Y23" s="26" t="e">
        <f t="shared" si="3"/>
        <v>#N/A</v>
      </c>
      <c r="Z23" s="26" t="e">
        <f t="shared" si="4"/>
        <v>#N/A</v>
      </c>
      <c r="AA23" s="26" t="e">
        <f t="shared" si="5"/>
        <v>#N/A</v>
      </c>
    </row>
    <row r="24" spans="1:27" ht="26.4" x14ac:dyDescent="0.3">
      <c r="A24" s="6" t="s">
        <v>987</v>
      </c>
      <c r="B24" s="8" t="s">
        <v>63</v>
      </c>
      <c r="C24" s="10" t="s">
        <v>916</v>
      </c>
      <c r="D24" s="10" t="s">
        <v>1260</v>
      </c>
      <c r="E24" s="15">
        <v>229</v>
      </c>
      <c r="F24" s="6" t="s">
        <v>1238</v>
      </c>
      <c r="G24" s="6">
        <f>IF(E24&gt;='Hero Criteria'!$C$42,5,IF(E24&gt;='Hero Criteria'!$C$43,4,IF(E24&gt;='Hero Criteria'!$C$44,3,IF(E24&gt;='Hero Criteria'!$C$45,2,1))))</f>
        <v>3</v>
      </c>
      <c r="H24" s="6">
        <f>IF(F24="Yes",'Hero Criteria'!$C$46,'Hero Criteria'!$C$47)</f>
        <v>5</v>
      </c>
      <c r="I24" s="19">
        <v>1</v>
      </c>
      <c r="J24" s="19">
        <v>2</v>
      </c>
      <c r="K24" s="25">
        <f>(G24*'Hero Criteria'!$D$19+H24*'Hero Criteria'!$D$20+I24*'Hero Criteria'!$D$21+J24*'Hero Criteria'!$D$22)/(5*'Hero Criteria'!$D$23)*100</f>
        <v>50</v>
      </c>
      <c r="L24" s="19">
        <v>2</v>
      </c>
      <c r="M24" s="19">
        <v>5</v>
      </c>
      <c r="N24" s="19">
        <v>3</v>
      </c>
      <c r="O24" s="6">
        <f>IF(INDEX('Path Scorecard'!$X$5:$X$80,MATCH($A24,'Path Scorecard'!$A$5:$A$80,0))="",3,INDEX('Path Scorecard'!$X$5:$X$80,MATCH($A24,'Path Scorecard'!$A$5:$A$80,0)))</f>
        <v>2</v>
      </c>
      <c r="P24" s="25">
        <f>(L24*'Hero Criteria'!$D$27+M24*'Hero Criteria'!$D$28+N24*'Hero Criteria'!$D$29+O24*'Hero Criteria'!$D$30)/(5*'Hero Criteria'!$D$31)*100</f>
        <v>60</v>
      </c>
      <c r="Q24" s="14" t="str">
        <f>IF(K24&gt;='Hero Criteria'!$C$35,"Hero",IF(P24&gt;='Hero Criteria'!$C$36,"Probable Hero","Non-Hero"))</f>
        <v>Non-Hero</v>
      </c>
      <c r="R24" s="14" t="str">
        <f>IF(Q24="Hero",IF(INDEX('Path Scorecard'!$T$5:$T$80,MATCH($A24,'Path Scorecard'!$A$5:$A$80,0))&lt;='Hero Criteria'!$C$37,"PROTECT","EXTEND"),IF(Q24="Probable Hero","BUILD","EXPLORE"))</f>
        <v>EXPLORE</v>
      </c>
      <c r="S24" s="6" t="str">
        <f>INDEX('Path Scorecard'!$AB$5:$AB$80,MATCH($A24,'Path Scorecard'!$A$5:$A$80,0))</f>
        <v>Recommended</v>
      </c>
      <c r="T24" s="10" t="s">
        <v>1265</v>
      </c>
      <c r="V24" s="26" t="e">
        <f t="shared" si="0"/>
        <v>#N/A</v>
      </c>
      <c r="W24" s="26" t="e">
        <f t="shared" si="1"/>
        <v>#N/A</v>
      </c>
      <c r="X24" s="26" t="e">
        <f t="shared" si="2"/>
        <v>#N/A</v>
      </c>
      <c r="Y24" s="26" t="e">
        <f t="shared" si="3"/>
        <v>#N/A</v>
      </c>
      <c r="Z24" s="26">
        <f t="shared" si="4"/>
        <v>50</v>
      </c>
      <c r="AA24" s="26">
        <f t="shared" si="5"/>
        <v>60</v>
      </c>
    </row>
    <row r="25" spans="1:27" x14ac:dyDescent="0.3">
      <c r="A25" s="6" t="s">
        <v>990</v>
      </c>
      <c r="B25" s="8" t="s">
        <v>991</v>
      </c>
      <c r="C25" s="10" t="s">
        <v>916</v>
      </c>
      <c r="D25" s="10" t="s">
        <v>1260</v>
      </c>
      <c r="E25" s="15">
        <v>435</v>
      </c>
      <c r="F25" s="6" t="s">
        <v>1238</v>
      </c>
      <c r="G25" s="6">
        <f>IF(E25&gt;='Hero Criteria'!$C$42,5,IF(E25&gt;='Hero Criteria'!$C$43,4,IF(E25&gt;='Hero Criteria'!$C$44,3,IF(E25&gt;='Hero Criteria'!$C$45,2,1))))</f>
        <v>3</v>
      </c>
      <c r="H25" s="6">
        <f>IF(F25="Yes",'Hero Criteria'!$C$46,'Hero Criteria'!$C$47)</f>
        <v>5</v>
      </c>
      <c r="I25" s="19">
        <v>2</v>
      </c>
      <c r="J25" s="19">
        <v>3</v>
      </c>
      <c r="K25" s="25">
        <f>(G25*'Hero Criteria'!$D$19+H25*'Hero Criteria'!$D$20+I25*'Hero Criteria'!$D$21+J25*'Hero Criteria'!$D$22)/(5*'Hero Criteria'!$D$23)*100</f>
        <v>61</v>
      </c>
      <c r="L25" s="19">
        <v>3</v>
      </c>
      <c r="M25" s="19">
        <v>5</v>
      </c>
      <c r="N25" s="19">
        <v>4</v>
      </c>
      <c r="O25" s="6">
        <f>IF(INDEX('Path Scorecard'!$X$5:$X$80,MATCH($A25,'Path Scorecard'!$A$5:$A$80,0))="",3,INDEX('Path Scorecard'!$X$5:$X$80,MATCH($A25,'Path Scorecard'!$A$5:$A$80,0)))</f>
        <v>3</v>
      </c>
      <c r="P25" s="25">
        <f>(L25*'Hero Criteria'!$D$27+M25*'Hero Criteria'!$D$28+N25*'Hero Criteria'!$D$29+O25*'Hero Criteria'!$D$30)/(5*'Hero Criteria'!$D$31)*100</f>
        <v>75</v>
      </c>
      <c r="Q25" s="14" t="str">
        <f>IF(K25&gt;='Hero Criteria'!$C$35,"Hero",IF(P25&gt;='Hero Criteria'!$C$36,"Probable Hero","Non-Hero"))</f>
        <v>Probable Hero</v>
      </c>
      <c r="R25" s="14" t="str">
        <f>IF(Q25="Hero",IF(INDEX('Path Scorecard'!$T$5:$T$80,MATCH($A25,'Path Scorecard'!$A$5:$A$80,0))&lt;='Hero Criteria'!$C$37,"PROTECT","EXTEND"),IF(Q25="Probable Hero","BUILD","EXPLORE"))</f>
        <v>BUILD</v>
      </c>
      <c r="S25" s="6" t="str">
        <f>INDEX('Path Scorecard'!$AB$5:$AB$80,MATCH($A25,'Path Scorecard'!$A$5:$A$80,0))</f>
        <v>Backlog</v>
      </c>
      <c r="T25" s="10"/>
      <c r="V25" s="26" t="e">
        <f t="shared" si="0"/>
        <v>#N/A</v>
      </c>
      <c r="W25" s="26" t="e">
        <f t="shared" si="1"/>
        <v>#N/A</v>
      </c>
      <c r="X25" s="26">
        <f t="shared" si="2"/>
        <v>61</v>
      </c>
      <c r="Y25" s="26">
        <f t="shared" si="3"/>
        <v>75</v>
      </c>
      <c r="Z25" s="26" t="e">
        <f t="shared" si="4"/>
        <v>#N/A</v>
      </c>
      <c r="AA25" s="26" t="e">
        <f t="shared" si="5"/>
        <v>#N/A</v>
      </c>
    </row>
    <row r="26" spans="1:27" ht="26.4" x14ac:dyDescent="0.3">
      <c r="A26" s="6" t="s">
        <v>772</v>
      </c>
      <c r="B26" s="8" t="s">
        <v>773</v>
      </c>
      <c r="C26" s="10" t="s">
        <v>998</v>
      </c>
      <c r="D26" s="10" t="s">
        <v>1266</v>
      </c>
      <c r="E26" s="15">
        <v>99</v>
      </c>
      <c r="F26" s="6" t="s">
        <v>1249</v>
      </c>
      <c r="G26" s="6">
        <f>IF(E26&gt;='Hero Criteria'!$C$42,5,IF(E26&gt;='Hero Criteria'!$C$43,4,IF(E26&gt;='Hero Criteria'!$C$44,3,IF(E26&gt;='Hero Criteria'!$C$45,2,1))))</f>
        <v>2</v>
      </c>
      <c r="H26" s="6">
        <f>IF(F26="Yes",'Hero Criteria'!$C$46,'Hero Criteria'!$C$47)</f>
        <v>2</v>
      </c>
      <c r="I26" s="19">
        <v>2</v>
      </c>
      <c r="J26" s="19">
        <v>3</v>
      </c>
      <c r="K26" s="25">
        <f>(G26*'Hero Criteria'!$D$19+H26*'Hero Criteria'!$D$20+I26*'Hero Criteria'!$D$21+J26*'Hero Criteria'!$D$22)/(5*'Hero Criteria'!$D$23)*100</f>
        <v>46</v>
      </c>
      <c r="L26" s="19">
        <v>3</v>
      </c>
      <c r="M26" s="19">
        <v>4</v>
      </c>
      <c r="N26" s="19">
        <v>3</v>
      </c>
      <c r="O26" s="6">
        <f>IF(INDEX('Path Scorecard'!$X$5:$X$80,MATCH($A26,'Path Scorecard'!$A$5:$A$80,0))="",3,INDEX('Path Scorecard'!$X$5:$X$80,MATCH($A26,'Path Scorecard'!$A$5:$A$80,0)))</f>
        <v>3</v>
      </c>
      <c r="P26" s="25">
        <f>(L26*'Hero Criteria'!$D$27+M26*'Hero Criteria'!$D$28+N26*'Hero Criteria'!$D$29+O26*'Hero Criteria'!$D$30)/(5*'Hero Criteria'!$D$31)*100</f>
        <v>65</v>
      </c>
      <c r="Q26" s="14" t="str">
        <f>IF(K26&gt;='Hero Criteria'!$C$35,"Hero",IF(P26&gt;='Hero Criteria'!$C$36,"Probable Hero","Non-Hero"))</f>
        <v>Probable Hero</v>
      </c>
      <c r="R26" s="14" t="str">
        <f>IF(Q26="Hero",IF(INDEX('Path Scorecard'!$T$5:$T$80,MATCH($A26,'Path Scorecard'!$A$5:$A$80,0))&lt;='Hero Criteria'!$C$37,"PROTECT","EXTEND"),IF(Q26="Probable Hero","BUILD","EXPLORE"))</f>
        <v>BUILD</v>
      </c>
      <c r="S26" s="6" t="str">
        <f>INDEX('Path Scorecard'!$AB$5:$AB$80,MATCH($A26,'Path Scorecard'!$A$5:$A$80,0))</f>
        <v>Backlog</v>
      </c>
      <c r="T26" s="10"/>
      <c r="V26" s="26" t="e">
        <f t="shared" si="0"/>
        <v>#N/A</v>
      </c>
      <c r="W26" s="26" t="e">
        <f t="shared" si="1"/>
        <v>#N/A</v>
      </c>
      <c r="X26" s="26">
        <f t="shared" si="2"/>
        <v>46</v>
      </c>
      <c r="Y26" s="26">
        <f t="shared" si="3"/>
        <v>65</v>
      </c>
      <c r="Z26" s="26" t="e">
        <f t="shared" si="4"/>
        <v>#N/A</v>
      </c>
      <c r="AA26" s="26" t="e">
        <f t="shared" si="5"/>
        <v>#N/A</v>
      </c>
    </row>
    <row r="27" spans="1:27" ht="26.4" x14ac:dyDescent="0.3">
      <c r="A27" s="6" t="s">
        <v>1000</v>
      </c>
      <c r="B27" s="8" t="s">
        <v>65</v>
      </c>
      <c r="C27" s="10" t="s">
        <v>916</v>
      </c>
      <c r="D27" s="10" t="s">
        <v>1240</v>
      </c>
      <c r="E27" s="15">
        <v>82</v>
      </c>
      <c r="F27" s="6" t="s">
        <v>1238</v>
      </c>
      <c r="G27" s="6">
        <f>IF(E27&gt;='Hero Criteria'!$C$42,5,IF(E27&gt;='Hero Criteria'!$C$43,4,IF(E27&gt;='Hero Criteria'!$C$44,3,IF(E27&gt;='Hero Criteria'!$C$45,2,1))))</f>
        <v>2</v>
      </c>
      <c r="H27" s="6">
        <f>IF(F27="Yes",'Hero Criteria'!$C$46,'Hero Criteria'!$C$47)</f>
        <v>5</v>
      </c>
      <c r="I27" s="19">
        <v>2</v>
      </c>
      <c r="J27" s="19">
        <v>3</v>
      </c>
      <c r="K27" s="25">
        <f>(G27*'Hero Criteria'!$D$19+H27*'Hero Criteria'!$D$20+I27*'Hero Criteria'!$D$21+J27*'Hero Criteria'!$D$22)/(5*'Hero Criteria'!$D$23)*100</f>
        <v>55.000000000000007</v>
      </c>
      <c r="L27" s="19">
        <v>4</v>
      </c>
      <c r="M27" s="19">
        <v>3</v>
      </c>
      <c r="N27" s="19">
        <v>2</v>
      </c>
      <c r="O27" s="6">
        <f>IF(INDEX('Path Scorecard'!$X$5:$X$80,MATCH($A27,'Path Scorecard'!$A$5:$A$80,0))="",3,INDEX('Path Scorecard'!$X$5:$X$80,MATCH($A27,'Path Scorecard'!$A$5:$A$80,0)))</f>
        <v>3</v>
      </c>
      <c r="P27" s="25">
        <f>(L27*'Hero Criteria'!$D$27+M27*'Hero Criteria'!$D$28+N27*'Hero Criteria'!$D$29+O27*'Hero Criteria'!$D$30)/(5*'Hero Criteria'!$D$31)*100</f>
        <v>62</v>
      </c>
      <c r="Q27" s="14" t="str">
        <f>IF(K27&gt;='Hero Criteria'!$C$35,"Hero",IF(P27&gt;='Hero Criteria'!$C$36,"Probable Hero","Non-Hero"))</f>
        <v>Non-Hero</v>
      </c>
      <c r="R27" s="14" t="str">
        <f>IF(Q27="Hero",IF(INDEX('Path Scorecard'!$T$5:$T$80,MATCH($A27,'Path Scorecard'!$A$5:$A$80,0))&lt;='Hero Criteria'!$C$37,"PROTECT","EXTEND"),IF(Q27="Probable Hero","BUILD","EXPLORE"))</f>
        <v>EXPLORE</v>
      </c>
      <c r="S27" s="6" t="str">
        <f>INDEX('Path Scorecard'!$AB$5:$AB$80,MATCH($A27,'Path Scorecard'!$A$5:$A$80,0))</f>
        <v>Recommended</v>
      </c>
      <c r="T27" s="10" t="s">
        <v>1267</v>
      </c>
      <c r="V27" s="26" t="e">
        <f t="shared" si="0"/>
        <v>#N/A</v>
      </c>
      <c r="W27" s="26" t="e">
        <f t="shared" si="1"/>
        <v>#N/A</v>
      </c>
      <c r="X27" s="26" t="e">
        <f t="shared" si="2"/>
        <v>#N/A</v>
      </c>
      <c r="Y27" s="26" t="e">
        <f t="shared" si="3"/>
        <v>#N/A</v>
      </c>
      <c r="Z27" s="26">
        <f t="shared" si="4"/>
        <v>55.000000000000007</v>
      </c>
      <c r="AA27" s="26">
        <f t="shared" si="5"/>
        <v>62</v>
      </c>
    </row>
    <row r="28" spans="1:27" ht="39.6" x14ac:dyDescent="0.3">
      <c r="A28" s="6" t="s">
        <v>1003</v>
      </c>
      <c r="B28" s="8" t="s">
        <v>1004</v>
      </c>
      <c r="C28" s="10" t="s">
        <v>916</v>
      </c>
      <c r="D28" s="10" t="s">
        <v>1263</v>
      </c>
      <c r="E28" s="15">
        <v>205</v>
      </c>
      <c r="F28" s="6" t="s">
        <v>1238</v>
      </c>
      <c r="G28" s="6">
        <f>IF(E28&gt;='Hero Criteria'!$C$42,5,IF(E28&gt;='Hero Criteria'!$C$43,4,IF(E28&gt;='Hero Criteria'!$C$44,3,IF(E28&gt;='Hero Criteria'!$C$45,2,1))))</f>
        <v>3</v>
      </c>
      <c r="H28" s="6">
        <f>IF(F28="Yes",'Hero Criteria'!$C$46,'Hero Criteria'!$C$47)</f>
        <v>5</v>
      </c>
      <c r="I28" s="19">
        <v>2</v>
      </c>
      <c r="J28" s="19">
        <v>3</v>
      </c>
      <c r="K28" s="25">
        <f>(G28*'Hero Criteria'!$D$19+H28*'Hero Criteria'!$D$20+I28*'Hero Criteria'!$D$21+J28*'Hero Criteria'!$D$22)/(5*'Hero Criteria'!$D$23)*100</f>
        <v>61</v>
      </c>
      <c r="L28" s="19">
        <v>4</v>
      </c>
      <c r="M28" s="19">
        <v>4</v>
      </c>
      <c r="N28" s="19">
        <v>3</v>
      </c>
      <c r="O28" s="6">
        <f>IF(INDEX('Path Scorecard'!$X$5:$X$80,MATCH($A28,'Path Scorecard'!$A$5:$A$80,0))="",3,INDEX('Path Scorecard'!$X$5:$X$80,MATCH($A28,'Path Scorecard'!$A$5:$A$80,0)))</f>
        <v>3</v>
      </c>
      <c r="P28" s="25">
        <f>(L28*'Hero Criteria'!$D$27+M28*'Hero Criteria'!$D$28+N28*'Hero Criteria'!$D$29+O28*'Hero Criteria'!$D$30)/(5*'Hero Criteria'!$D$31)*100</f>
        <v>72</v>
      </c>
      <c r="Q28" s="14" t="str">
        <f>IF(K28&gt;='Hero Criteria'!$C$35,"Hero",IF(P28&gt;='Hero Criteria'!$C$36,"Probable Hero","Non-Hero"))</f>
        <v>Probable Hero</v>
      </c>
      <c r="R28" s="14" t="str">
        <f>IF(Q28="Hero",IF(INDEX('Path Scorecard'!$T$5:$T$80,MATCH($A28,'Path Scorecard'!$A$5:$A$80,0))&lt;='Hero Criteria'!$C$37,"PROTECT","EXTEND"),IF(Q28="Probable Hero","BUILD","EXPLORE"))</f>
        <v>BUILD</v>
      </c>
      <c r="S28" s="6" t="str">
        <f>INDEX('Path Scorecard'!$AB$5:$AB$80,MATCH($A28,'Path Scorecard'!$A$5:$A$80,0))</f>
        <v>Backlog</v>
      </c>
      <c r="T28" s="10"/>
      <c r="V28" s="26" t="e">
        <f t="shared" si="0"/>
        <v>#N/A</v>
      </c>
      <c r="W28" s="26" t="e">
        <f t="shared" si="1"/>
        <v>#N/A</v>
      </c>
      <c r="X28" s="26">
        <f t="shared" si="2"/>
        <v>61</v>
      </c>
      <c r="Y28" s="26">
        <f t="shared" si="3"/>
        <v>72</v>
      </c>
      <c r="Z28" s="26" t="e">
        <f t="shared" si="4"/>
        <v>#N/A</v>
      </c>
      <c r="AA28" s="26" t="e">
        <f t="shared" si="5"/>
        <v>#N/A</v>
      </c>
    </row>
    <row r="29" spans="1:27" ht="26.4" x14ac:dyDescent="0.3">
      <c r="A29" s="6" t="s">
        <v>712</v>
      </c>
      <c r="B29" s="8" t="s">
        <v>713</v>
      </c>
      <c r="C29" s="10" t="s">
        <v>925</v>
      </c>
      <c r="D29" s="10" t="s">
        <v>641</v>
      </c>
      <c r="E29" s="15">
        <v>49</v>
      </c>
      <c r="F29" s="6" t="s">
        <v>1238</v>
      </c>
      <c r="G29" s="6">
        <f>IF(E29&gt;='Hero Criteria'!$C$42,5,IF(E29&gt;='Hero Criteria'!$C$43,4,IF(E29&gt;='Hero Criteria'!$C$44,3,IF(E29&gt;='Hero Criteria'!$C$45,2,1))))</f>
        <v>1</v>
      </c>
      <c r="H29" s="6">
        <f>IF(F29="Yes",'Hero Criteria'!$C$46,'Hero Criteria'!$C$47)</f>
        <v>5</v>
      </c>
      <c r="I29" s="19">
        <v>2</v>
      </c>
      <c r="J29" s="19">
        <v>2</v>
      </c>
      <c r="K29" s="25">
        <f>(G29*'Hero Criteria'!$D$19+H29*'Hero Criteria'!$D$20+I29*'Hero Criteria'!$D$21+J29*'Hero Criteria'!$D$22)/(5*'Hero Criteria'!$D$23)*100</f>
        <v>43</v>
      </c>
      <c r="L29" s="19">
        <v>3</v>
      </c>
      <c r="M29" s="19">
        <v>5</v>
      </c>
      <c r="N29" s="19">
        <v>3</v>
      </c>
      <c r="O29" s="6">
        <f>IF(INDEX('Path Scorecard'!$X$5:$X$80,MATCH($A29,'Path Scorecard'!$A$5:$A$80,0))="",3,INDEX('Path Scorecard'!$X$5:$X$80,MATCH($A29,'Path Scorecard'!$A$5:$A$80,0)))</f>
        <v>2</v>
      </c>
      <c r="P29" s="25">
        <f>(L29*'Hero Criteria'!$D$27+M29*'Hero Criteria'!$D$28+N29*'Hero Criteria'!$D$29+O29*'Hero Criteria'!$D$30)/(5*'Hero Criteria'!$D$31)*100</f>
        <v>67</v>
      </c>
      <c r="Q29" s="14" t="str">
        <f>IF(K29&gt;='Hero Criteria'!$C$35,"Hero",IF(P29&gt;='Hero Criteria'!$C$36,"Probable Hero","Non-Hero"))</f>
        <v>Probable Hero</v>
      </c>
      <c r="R29" s="14" t="str">
        <f>IF(Q29="Hero",IF(INDEX('Path Scorecard'!$T$5:$T$80,MATCH($A29,'Path Scorecard'!$A$5:$A$80,0))&lt;='Hero Criteria'!$C$37,"PROTECT","EXTEND"),IF(Q29="Probable Hero","BUILD","EXPLORE"))</f>
        <v>BUILD</v>
      </c>
      <c r="S29" s="6" t="str">
        <f>INDEX('Path Scorecard'!$AB$5:$AB$80,MATCH($A29,'Path Scorecard'!$A$5:$A$80,0))</f>
        <v>Backlog</v>
      </c>
      <c r="T29" s="10"/>
      <c r="V29" s="26" t="e">
        <f t="shared" si="0"/>
        <v>#N/A</v>
      </c>
      <c r="W29" s="26" t="e">
        <f t="shared" si="1"/>
        <v>#N/A</v>
      </c>
      <c r="X29" s="26">
        <f t="shared" si="2"/>
        <v>43</v>
      </c>
      <c r="Y29" s="26">
        <f t="shared" si="3"/>
        <v>67</v>
      </c>
      <c r="Z29" s="26" t="e">
        <f t="shared" si="4"/>
        <v>#N/A</v>
      </c>
      <c r="AA29" s="26" t="e">
        <f t="shared" si="5"/>
        <v>#N/A</v>
      </c>
    </row>
    <row r="30" spans="1:27" ht="26.4" x14ac:dyDescent="0.3">
      <c r="A30" s="6" t="s">
        <v>743</v>
      </c>
      <c r="B30" s="8" t="s">
        <v>744</v>
      </c>
      <c r="C30" s="10" t="s">
        <v>928</v>
      </c>
      <c r="D30" s="10" t="s">
        <v>655</v>
      </c>
      <c r="E30" s="15">
        <v>211</v>
      </c>
      <c r="F30" s="6" t="s">
        <v>1238</v>
      </c>
      <c r="G30" s="6">
        <f>IF(E30&gt;='Hero Criteria'!$C$42,5,IF(E30&gt;='Hero Criteria'!$C$43,4,IF(E30&gt;='Hero Criteria'!$C$44,3,IF(E30&gt;='Hero Criteria'!$C$45,2,1))))</f>
        <v>3</v>
      </c>
      <c r="H30" s="6">
        <f>IF(F30="Yes",'Hero Criteria'!$C$46,'Hero Criteria'!$C$47)</f>
        <v>5</v>
      </c>
      <c r="I30" s="19">
        <v>1</v>
      </c>
      <c r="J30" s="19">
        <v>1</v>
      </c>
      <c r="K30" s="25">
        <f>(G30*'Hero Criteria'!$D$19+H30*'Hero Criteria'!$D$20+I30*'Hero Criteria'!$D$21+J30*'Hero Criteria'!$D$22)/(5*'Hero Criteria'!$D$23)*100</f>
        <v>44</v>
      </c>
      <c r="L30" s="19">
        <v>3</v>
      </c>
      <c r="M30" s="19">
        <v>5</v>
      </c>
      <c r="N30" s="19">
        <v>3</v>
      </c>
      <c r="O30" s="6">
        <f>IF(INDEX('Path Scorecard'!$X$5:$X$80,MATCH($A30,'Path Scorecard'!$A$5:$A$80,0))="",3,INDEX('Path Scorecard'!$X$5:$X$80,MATCH($A30,'Path Scorecard'!$A$5:$A$80,0)))</f>
        <v>2</v>
      </c>
      <c r="P30" s="25">
        <f>(L30*'Hero Criteria'!$D$27+M30*'Hero Criteria'!$D$28+N30*'Hero Criteria'!$D$29+O30*'Hero Criteria'!$D$30)/(5*'Hero Criteria'!$D$31)*100</f>
        <v>67</v>
      </c>
      <c r="Q30" s="14" t="str">
        <f>IF(K30&gt;='Hero Criteria'!$C$35,"Hero",IF(P30&gt;='Hero Criteria'!$C$36,"Probable Hero","Non-Hero"))</f>
        <v>Probable Hero</v>
      </c>
      <c r="R30" s="14" t="str">
        <f>IF(Q30="Hero",IF(INDEX('Path Scorecard'!$T$5:$T$80,MATCH($A30,'Path Scorecard'!$A$5:$A$80,0))&lt;='Hero Criteria'!$C$37,"PROTECT","EXTEND"),IF(Q30="Probable Hero","BUILD","EXPLORE"))</f>
        <v>BUILD</v>
      </c>
      <c r="S30" s="6" t="str">
        <f>INDEX('Path Scorecard'!$AB$5:$AB$80,MATCH($A30,'Path Scorecard'!$A$5:$A$80,0))</f>
        <v>Backlog</v>
      </c>
      <c r="T30" s="10"/>
      <c r="V30" s="26" t="e">
        <f t="shared" si="0"/>
        <v>#N/A</v>
      </c>
      <c r="W30" s="26" t="e">
        <f t="shared" si="1"/>
        <v>#N/A</v>
      </c>
      <c r="X30" s="26">
        <f t="shared" si="2"/>
        <v>44</v>
      </c>
      <c r="Y30" s="26">
        <f t="shared" si="3"/>
        <v>67</v>
      </c>
      <c r="Z30" s="26" t="e">
        <f t="shared" si="4"/>
        <v>#N/A</v>
      </c>
      <c r="AA30" s="26" t="e">
        <f t="shared" si="5"/>
        <v>#N/A</v>
      </c>
    </row>
    <row r="31" spans="1:27" ht="26.4" x14ac:dyDescent="0.3">
      <c r="A31" s="6" t="s">
        <v>1014</v>
      </c>
      <c r="B31" s="8" t="s">
        <v>39</v>
      </c>
      <c r="C31" s="10" t="s">
        <v>916</v>
      </c>
      <c r="D31" s="10" t="s">
        <v>1263</v>
      </c>
      <c r="E31" s="15">
        <v>374</v>
      </c>
      <c r="F31" s="6" t="s">
        <v>1238</v>
      </c>
      <c r="G31" s="6">
        <f>IF(E31&gt;='Hero Criteria'!$C$42,5,IF(E31&gt;='Hero Criteria'!$C$43,4,IF(E31&gt;='Hero Criteria'!$C$44,3,IF(E31&gt;='Hero Criteria'!$C$45,2,1))))</f>
        <v>3</v>
      </c>
      <c r="H31" s="6">
        <f>IF(F31="Yes",'Hero Criteria'!$C$46,'Hero Criteria'!$C$47)</f>
        <v>5</v>
      </c>
      <c r="I31" s="19">
        <v>4</v>
      </c>
      <c r="J31" s="19">
        <v>4</v>
      </c>
      <c r="K31" s="25">
        <f>(G31*'Hero Criteria'!$D$19+H31*'Hero Criteria'!$D$20+I31*'Hero Criteria'!$D$21+J31*'Hero Criteria'!$D$22)/(5*'Hero Criteria'!$D$23)*100</f>
        <v>77</v>
      </c>
      <c r="L31" s="19">
        <v>3</v>
      </c>
      <c r="M31" s="19">
        <v>5</v>
      </c>
      <c r="N31" s="19">
        <v>4</v>
      </c>
      <c r="O31" s="6">
        <f>IF(INDEX('Path Scorecard'!$X$5:$X$80,MATCH($A31,'Path Scorecard'!$A$5:$A$80,0))="",3,INDEX('Path Scorecard'!$X$5:$X$80,MATCH($A31,'Path Scorecard'!$A$5:$A$80,0)))</f>
        <v>3</v>
      </c>
      <c r="P31" s="25">
        <f>(L31*'Hero Criteria'!$D$27+M31*'Hero Criteria'!$D$28+N31*'Hero Criteria'!$D$29+O31*'Hero Criteria'!$D$30)/(5*'Hero Criteria'!$D$31)*100</f>
        <v>75</v>
      </c>
      <c r="Q31" s="14" t="str">
        <f>IF(K31&gt;='Hero Criteria'!$C$35,"Hero",IF(P31&gt;='Hero Criteria'!$C$36,"Probable Hero","Non-Hero"))</f>
        <v>Hero</v>
      </c>
      <c r="R31" s="14" t="str">
        <f>IF(Q31="Hero",IF(INDEX('Path Scorecard'!$T$5:$T$80,MATCH($A31,'Path Scorecard'!$A$5:$A$80,0))&lt;='Hero Criteria'!$C$37,"PROTECT","EXTEND"),IF(Q31="Probable Hero","BUILD","EXPLORE"))</f>
        <v>EXTEND</v>
      </c>
      <c r="S31" s="6" t="str">
        <f>INDEX('Path Scorecard'!$AB$5:$AB$80,MATCH($A31,'Path Scorecard'!$A$5:$A$80,0))</f>
        <v>Recommended</v>
      </c>
      <c r="T31" s="10"/>
      <c r="V31" s="26">
        <f t="shared" si="0"/>
        <v>77</v>
      </c>
      <c r="W31" s="26">
        <f t="shared" si="1"/>
        <v>75</v>
      </c>
      <c r="X31" s="26" t="e">
        <f t="shared" si="2"/>
        <v>#N/A</v>
      </c>
      <c r="Y31" s="26" t="e">
        <f t="shared" si="3"/>
        <v>#N/A</v>
      </c>
      <c r="Z31" s="26" t="e">
        <f t="shared" si="4"/>
        <v>#N/A</v>
      </c>
      <c r="AA31" s="26" t="e">
        <f t="shared" si="5"/>
        <v>#N/A</v>
      </c>
    </row>
    <row r="32" spans="1:27" ht="26.4" x14ac:dyDescent="0.3">
      <c r="A32" s="6" t="s">
        <v>718</v>
      </c>
      <c r="B32" s="8" t="s">
        <v>719</v>
      </c>
      <c r="C32" s="10" t="s">
        <v>925</v>
      </c>
      <c r="D32" s="10" t="s">
        <v>641</v>
      </c>
      <c r="E32" s="15">
        <v>75</v>
      </c>
      <c r="F32" s="6" t="s">
        <v>1238</v>
      </c>
      <c r="G32" s="6">
        <f>IF(E32&gt;='Hero Criteria'!$C$42,5,IF(E32&gt;='Hero Criteria'!$C$43,4,IF(E32&gt;='Hero Criteria'!$C$44,3,IF(E32&gt;='Hero Criteria'!$C$45,2,1))))</f>
        <v>2</v>
      </c>
      <c r="H32" s="6">
        <f>IF(F32="Yes",'Hero Criteria'!$C$46,'Hero Criteria'!$C$47)</f>
        <v>5</v>
      </c>
      <c r="I32" s="19">
        <v>2</v>
      </c>
      <c r="J32" s="19">
        <v>3</v>
      </c>
      <c r="K32" s="25">
        <f>(G32*'Hero Criteria'!$D$19+H32*'Hero Criteria'!$D$20+I32*'Hero Criteria'!$D$21+J32*'Hero Criteria'!$D$22)/(5*'Hero Criteria'!$D$23)*100</f>
        <v>55.000000000000007</v>
      </c>
      <c r="L32" s="19">
        <v>3</v>
      </c>
      <c r="M32" s="19">
        <v>5</v>
      </c>
      <c r="N32" s="19">
        <v>4</v>
      </c>
      <c r="O32" s="6">
        <f>IF(INDEX('Path Scorecard'!$X$5:$X$80,MATCH($A32,'Path Scorecard'!$A$5:$A$80,0))="",3,INDEX('Path Scorecard'!$X$5:$X$80,MATCH($A32,'Path Scorecard'!$A$5:$A$80,0)))</f>
        <v>2</v>
      </c>
      <c r="P32" s="25">
        <f>(L32*'Hero Criteria'!$D$27+M32*'Hero Criteria'!$D$28+N32*'Hero Criteria'!$D$29+O32*'Hero Criteria'!$D$30)/(5*'Hero Criteria'!$D$31)*100</f>
        <v>72</v>
      </c>
      <c r="Q32" s="14" t="str">
        <f>IF(K32&gt;='Hero Criteria'!$C$35,"Hero",IF(P32&gt;='Hero Criteria'!$C$36,"Probable Hero","Non-Hero"))</f>
        <v>Probable Hero</v>
      </c>
      <c r="R32" s="14" t="str">
        <f>IF(Q32="Hero",IF(INDEX('Path Scorecard'!$T$5:$T$80,MATCH($A32,'Path Scorecard'!$A$5:$A$80,0))&lt;='Hero Criteria'!$C$37,"PROTECT","EXTEND"),IF(Q32="Probable Hero","BUILD","EXPLORE"))</f>
        <v>BUILD</v>
      </c>
      <c r="S32" s="6" t="str">
        <f>INDEX('Path Scorecard'!$AB$5:$AB$80,MATCH($A32,'Path Scorecard'!$A$5:$A$80,0))</f>
        <v>Backlog</v>
      </c>
      <c r="T32" s="10"/>
      <c r="V32" s="26" t="e">
        <f t="shared" si="0"/>
        <v>#N/A</v>
      </c>
      <c r="W32" s="26" t="e">
        <f t="shared" si="1"/>
        <v>#N/A</v>
      </c>
      <c r="X32" s="26">
        <f t="shared" si="2"/>
        <v>55.000000000000007</v>
      </c>
      <c r="Y32" s="26">
        <f t="shared" si="3"/>
        <v>72</v>
      </c>
      <c r="Z32" s="26" t="e">
        <f t="shared" si="4"/>
        <v>#N/A</v>
      </c>
      <c r="AA32" s="26" t="e">
        <f t="shared" si="5"/>
        <v>#N/A</v>
      </c>
    </row>
    <row r="33" spans="1:27" ht="26.4" x14ac:dyDescent="0.3">
      <c r="A33" s="6" t="s">
        <v>788</v>
      </c>
      <c r="B33" s="8" t="s">
        <v>284</v>
      </c>
      <c r="C33" s="10" t="s">
        <v>910</v>
      </c>
      <c r="D33" s="10" t="s">
        <v>1237</v>
      </c>
      <c r="E33" s="15">
        <v>1234</v>
      </c>
      <c r="F33" s="6" t="s">
        <v>1238</v>
      </c>
      <c r="G33" s="6">
        <f>IF(E33&gt;='Hero Criteria'!$C$42,5,IF(E33&gt;='Hero Criteria'!$C$43,4,IF(E33&gt;='Hero Criteria'!$C$44,3,IF(E33&gt;='Hero Criteria'!$C$45,2,1))))</f>
        <v>5</v>
      </c>
      <c r="H33" s="6">
        <f>IF(F33="Yes",'Hero Criteria'!$C$46,'Hero Criteria'!$C$47)</f>
        <v>5</v>
      </c>
      <c r="I33" s="19">
        <v>4</v>
      </c>
      <c r="J33" s="19">
        <v>5</v>
      </c>
      <c r="K33" s="25">
        <f>(G33*'Hero Criteria'!$D$19+H33*'Hero Criteria'!$D$20+I33*'Hero Criteria'!$D$21+J33*'Hero Criteria'!$D$22)/(5*'Hero Criteria'!$D$23)*100</f>
        <v>95</v>
      </c>
      <c r="L33" s="19">
        <v>3</v>
      </c>
      <c r="M33" s="19">
        <v>4</v>
      </c>
      <c r="N33" s="19">
        <v>4</v>
      </c>
      <c r="O33" s="6">
        <f>IF(INDEX('Path Scorecard'!$X$5:$X$80,MATCH($A33,'Path Scorecard'!$A$5:$A$80,0))="",3,INDEX('Path Scorecard'!$X$5:$X$80,MATCH($A33,'Path Scorecard'!$A$5:$A$80,0)))</f>
        <v>5</v>
      </c>
      <c r="P33" s="25">
        <f>(L33*'Hero Criteria'!$D$27+M33*'Hero Criteria'!$D$28+N33*'Hero Criteria'!$D$29+O33*'Hero Criteria'!$D$30)/(5*'Hero Criteria'!$D$31)*100</f>
        <v>76</v>
      </c>
      <c r="Q33" s="14" t="str">
        <f>IF(K33&gt;='Hero Criteria'!$C$35,"Hero",IF(P33&gt;='Hero Criteria'!$C$36,"Probable Hero","Non-Hero"))</f>
        <v>Hero</v>
      </c>
      <c r="R33" s="14" t="str">
        <f>IF(Q33="Hero",IF(INDEX('Path Scorecard'!$T$5:$T$80,MATCH($A33,'Path Scorecard'!$A$5:$A$80,0))&lt;='Hero Criteria'!$C$37,"PROTECT","EXTEND"),IF(Q33="Probable Hero","BUILD","EXPLORE"))</f>
        <v>EXTEND</v>
      </c>
      <c r="S33" s="6" t="str">
        <f>INDEX('Path Scorecard'!$AB$5:$AB$80,MATCH($A33,'Path Scorecard'!$A$5:$A$80,0))</f>
        <v>Reserve</v>
      </c>
      <c r="T33" s="10"/>
      <c r="V33" s="26">
        <f t="shared" si="0"/>
        <v>95</v>
      </c>
      <c r="W33" s="26">
        <f t="shared" si="1"/>
        <v>76</v>
      </c>
      <c r="X33" s="26" t="e">
        <f t="shared" si="2"/>
        <v>#N/A</v>
      </c>
      <c r="Y33" s="26" t="e">
        <f t="shared" si="3"/>
        <v>#N/A</v>
      </c>
      <c r="Z33" s="26" t="e">
        <f t="shared" si="4"/>
        <v>#N/A</v>
      </c>
      <c r="AA33" s="26" t="e">
        <f t="shared" si="5"/>
        <v>#N/A</v>
      </c>
    </row>
    <row r="34" spans="1:27" ht="26.4" x14ac:dyDescent="0.3">
      <c r="A34" s="6" t="s">
        <v>715</v>
      </c>
      <c r="B34" s="8" t="s">
        <v>716</v>
      </c>
      <c r="C34" s="10" t="s">
        <v>925</v>
      </c>
      <c r="D34" s="10" t="s">
        <v>641</v>
      </c>
      <c r="E34" s="15">
        <v>617</v>
      </c>
      <c r="F34" s="6" t="s">
        <v>1238</v>
      </c>
      <c r="G34" s="6">
        <f>IF(E34&gt;='Hero Criteria'!$C$42,5,IF(E34&gt;='Hero Criteria'!$C$43,4,IF(E34&gt;='Hero Criteria'!$C$44,3,IF(E34&gt;='Hero Criteria'!$C$45,2,1))))</f>
        <v>4</v>
      </c>
      <c r="H34" s="6">
        <f>IF(F34="Yes",'Hero Criteria'!$C$46,'Hero Criteria'!$C$47)</f>
        <v>5</v>
      </c>
      <c r="I34" s="19">
        <v>2</v>
      </c>
      <c r="J34" s="19">
        <v>2</v>
      </c>
      <c r="K34" s="25">
        <f>(G34*'Hero Criteria'!$D$19+H34*'Hero Criteria'!$D$20+I34*'Hero Criteria'!$D$21+J34*'Hero Criteria'!$D$22)/(5*'Hero Criteria'!$D$23)*100</f>
        <v>61</v>
      </c>
      <c r="L34" s="19">
        <v>3</v>
      </c>
      <c r="M34" s="19">
        <v>5</v>
      </c>
      <c r="N34" s="19">
        <v>4</v>
      </c>
      <c r="O34" s="6">
        <f>IF(INDEX('Path Scorecard'!$X$5:$X$80,MATCH($A34,'Path Scorecard'!$A$5:$A$80,0))="",3,INDEX('Path Scorecard'!$X$5:$X$80,MATCH($A34,'Path Scorecard'!$A$5:$A$80,0)))</f>
        <v>2</v>
      </c>
      <c r="P34" s="25">
        <f>(L34*'Hero Criteria'!$D$27+M34*'Hero Criteria'!$D$28+N34*'Hero Criteria'!$D$29+O34*'Hero Criteria'!$D$30)/(5*'Hero Criteria'!$D$31)*100</f>
        <v>72</v>
      </c>
      <c r="Q34" s="14" t="str">
        <f>IF(K34&gt;='Hero Criteria'!$C$35,"Hero",IF(P34&gt;='Hero Criteria'!$C$36,"Probable Hero","Non-Hero"))</f>
        <v>Probable Hero</v>
      </c>
      <c r="R34" s="14" t="str">
        <f>IF(Q34="Hero",IF(INDEX('Path Scorecard'!$T$5:$T$80,MATCH($A34,'Path Scorecard'!$A$5:$A$80,0))&lt;='Hero Criteria'!$C$37,"PROTECT","EXTEND"),IF(Q34="Probable Hero","BUILD","EXPLORE"))</f>
        <v>BUILD</v>
      </c>
      <c r="S34" s="6" t="str">
        <f>INDEX('Path Scorecard'!$AB$5:$AB$80,MATCH($A34,'Path Scorecard'!$A$5:$A$80,0))</f>
        <v>Backlog</v>
      </c>
      <c r="T34" s="10"/>
      <c r="V34" s="26" t="e">
        <f t="shared" si="0"/>
        <v>#N/A</v>
      </c>
      <c r="W34" s="26" t="e">
        <f t="shared" si="1"/>
        <v>#N/A</v>
      </c>
      <c r="X34" s="26">
        <f t="shared" si="2"/>
        <v>61</v>
      </c>
      <c r="Y34" s="26">
        <f t="shared" si="3"/>
        <v>72</v>
      </c>
      <c r="Z34" s="26" t="e">
        <f t="shared" si="4"/>
        <v>#N/A</v>
      </c>
      <c r="AA34" s="26" t="e">
        <f t="shared" si="5"/>
        <v>#N/A</v>
      </c>
    </row>
    <row r="35" spans="1:27" ht="26.4" x14ac:dyDescent="0.3">
      <c r="A35" s="6" t="s">
        <v>746</v>
      </c>
      <c r="B35" s="8" t="s">
        <v>747</v>
      </c>
      <c r="C35" s="10" t="s">
        <v>928</v>
      </c>
      <c r="D35" s="10" t="s">
        <v>655</v>
      </c>
      <c r="E35" s="15">
        <v>132</v>
      </c>
      <c r="F35" s="6" t="s">
        <v>1238</v>
      </c>
      <c r="G35" s="6">
        <f>IF(E35&gt;='Hero Criteria'!$C$42,5,IF(E35&gt;='Hero Criteria'!$C$43,4,IF(E35&gt;='Hero Criteria'!$C$44,3,IF(E35&gt;='Hero Criteria'!$C$45,2,1))))</f>
        <v>2</v>
      </c>
      <c r="H35" s="6">
        <f>IF(F35="Yes",'Hero Criteria'!$C$46,'Hero Criteria'!$C$47)</f>
        <v>5</v>
      </c>
      <c r="I35" s="19">
        <v>1</v>
      </c>
      <c r="J35" s="19">
        <v>1</v>
      </c>
      <c r="K35" s="25">
        <f>(G35*'Hero Criteria'!$D$19+H35*'Hero Criteria'!$D$20+I35*'Hero Criteria'!$D$21+J35*'Hero Criteria'!$D$22)/(5*'Hero Criteria'!$D$23)*100</f>
        <v>38</v>
      </c>
      <c r="L35" s="19">
        <v>3</v>
      </c>
      <c r="M35" s="19">
        <v>5</v>
      </c>
      <c r="N35" s="19">
        <v>3</v>
      </c>
      <c r="O35" s="6">
        <f>IF(INDEX('Path Scorecard'!$X$5:$X$80,MATCH($A35,'Path Scorecard'!$A$5:$A$80,0))="",3,INDEX('Path Scorecard'!$X$5:$X$80,MATCH($A35,'Path Scorecard'!$A$5:$A$80,0)))</f>
        <v>2</v>
      </c>
      <c r="P35" s="25">
        <f>(L35*'Hero Criteria'!$D$27+M35*'Hero Criteria'!$D$28+N35*'Hero Criteria'!$D$29+O35*'Hero Criteria'!$D$30)/(5*'Hero Criteria'!$D$31)*100</f>
        <v>67</v>
      </c>
      <c r="Q35" s="14" t="str">
        <f>IF(K35&gt;='Hero Criteria'!$C$35,"Hero",IF(P35&gt;='Hero Criteria'!$C$36,"Probable Hero","Non-Hero"))</f>
        <v>Probable Hero</v>
      </c>
      <c r="R35" s="14" t="str">
        <f>IF(Q35="Hero",IF(INDEX('Path Scorecard'!$T$5:$T$80,MATCH($A35,'Path Scorecard'!$A$5:$A$80,0))&lt;='Hero Criteria'!$C$37,"PROTECT","EXTEND"),IF(Q35="Probable Hero","BUILD","EXPLORE"))</f>
        <v>BUILD</v>
      </c>
      <c r="S35" s="6" t="str">
        <f>INDEX('Path Scorecard'!$AB$5:$AB$80,MATCH($A35,'Path Scorecard'!$A$5:$A$80,0))</f>
        <v>Backlog</v>
      </c>
      <c r="T35" s="10"/>
      <c r="V35" s="26" t="e">
        <f t="shared" si="0"/>
        <v>#N/A</v>
      </c>
      <c r="W35" s="26" t="e">
        <f t="shared" si="1"/>
        <v>#N/A</v>
      </c>
      <c r="X35" s="26">
        <f t="shared" si="2"/>
        <v>38</v>
      </c>
      <c r="Y35" s="26">
        <f t="shared" si="3"/>
        <v>67</v>
      </c>
      <c r="Z35" s="26" t="e">
        <f t="shared" si="4"/>
        <v>#N/A</v>
      </c>
      <c r="AA35" s="26" t="e">
        <f t="shared" si="5"/>
        <v>#N/A</v>
      </c>
    </row>
    <row r="36" spans="1:27" ht="26.4" x14ac:dyDescent="0.3">
      <c r="A36" s="6" t="s">
        <v>770</v>
      </c>
      <c r="B36" s="8" t="s">
        <v>295</v>
      </c>
      <c r="C36" s="10" t="s">
        <v>998</v>
      </c>
      <c r="D36" s="10" t="s">
        <v>1268</v>
      </c>
      <c r="E36" s="15">
        <v>148</v>
      </c>
      <c r="F36" s="6" t="s">
        <v>1238</v>
      </c>
      <c r="G36" s="6">
        <f>IF(E36&gt;='Hero Criteria'!$C$42,5,IF(E36&gt;='Hero Criteria'!$C$43,4,IF(E36&gt;='Hero Criteria'!$C$44,3,IF(E36&gt;='Hero Criteria'!$C$45,2,1))))</f>
        <v>2</v>
      </c>
      <c r="H36" s="6">
        <f>IF(F36="Yes",'Hero Criteria'!$C$46,'Hero Criteria'!$C$47)</f>
        <v>5</v>
      </c>
      <c r="I36" s="19">
        <v>3</v>
      </c>
      <c r="J36" s="19">
        <v>4</v>
      </c>
      <c r="K36" s="25">
        <f>(G36*'Hero Criteria'!$D$19+H36*'Hero Criteria'!$D$20+I36*'Hero Criteria'!$D$21+J36*'Hero Criteria'!$D$22)/(5*'Hero Criteria'!$D$23)*100</f>
        <v>66</v>
      </c>
      <c r="L36" s="19">
        <v>4</v>
      </c>
      <c r="M36" s="19">
        <v>4</v>
      </c>
      <c r="N36" s="19">
        <v>3</v>
      </c>
      <c r="O36" s="6">
        <f>IF(INDEX('Path Scorecard'!$X$5:$X$80,MATCH($A36,'Path Scorecard'!$A$5:$A$80,0))="",3,INDEX('Path Scorecard'!$X$5:$X$80,MATCH($A36,'Path Scorecard'!$A$5:$A$80,0)))</f>
        <v>3</v>
      </c>
      <c r="P36" s="25">
        <f>(L36*'Hero Criteria'!$D$27+M36*'Hero Criteria'!$D$28+N36*'Hero Criteria'!$D$29+O36*'Hero Criteria'!$D$30)/(5*'Hero Criteria'!$D$31)*100</f>
        <v>72</v>
      </c>
      <c r="Q36" s="14" t="str">
        <f>IF(K36&gt;='Hero Criteria'!$C$35,"Hero",IF(P36&gt;='Hero Criteria'!$C$36,"Probable Hero","Non-Hero"))</f>
        <v>Hero</v>
      </c>
      <c r="R36" s="14" t="str">
        <f>IF(Q36="Hero",IF(INDEX('Path Scorecard'!$T$5:$T$80,MATCH($A36,'Path Scorecard'!$A$5:$A$80,0))&lt;='Hero Criteria'!$C$37,"PROTECT","EXTEND"),IF(Q36="Probable Hero","BUILD","EXPLORE"))</f>
        <v>EXTEND</v>
      </c>
      <c r="S36" s="6" t="str">
        <f>INDEX('Path Scorecard'!$AB$5:$AB$80,MATCH($A36,'Path Scorecard'!$A$5:$A$80,0))</f>
        <v>Reserve</v>
      </c>
      <c r="T36" s="10"/>
      <c r="V36" s="26">
        <f t="shared" si="0"/>
        <v>66</v>
      </c>
      <c r="W36" s="26">
        <f t="shared" si="1"/>
        <v>72</v>
      </c>
      <c r="X36" s="26" t="e">
        <f t="shared" si="2"/>
        <v>#N/A</v>
      </c>
      <c r="Y36" s="26" t="e">
        <f t="shared" si="3"/>
        <v>#N/A</v>
      </c>
      <c r="Z36" s="26" t="e">
        <f t="shared" si="4"/>
        <v>#N/A</v>
      </c>
      <c r="AA36" s="26" t="e">
        <f t="shared" si="5"/>
        <v>#N/A</v>
      </c>
    </row>
    <row r="37" spans="1:27" ht="26.4" x14ac:dyDescent="0.3">
      <c r="A37" s="6" t="s">
        <v>771</v>
      </c>
      <c r="B37" s="8" t="s">
        <v>306</v>
      </c>
      <c r="C37" s="10" t="s">
        <v>998</v>
      </c>
      <c r="D37" s="10" t="s">
        <v>1269</v>
      </c>
      <c r="E37" s="15">
        <v>396</v>
      </c>
      <c r="F37" s="6" t="s">
        <v>1238</v>
      </c>
      <c r="G37" s="6">
        <f>IF(E37&gt;='Hero Criteria'!$C$42,5,IF(E37&gt;='Hero Criteria'!$C$43,4,IF(E37&gt;='Hero Criteria'!$C$44,3,IF(E37&gt;='Hero Criteria'!$C$45,2,1))))</f>
        <v>3</v>
      </c>
      <c r="H37" s="6">
        <f>IF(F37="Yes",'Hero Criteria'!$C$46,'Hero Criteria'!$C$47)</f>
        <v>5</v>
      </c>
      <c r="I37" s="19">
        <v>4</v>
      </c>
      <c r="J37" s="19">
        <v>5</v>
      </c>
      <c r="K37" s="25">
        <f>(G37*'Hero Criteria'!$D$19+H37*'Hero Criteria'!$D$20+I37*'Hero Criteria'!$D$21+J37*'Hero Criteria'!$D$22)/(5*'Hero Criteria'!$D$23)*100</f>
        <v>83</v>
      </c>
      <c r="L37" s="19">
        <v>3</v>
      </c>
      <c r="M37" s="19">
        <v>4</v>
      </c>
      <c r="N37" s="19">
        <v>5</v>
      </c>
      <c r="O37" s="6">
        <f>IF(INDEX('Path Scorecard'!$X$5:$X$80,MATCH($A37,'Path Scorecard'!$A$5:$A$80,0))="",3,INDEX('Path Scorecard'!$X$5:$X$80,MATCH($A37,'Path Scorecard'!$A$5:$A$80,0)))</f>
        <v>3</v>
      </c>
      <c r="P37" s="25">
        <f>(L37*'Hero Criteria'!$D$27+M37*'Hero Criteria'!$D$28+N37*'Hero Criteria'!$D$29+O37*'Hero Criteria'!$D$30)/(5*'Hero Criteria'!$D$31)*100</f>
        <v>75</v>
      </c>
      <c r="Q37" s="14" t="str">
        <f>IF(K37&gt;='Hero Criteria'!$C$35,"Hero",IF(P37&gt;='Hero Criteria'!$C$36,"Probable Hero","Non-Hero"))</f>
        <v>Hero</v>
      </c>
      <c r="R37" s="14" t="str">
        <f>IF(Q37="Hero",IF(INDEX('Path Scorecard'!$T$5:$T$80,MATCH($A37,'Path Scorecard'!$A$5:$A$80,0))&lt;='Hero Criteria'!$C$37,"PROTECT","EXTEND"),IF(Q37="Probable Hero","BUILD","EXPLORE"))</f>
        <v>EXTEND</v>
      </c>
      <c r="S37" s="6" t="str">
        <f>INDEX('Path Scorecard'!$AB$5:$AB$80,MATCH($A37,'Path Scorecard'!$A$5:$A$80,0))</f>
        <v>Reserve</v>
      </c>
      <c r="T37" s="10"/>
      <c r="V37" s="26">
        <f t="shared" ref="V37:V68" si="6">IF(AND($Q37="Hero",$S37&lt;&gt;"Parked (gate)"),K37,NA())</f>
        <v>83</v>
      </c>
      <c r="W37" s="26">
        <f t="shared" ref="W37:W68" si="7">IF(AND($Q37="Hero",$S37&lt;&gt;"Parked (gate)"),P37,NA())</f>
        <v>75</v>
      </c>
      <c r="X37" s="26" t="e">
        <f t="shared" ref="X37:X68" si="8">IF(AND($Q37="Probable Hero",$S37&lt;&gt;"Parked (gate)"),K37,NA())</f>
        <v>#N/A</v>
      </c>
      <c r="Y37" s="26" t="e">
        <f t="shared" ref="Y37:Y68" si="9">IF(AND($Q37="Probable Hero",$S37&lt;&gt;"Parked (gate)"),P37,NA())</f>
        <v>#N/A</v>
      </c>
      <c r="Z37" s="26" t="e">
        <f t="shared" ref="Z37:Z68" si="10">IF(AND($Q37="Non-Hero",$S37&lt;&gt;"Parked (gate)"),K37,NA())</f>
        <v>#N/A</v>
      </c>
      <c r="AA37" s="26" t="e">
        <f t="shared" ref="AA37:AA68" si="11">IF(AND($Q37="Non-Hero",$S37&lt;&gt;"Parked (gate)"),P37,NA())</f>
        <v>#N/A</v>
      </c>
    </row>
    <row r="38" spans="1:27" ht="26.4" x14ac:dyDescent="0.3">
      <c r="A38" s="6" t="s">
        <v>801</v>
      </c>
      <c r="B38" s="8" t="s">
        <v>802</v>
      </c>
      <c r="C38" s="10" t="s">
        <v>910</v>
      </c>
      <c r="D38" s="10" t="s">
        <v>1255</v>
      </c>
      <c r="E38" s="15">
        <v>660</v>
      </c>
      <c r="F38" s="6" t="s">
        <v>1238</v>
      </c>
      <c r="G38" s="6">
        <f>IF(E38&gt;='Hero Criteria'!$C$42,5,IF(E38&gt;='Hero Criteria'!$C$43,4,IF(E38&gt;='Hero Criteria'!$C$44,3,IF(E38&gt;='Hero Criteria'!$C$45,2,1))))</f>
        <v>4</v>
      </c>
      <c r="H38" s="6">
        <f>IF(F38="Yes",'Hero Criteria'!$C$46,'Hero Criteria'!$C$47)</f>
        <v>5</v>
      </c>
      <c r="I38" s="19">
        <v>3</v>
      </c>
      <c r="J38" s="19">
        <v>3</v>
      </c>
      <c r="K38" s="25">
        <f>(G38*'Hero Criteria'!$D$19+H38*'Hero Criteria'!$D$20+I38*'Hero Criteria'!$D$21+J38*'Hero Criteria'!$D$22)/(5*'Hero Criteria'!$D$23)*100</f>
        <v>72</v>
      </c>
      <c r="L38" s="19">
        <v>3</v>
      </c>
      <c r="M38" s="19">
        <v>5</v>
      </c>
      <c r="N38" s="19">
        <v>4</v>
      </c>
      <c r="O38" s="6">
        <f>IF(INDEX('Path Scorecard'!$X$5:$X$80,MATCH($A38,'Path Scorecard'!$A$5:$A$80,0))="",3,INDEX('Path Scorecard'!$X$5:$X$80,MATCH($A38,'Path Scorecard'!$A$5:$A$80,0)))</f>
        <v>5</v>
      </c>
      <c r="P38" s="25">
        <f>(L38*'Hero Criteria'!$D$27+M38*'Hero Criteria'!$D$28+N38*'Hero Criteria'!$D$29+O38*'Hero Criteria'!$D$30)/(5*'Hero Criteria'!$D$31)*100</f>
        <v>81</v>
      </c>
      <c r="Q38" s="14" t="str">
        <f>IF(K38&gt;='Hero Criteria'!$C$35,"Hero",IF(P38&gt;='Hero Criteria'!$C$36,"Probable Hero","Non-Hero"))</f>
        <v>Hero</v>
      </c>
      <c r="R38" s="14" t="str">
        <f>IF(Q38="Hero",IF(INDEX('Path Scorecard'!$T$5:$T$80,MATCH($A38,'Path Scorecard'!$A$5:$A$80,0))&lt;='Hero Criteria'!$C$37,"PROTECT","EXTEND"),IF(Q38="Probable Hero","BUILD","EXPLORE"))</f>
        <v>EXTEND</v>
      </c>
      <c r="S38" s="6" t="str">
        <f>INDEX('Path Scorecard'!$AB$5:$AB$80,MATCH($A38,'Path Scorecard'!$A$5:$A$80,0))</f>
        <v>Backlog</v>
      </c>
      <c r="T38" s="10"/>
      <c r="V38" s="26">
        <f t="shared" si="6"/>
        <v>72</v>
      </c>
      <c r="W38" s="26">
        <f t="shared" si="7"/>
        <v>81</v>
      </c>
      <c r="X38" s="26" t="e">
        <f t="shared" si="8"/>
        <v>#N/A</v>
      </c>
      <c r="Y38" s="26" t="e">
        <f t="shared" si="9"/>
        <v>#N/A</v>
      </c>
      <c r="Z38" s="26" t="e">
        <f t="shared" si="10"/>
        <v>#N/A</v>
      </c>
      <c r="AA38" s="26" t="e">
        <f t="shared" si="11"/>
        <v>#N/A</v>
      </c>
    </row>
    <row r="39" spans="1:27" ht="26.4" x14ac:dyDescent="0.3">
      <c r="A39" s="6" t="s">
        <v>795</v>
      </c>
      <c r="B39" s="8" t="s">
        <v>796</v>
      </c>
      <c r="C39" s="10" t="s">
        <v>916</v>
      </c>
      <c r="D39" s="10" t="s">
        <v>1264</v>
      </c>
      <c r="E39" s="15">
        <v>63</v>
      </c>
      <c r="F39" s="6" t="s">
        <v>1238</v>
      </c>
      <c r="G39" s="6">
        <f>IF(E39&gt;='Hero Criteria'!$C$42,5,IF(E39&gt;='Hero Criteria'!$C$43,4,IF(E39&gt;='Hero Criteria'!$C$44,3,IF(E39&gt;='Hero Criteria'!$C$45,2,1))))</f>
        <v>1</v>
      </c>
      <c r="H39" s="6">
        <f>IF(F39="Yes",'Hero Criteria'!$C$46,'Hero Criteria'!$C$47)</f>
        <v>5</v>
      </c>
      <c r="I39" s="19">
        <v>3</v>
      </c>
      <c r="J39" s="19">
        <v>4</v>
      </c>
      <c r="K39" s="25">
        <f>(G39*'Hero Criteria'!$D$19+H39*'Hero Criteria'!$D$20+I39*'Hero Criteria'!$D$21+J39*'Hero Criteria'!$D$22)/(5*'Hero Criteria'!$D$23)*100</f>
        <v>60</v>
      </c>
      <c r="L39" s="19">
        <v>4</v>
      </c>
      <c r="M39" s="19">
        <v>3</v>
      </c>
      <c r="N39" s="19">
        <v>2</v>
      </c>
      <c r="O39" s="6">
        <f>IF(INDEX('Path Scorecard'!$X$5:$X$80,MATCH($A39,'Path Scorecard'!$A$5:$A$80,0))="",3,INDEX('Path Scorecard'!$X$5:$X$80,MATCH($A39,'Path Scorecard'!$A$5:$A$80,0)))</f>
        <v>4</v>
      </c>
      <c r="P39" s="25">
        <f>(L39*'Hero Criteria'!$D$27+M39*'Hero Criteria'!$D$28+N39*'Hero Criteria'!$D$29+O39*'Hero Criteria'!$D$30)/(5*'Hero Criteria'!$D$31)*100</f>
        <v>65</v>
      </c>
      <c r="Q39" s="14" t="str">
        <f>IF(K39&gt;='Hero Criteria'!$C$35,"Hero",IF(P39&gt;='Hero Criteria'!$C$36,"Probable Hero","Non-Hero"))</f>
        <v>Probable Hero</v>
      </c>
      <c r="R39" s="14" t="str">
        <f>IF(Q39="Hero",IF(INDEX('Path Scorecard'!$T$5:$T$80,MATCH($A39,'Path Scorecard'!$A$5:$A$80,0))&lt;='Hero Criteria'!$C$37,"PROTECT","EXTEND"),IF(Q39="Probable Hero","BUILD","EXPLORE"))</f>
        <v>BUILD</v>
      </c>
      <c r="S39" s="6" t="str">
        <f>INDEX('Path Scorecard'!$AB$5:$AB$80,MATCH($A39,'Path Scorecard'!$A$5:$A$80,0))</f>
        <v>Backlog</v>
      </c>
      <c r="T39" s="10"/>
      <c r="V39" s="26" t="e">
        <f t="shared" si="6"/>
        <v>#N/A</v>
      </c>
      <c r="W39" s="26" t="e">
        <f t="shared" si="7"/>
        <v>#N/A</v>
      </c>
      <c r="X39" s="26">
        <f t="shared" si="8"/>
        <v>60</v>
      </c>
      <c r="Y39" s="26">
        <f t="shared" si="9"/>
        <v>65</v>
      </c>
      <c r="Z39" s="26" t="e">
        <f t="shared" si="10"/>
        <v>#N/A</v>
      </c>
      <c r="AA39" s="26" t="e">
        <f t="shared" si="11"/>
        <v>#N/A</v>
      </c>
    </row>
    <row r="40" spans="1:27" ht="26.4" x14ac:dyDescent="0.3">
      <c r="A40" s="6" t="s">
        <v>1037</v>
      </c>
      <c r="B40" s="8" t="s">
        <v>68</v>
      </c>
      <c r="C40" s="10" t="s">
        <v>916</v>
      </c>
      <c r="D40" s="10" t="s">
        <v>1270</v>
      </c>
      <c r="E40" s="15">
        <v>50</v>
      </c>
      <c r="F40" s="6" t="s">
        <v>1238</v>
      </c>
      <c r="G40" s="6">
        <f>IF(E40&gt;='Hero Criteria'!$C$42,5,IF(E40&gt;='Hero Criteria'!$C$43,4,IF(E40&gt;='Hero Criteria'!$C$44,3,IF(E40&gt;='Hero Criteria'!$C$45,2,1))))</f>
        <v>1</v>
      </c>
      <c r="H40" s="6">
        <f>IF(F40="Yes",'Hero Criteria'!$C$46,'Hero Criteria'!$C$47)</f>
        <v>5</v>
      </c>
      <c r="I40" s="19">
        <v>2</v>
      </c>
      <c r="J40" s="19">
        <v>2</v>
      </c>
      <c r="K40" s="25">
        <f>(G40*'Hero Criteria'!$D$19+H40*'Hero Criteria'!$D$20+I40*'Hero Criteria'!$D$21+J40*'Hero Criteria'!$D$22)/(5*'Hero Criteria'!$D$23)*100</f>
        <v>43</v>
      </c>
      <c r="L40" s="19">
        <v>3</v>
      </c>
      <c r="M40" s="19">
        <v>3</v>
      </c>
      <c r="N40" s="19">
        <v>2</v>
      </c>
      <c r="O40" s="6">
        <f>IF(INDEX('Path Scorecard'!$X$5:$X$80,MATCH($A40,'Path Scorecard'!$A$5:$A$80,0))="",3,INDEX('Path Scorecard'!$X$5:$X$80,MATCH($A40,'Path Scorecard'!$A$5:$A$80,0)))</f>
        <v>2</v>
      </c>
      <c r="P40" s="25">
        <f>(L40*'Hero Criteria'!$D$27+M40*'Hero Criteria'!$D$28+N40*'Hero Criteria'!$D$29+O40*'Hero Criteria'!$D$30)/(5*'Hero Criteria'!$D$31)*100</f>
        <v>52</v>
      </c>
      <c r="Q40" s="14" t="str">
        <f>IF(K40&gt;='Hero Criteria'!$C$35,"Hero",IF(P40&gt;='Hero Criteria'!$C$36,"Probable Hero","Non-Hero"))</f>
        <v>Non-Hero</v>
      </c>
      <c r="R40" s="14" t="str">
        <f>IF(Q40="Hero",IF(INDEX('Path Scorecard'!$T$5:$T$80,MATCH($A40,'Path Scorecard'!$A$5:$A$80,0))&lt;='Hero Criteria'!$C$37,"PROTECT","EXTEND"),IF(Q40="Probable Hero","BUILD","EXPLORE"))</f>
        <v>EXPLORE</v>
      </c>
      <c r="S40" s="6" t="str">
        <f>INDEX('Path Scorecard'!$AB$5:$AB$80,MATCH($A40,'Path Scorecard'!$A$5:$A$80,0))</f>
        <v>Recommended</v>
      </c>
      <c r="T40" s="10" t="s">
        <v>1271</v>
      </c>
      <c r="V40" s="26" t="e">
        <f t="shared" si="6"/>
        <v>#N/A</v>
      </c>
      <c r="W40" s="26" t="e">
        <f t="shared" si="7"/>
        <v>#N/A</v>
      </c>
      <c r="X40" s="26" t="e">
        <f t="shared" si="8"/>
        <v>#N/A</v>
      </c>
      <c r="Y40" s="26" t="e">
        <f t="shared" si="9"/>
        <v>#N/A</v>
      </c>
      <c r="Z40" s="26">
        <f t="shared" si="10"/>
        <v>43</v>
      </c>
      <c r="AA40" s="26">
        <f t="shared" si="11"/>
        <v>52</v>
      </c>
    </row>
    <row r="41" spans="1:27" ht="26.4" x14ac:dyDescent="0.3">
      <c r="A41" s="6" t="s">
        <v>1041</v>
      </c>
      <c r="B41" s="8" t="s">
        <v>1042</v>
      </c>
      <c r="C41" s="10" t="s">
        <v>916</v>
      </c>
      <c r="D41" s="10" t="s">
        <v>1260</v>
      </c>
      <c r="E41" s="15">
        <v>52</v>
      </c>
      <c r="F41" s="6" t="s">
        <v>1238</v>
      </c>
      <c r="G41" s="6">
        <f>IF(E41&gt;='Hero Criteria'!$C$42,5,IF(E41&gt;='Hero Criteria'!$C$43,4,IF(E41&gt;='Hero Criteria'!$C$44,3,IF(E41&gt;='Hero Criteria'!$C$45,2,1))))</f>
        <v>1</v>
      </c>
      <c r="H41" s="6">
        <f>IF(F41="Yes",'Hero Criteria'!$C$46,'Hero Criteria'!$C$47)</f>
        <v>5</v>
      </c>
      <c r="I41" s="19">
        <v>1</v>
      </c>
      <c r="J41" s="19">
        <v>1</v>
      </c>
      <c r="K41" s="25">
        <f>(G41*'Hero Criteria'!$D$19+H41*'Hero Criteria'!$D$20+I41*'Hero Criteria'!$D$21+J41*'Hero Criteria'!$D$22)/(5*'Hero Criteria'!$D$23)*100</f>
        <v>32</v>
      </c>
      <c r="L41" s="19">
        <v>3</v>
      </c>
      <c r="M41" s="19">
        <v>5</v>
      </c>
      <c r="N41" s="19">
        <v>4</v>
      </c>
      <c r="O41" s="6">
        <f>IF(INDEX('Path Scorecard'!$X$5:$X$80,MATCH($A41,'Path Scorecard'!$A$5:$A$80,0))="",3,INDEX('Path Scorecard'!$X$5:$X$80,MATCH($A41,'Path Scorecard'!$A$5:$A$80,0)))</f>
        <v>2</v>
      </c>
      <c r="P41" s="25">
        <f>(L41*'Hero Criteria'!$D$27+M41*'Hero Criteria'!$D$28+N41*'Hero Criteria'!$D$29+O41*'Hero Criteria'!$D$30)/(5*'Hero Criteria'!$D$31)*100</f>
        <v>72</v>
      </c>
      <c r="Q41" s="14" t="str">
        <f>IF(K41&gt;='Hero Criteria'!$C$35,"Hero",IF(P41&gt;='Hero Criteria'!$C$36,"Probable Hero","Non-Hero"))</f>
        <v>Probable Hero</v>
      </c>
      <c r="R41" s="14" t="str">
        <f>IF(Q41="Hero",IF(INDEX('Path Scorecard'!$T$5:$T$80,MATCH($A41,'Path Scorecard'!$A$5:$A$80,0))&lt;='Hero Criteria'!$C$37,"PROTECT","EXTEND"),IF(Q41="Probable Hero","BUILD","EXPLORE"))</f>
        <v>BUILD</v>
      </c>
      <c r="S41" s="6" t="str">
        <f>INDEX('Path Scorecard'!$AB$5:$AB$80,MATCH($A41,'Path Scorecard'!$A$5:$A$80,0))</f>
        <v>Backlog</v>
      </c>
      <c r="T41" s="10"/>
      <c r="V41" s="26" t="e">
        <f t="shared" si="6"/>
        <v>#N/A</v>
      </c>
      <c r="W41" s="26" t="e">
        <f t="shared" si="7"/>
        <v>#N/A</v>
      </c>
      <c r="X41" s="26">
        <f t="shared" si="8"/>
        <v>32</v>
      </c>
      <c r="Y41" s="26">
        <f t="shared" si="9"/>
        <v>72</v>
      </c>
      <c r="Z41" s="26" t="e">
        <f t="shared" si="10"/>
        <v>#N/A</v>
      </c>
      <c r="AA41" s="26" t="e">
        <f t="shared" si="11"/>
        <v>#N/A</v>
      </c>
    </row>
    <row r="42" spans="1:27" ht="26.4" x14ac:dyDescent="0.3">
      <c r="A42" s="6" t="s">
        <v>721</v>
      </c>
      <c r="B42" s="8" t="s">
        <v>722</v>
      </c>
      <c r="C42" s="10" t="s">
        <v>925</v>
      </c>
      <c r="D42" s="10" t="s">
        <v>641</v>
      </c>
      <c r="E42" s="15">
        <v>64</v>
      </c>
      <c r="F42" s="6" t="s">
        <v>1238</v>
      </c>
      <c r="G42" s="6">
        <f>IF(E42&gt;='Hero Criteria'!$C$42,5,IF(E42&gt;='Hero Criteria'!$C$43,4,IF(E42&gt;='Hero Criteria'!$C$44,3,IF(E42&gt;='Hero Criteria'!$C$45,2,1))))</f>
        <v>1</v>
      </c>
      <c r="H42" s="6">
        <f>IF(F42="Yes",'Hero Criteria'!$C$46,'Hero Criteria'!$C$47)</f>
        <v>5</v>
      </c>
      <c r="I42" s="19">
        <v>1</v>
      </c>
      <c r="J42" s="19">
        <v>1</v>
      </c>
      <c r="K42" s="25">
        <f>(G42*'Hero Criteria'!$D$19+H42*'Hero Criteria'!$D$20+I42*'Hero Criteria'!$D$21+J42*'Hero Criteria'!$D$22)/(5*'Hero Criteria'!$D$23)*100</f>
        <v>32</v>
      </c>
      <c r="L42" s="19">
        <v>3</v>
      </c>
      <c r="M42" s="19">
        <v>5</v>
      </c>
      <c r="N42" s="19">
        <v>3</v>
      </c>
      <c r="O42" s="6">
        <f>IF(INDEX('Path Scorecard'!$X$5:$X$80,MATCH($A42,'Path Scorecard'!$A$5:$A$80,0))="",3,INDEX('Path Scorecard'!$X$5:$X$80,MATCH($A42,'Path Scorecard'!$A$5:$A$80,0)))</f>
        <v>2</v>
      </c>
      <c r="P42" s="25">
        <f>(L42*'Hero Criteria'!$D$27+M42*'Hero Criteria'!$D$28+N42*'Hero Criteria'!$D$29+O42*'Hero Criteria'!$D$30)/(5*'Hero Criteria'!$D$31)*100</f>
        <v>67</v>
      </c>
      <c r="Q42" s="14" t="str">
        <f>IF(K42&gt;='Hero Criteria'!$C$35,"Hero",IF(P42&gt;='Hero Criteria'!$C$36,"Probable Hero","Non-Hero"))</f>
        <v>Probable Hero</v>
      </c>
      <c r="R42" s="14" t="str">
        <f>IF(Q42="Hero",IF(INDEX('Path Scorecard'!$T$5:$T$80,MATCH($A42,'Path Scorecard'!$A$5:$A$80,0))&lt;='Hero Criteria'!$C$37,"PROTECT","EXTEND"),IF(Q42="Probable Hero","BUILD","EXPLORE"))</f>
        <v>BUILD</v>
      </c>
      <c r="S42" s="6" t="str">
        <f>INDEX('Path Scorecard'!$AB$5:$AB$80,MATCH($A42,'Path Scorecard'!$A$5:$A$80,0))</f>
        <v>Backlog</v>
      </c>
      <c r="T42" s="10"/>
      <c r="V42" s="26" t="e">
        <f t="shared" si="6"/>
        <v>#N/A</v>
      </c>
      <c r="W42" s="26" t="e">
        <f t="shared" si="7"/>
        <v>#N/A</v>
      </c>
      <c r="X42" s="26">
        <f t="shared" si="8"/>
        <v>32</v>
      </c>
      <c r="Y42" s="26">
        <f t="shared" si="9"/>
        <v>67</v>
      </c>
      <c r="Z42" s="26" t="e">
        <f t="shared" si="10"/>
        <v>#N/A</v>
      </c>
      <c r="AA42" s="26" t="e">
        <f t="shared" si="11"/>
        <v>#N/A</v>
      </c>
    </row>
    <row r="43" spans="1:27" ht="26.4" x14ac:dyDescent="0.3">
      <c r="A43" s="6" t="s">
        <v>1048</v>
      </c>
      <c r="B43" s="8" t="s">
        <v>71</v>
      </c>
      <c r="C43" s="10" t="s">
        <v>916</v>
      </c>
      <c r="D43" s="10" t="s">
        <v>1272</v>
      </c>
      <c r="E43" s="15">
        <v>136</v>
      </c>
      <c r="F43" s="6" t="s">
        <v>1238</v>
      </c>
      <c r="G43" s="6">
        <f>IF(E43&gt;='Hero Criteria'!$C$42,5,IF(E43&gt;='Hero Criteria'!$C$43,4,IF(E43&gt;='Hero Criteria'!$C$44,3,IF(E43&gt;='Hero Criteria'!$C$45,2,1))))</f>
        <v>2</v>
      </c>
      <c r="H43" s="6">
        <f>IF(F43="Yes",'Hero Criteria'!$C$46,'Hero Criteria'!$C$47)</f>
        <v>5</v>
      </c>
      <c r="I43" s="19">
        <v>3</v>
      </c>
      <c r="J43" s="19">
        <v>3</v>
      </c>
      <c r="K43" s="25">
        <f>(G43*'Hero Criteria'!$D$19+H43*'Hero Criteria'!$D$20+I43*'Hero Criteria'!$D$21+J43*'Hero Criteria'!$D$22)/(5*'Hero Criteria'!$D$23)*100</f>
        <v>60</v>
      </c>
      <c r="L43" s="19">
        <v>3</v>
      </c>
      <c r="M43" s="19">
        <v>3</v>
      </c>
      <c r="N43" s="19">
        <v>2</v>
      </c>
      <c r="O43" s="6">
        <f>IF(INDEX('Path Scorecard'!$X$5:$X$80,MATCH($A43,'Path Scorecard'!$A$5:$A$80,0))="",3,INDEX('Path Scorecard'!$X$5:$X$80,MATCH($A43,'Path Scorecard'!$A$5:$A$80,0)))</f>
        <v>3</v>
      </c>
      <c r="P43" s="25">
        <f>(L43*'Hero Criteria'!$D$27+M43*'Hero Criteria'!$D$28+N43*'Hero Criteria'!$D$29+O43*'Hero Criteria'!$D$30)/(5*'Hero Criteria'!$D$31)*100</f>
        <v>55.000000000000007</v>
      </c>
      <c r="Q43" s="14" t="str">
        <f>IF(K43&gt;='Hero Criteria'!$C$35,"Hero",IF(P43&gt;='Hero Criteria'!$C$36,"Probable Hero","Non-Hero"))</f>
        <v>Non-Hero</v>
      </c>
      <c r="R43" s="14" t="str">
        <f>IF(Q43="Hero",IF(INDEX('Path Scorecard'!$T$5:$T$80,MATCH($A43,'Path Scorecard'!$A$5:$A$80,0))&lt;='Hero Criteria'!$C$37,"PROTECT","EXTEND"),IF(Q43="Probable Hero","BUILD","EXPLORE"))</f>
        <v>EXPLORE</v>
      </c>
      <c r="S43" s="6" t="str">
        <f>INDEX('Path Scorecard'!$AB$5:$AB$80,MATCH($A43,'Path Scorecard'!$A$5:$A$80,0))</f>
        <v>Recommended</v>
      </c>
      <c r="T43" s="10" t="s">
        <v>1273</v>
      </c>
      <c r="V43" s="26" t="e">
        <f t="shared" si="6"/>
        <v>#N/A</v>
      </c>
      <c r="W43" s="26" t="e">
        <f t="shared" si="7"/>
        <v>#N/A</v>
      </c>
      <c r="X43" s="26" t="e">
        <f t="shared" si="8"/>
        <v>#N/A</v>
      </c>
      <c r="Y43" s="26" t="e">
        <f t="shared" si="9"/>
        <v>#N/A</v>
      </c>
      <c r="Z43" s="26">
        <f t="shared" si="10"/>
        <v>60</v>
      </c>
      <c r="AA43" s="26">
        <f t="shared" si="11"/>
        <v>55.000000000000007</v>
      </c>
    </row>
    <row r="44" spans="1:27" ht="26.4" x14ac:dyDescent="0.3">
      <c r="A44" s="6" t="s">
        <v>1052</v>
      </c>
      <c r="B44" s="8" t="s">
        <v>1053</v>
      </c>
      <c r="C44" s="10" t="s">
        <v>916</v>
      </c>
      <c r="D44" s="10" t="s">
        <v>1246</v>
      </c>
      <c r="E44" s="15">
        <v>1504</v>
      </c>
      <c r="F44" s="6" t="s">
        <v>1238</v>
      </c>
      <c r="G44" s="6">
        <f>IF(E44&gt;='Hero Criteria'!$C$42,5,IF(E44&gt;='Hero Criteria'!$C$43,4,IF(E44&gt;='Hero Criteria'!$C$44,3,IF(E44&gt;='Hero Criteria'!$C$45,2,1))))</f>
        <v>5</v>
      </c>
      <c r="H44" s="6">
        <f>IF(F44="Yes",'Hero Criteria'!$C$46,'Hero Criteria'!$C$47)</f>
        <v>5</v>
      </c>
      <c r="I44" s="19">
        <v>5</v>
      </c>
      <c r="J44" s="19">
        <v>5</v>
      </c>
      <c r="K44" s="25">
        <f>(G44*'Hero Criteria'!$D$19+H44*'Hero Criteria'!$D$20+I44*'Hero Criteria'!$D$21+J44*'Hero Criteria'!$D$22)/(5*'Hero Criteria'!$D$23)*100</f>
        <v>100</v>
      </c>
      <c r="L44" s="19">
        <v>3</v>
      </c>
      <c r="M44" s="19">
        <v>4</v>
      </c>
      <c r="N44" s="19">
        <v>5</v>
      </c>
      <c r="O44" s="6">
        <f>IF(INDEX('Path Scorecard'!$X$5:$X$80,MATCH($A44,'Path Scorecard'!$A$5:$A$80,0))="",3,INDEX('Path Scorecard'!$X$5:$X$80,MATCH($A44,'Path Scorecard'!$A$5:$A$80,0)))</f>
        <v>4</v>
      </c>
      <c r="P44" s="25">
        <f>(L44*'Hero Criteria'!$D$27+M44*'Hero Criteria'!$D$28+N44*'Hero Criteria'!$D$29+O44*'Hero Criteria'!$D$30)/(5*'Hero Criteria'!$D$31)*100</f>
        <v>78</v>
      </c>
      <c r="Q44" s="14" t="str">
        <f>IF(K44&gt;='Hero Criteria'!$C$35,"Hero",IF(P44&gt;='Hero Criteria'!$C$36,"Probable Hero","Non-Hero"))</f>
        <v>Hero</v>
      </c>
      <c r="R44" s="14" t="str">
        <f>IF(Q44="Hero",IF(INDEX('Path Scorecard'!$T$5:$T$80,MATCH($A44,'Path Scorecard'!$A$5:$A$80,0))&lt;='Hero Criteria'!$C$37,"PROTECT","EXTEND"),IF(Q44="Probable Hero","BUILD","EXPLORE"))</f>
        <v>PROTECT</v>
      </c>
      <c r="S44" s="6" t="str">
        <f>INDEX('Path Scorecard'!$AB$5:$AB$80,MATCH($A44,'Path Scorecard'!$A$5:$A$80,0))</f>
        <v>Protect (control)</v>
      </c>
      <c r="T44" s="10" t="s">
        <v>1274</v>
      </c>
      <c r="V44" s="26">
        <f t="shared" si="6"/>
        <v>100</v>
      </c>
      <c r="W44" s="26">
        <f t="shared" si="7"/>
        <v>78</v>
      </c>
      <c r="X44" s="26" t="e">
        <f t="shared" si="8"/>
        <v>#N/A</v>
      </c>
      <c r="Y44" s="26" t="e">
        <f t="shared" si="9"/>
        <v>#N/A</v>
      </c>
      <c r="Z44" s="26" t="e">
        <f t="shared" si="10"/>
        <v>#N/A</v>
      </c>
      <c r="AA44" s="26" t="e">
        <f t="shared" si="11"/>
        <v>#N/A</v>
      </c>
    </row>
    <row r="45" spans="1:27" ht="26.4" x14ac:dyDescent="0.3">
      <c r="A45" s="6" t="s">
        <v>1057</v>
      </c>
      <c r="B45" s="8" t="s">
        <v>1058</v>
      </c>
      <c r="C45" s="10" t="s">
        <v>916</v>
      </c>
      <c r="D45" s="10" t="s">
        <v>1275</v>
      </c>
      <c r="E45" s="15">
        <v>782</v>
      </c>
      <c r="F45" s="6" t="s">
        <v>1249</v>
      </c>
      <c r="G45" s="6">
        <f>IF(E45&gt;='Hero Criteria'!$C$42,5,IF(E45&gt;='Hero Criteria'!$C$43,4,IF(E45&gt;='Hero Criteria'!$C$44,3,IF(E45&gt;='Hero Criteria'!$C$45,2,1))))</f>
        <v>4</v>
      </c>
      <c r="H45" s="6">
        <f>IF(F45="Yes",'Hero Criteria'!$C$46,'Hero Criteria'!$C$47)</f>
        <v>2</v>
      </c>
      <c r="I45" s="19">
        <v>3</v>
      </c>
      <c r="J45" s="19">
        <v>3</v>
      </c>
      <c r="K45" s="25">
        <f>(G45*'Hero Criteria'!$D$19+H45*'Hero Criteria'!$D$20+I45*'Hero Criteria'!$D$21+J45*'Hero Criteria'!$D$22)/(5*'Hero Criteria'!$D$23)*100</f>
        <v>63</v>
      </c>
      <c r="L45" s="19">
        <v>4</v>
      </c>
      <c r="M45" s="19">
        <v>5</v>
      </c>
      <c r="N45" s="19">
        <v>5</v>
      </c>
      <c r="O45" s="6">
        <f>IF(INDEX('Path Scorecard'!$X$5:$X$80,MATCH($A45,'Path Scorecard'!$A$5:$A$80,0))="",3,INDEX('Path Scorecard'!$X$5:$X$80,MATCH($A45,'Path Scorecard'!$A$5:$A$80,0)))</f>
        <v>4</v>
      </c>
      <c r="P45" s="25">
        <f>(L45*'Hero Criteria'!$D$27+M45*'Hero Criteria'!$D$28+N45*'Hero Criteria'!$D$29+O45*'Hero Criteria'!$D$30)/(5*'Hero Criteria'!$D$31)*100</f>
        <v>90</v>
      </c>
      <c r="Q45" s="14" t="str">
        <f>IF(K45&gt;='Hero Criteria'!$C$35,"Hero",IF(P45&gt;='Hero Criteria'!$C$36,"Probable Hero","Non-Hero"))</f>
        <v>Probable Hero</v>
      </c>
      <c r="R45" s="14" t="str">
        <f>IF(Q45="Hero",IF(INDEX('Path Scorecard'!$T$5:$T$80,MATCH($A45,'Path Scorecard'!$A$5:$A$80,0))&lt;='Hero Criteria'!$C$37,"PROTECT","EXTEND"),IF(Q45="Probable Hero","BUILD","EXPLORE"))</f>
        <v>BUILD</v>
      </c>
      <c r="S45" s="6" t="str">
        <f>INDEX('Path Scorecard'!$AB$5:$AB$80,MATCH($A45,'Path Scorecard'!$A$5:$A$80,0))</f>
        <v>Backlog</v>
      </c>
      <c r="T45" s="10"/>
      <c r="V45" s="26" t="e">
        <f t="shared" si="6"/>
        <v>#N/A</v>
      </c>
      <c r="W45" s="26" t="e">
        <f t="shared" si="7"/>
        <v>#N/A</v>
      </c>
      <c r="X45" s="26">
        <f t="shared" si="8"/>
        <v>63</v>
      </c>
      <c r="Y45" s="26">
        <f t="shared" si="9"/>
        <v>90</v>
      </c>
      <c r="Z45" s="26" t="e">
        <f t="shared" si="10"/>
        <v>#N/A</v>
      </c>
      <c r="AA45" s="26" t="e">
        <f t="shared" si="11"/>
        <v>#N/A</v>
      </c>
    </row>
    <row r="46" spans="1:27" ht="26.4" x14ac:dyDescent="0.3">
      <c r="A46" s="6" t="s">
        <v>1063</v>
      </c>
      <c r="B46" s="8" t="s">
        <v>1064</v>
      </c>
      <c r="C46" s="10" t="s">
        <v>916</v>
      </c>
      <c r="D46" s="10" t="s">
        <v>1260</v>
      </c>
      <c r="E46" s="15">
        <v>25</v>
      </c>
      <c r="F46" s="6" t="s">
        <v>1238</v>
      </c>
      <c r="G46" s="6">
        <f>IF(E46&gt;='Hero Criteria'!$C$42,5,IF(E46&gt;='Hero Criteria'!$C$43,4,IF(E46&gt;='Hero Criteria'!$C$44,3,IF(E46&gt;='Hero Criteria'!$C$45,2,1))))</f>
        <v>1</v>
      </c>
      <c r="H46" s="6">
        <f>IF(F46="Yes",'Hero Criteria'!$C$46,'Hero Criteria'!$C$47)</f>
        <v>5</v>
      </c>
      <c r="I46" s="19">
        <v>1</v>
      </c>
      <c r="J46" s="19">
        <v>1</v>
      </c>
      <c r="K46" s="25">
        <f>(G46*'Hero Criteria'!$D$19+H46*'Hero Criteria'!$D$20+I46*'Hero Criteria'!$D$21+J46*'Hero Criteria'!$D$22)/(5*'Hero Criteria'!$D$23)*100</f>
        <v>32</v>
      </c>
      <c r="L46" s="19">
        <v>3</v>
      </c>
      <c r="M46" s="19">
        <v>4</v>
      </c>
      <c r="N46" s="19">
        <v>4</v>
      </c>
      <c r="O46" s="6">
        <f>IF(INDEX('Path Scorecard'!$X$5:$X$80,MATCH($A46,'Path Scorecard'!$A$5:$A$80,0))="",3,INDEX('Path Scorecard'!$X$5:$X$80,MATCH($A46,'Path Scorecard'!$A$5:$A$80,0)))</f>
        <v>3</v>
      </c>
      <c r="P46" s="25">
        <f>(L46*'Hero Criteria'!$D$27+M46*'Hero Criteria'!$D$28+N46*'Hero Criteria'!$D$29+O46*'Hero Criteria'!$D$30)/(5*'Hero Criteria'!$D$31)*100</f>
        <v>70</v>
      </c>
      <c r="Q46" s="14" t="str">
        <f>IF(K46&gt;='Hero Criteria'!$C$35,"Hero",IF(P46&gt;='Hero Criteria'!$C$36,"Probable Hero","Non-Hero"))</f>
        <v>Probable Hero</v>
      </c>
      <c r="R46" s="14" t="str">
        <f>IF(Q46="Hero",IF(INDEX('Path Scorecard'!$T$5:$T$80,MATCH($A46,'Path Scorecard'!$A$5:$A$80,0))&lt;='Hero Criteria'!$C$37,"PROTECT","EXTEND"),IF(Q46="Probable Hero","BUILD","EXPLORE"))</f>
        <v>BUILD</v>
      </c>
      <c r="S46" s="6" t="str">
        <f>INDEX('Path Scorecard'!$AB$5:$AB$80,MATCH($A46,'Path Scorecard'!$A$5:$A$80,0))</f>
        <v>Backlog</v>
      </c>
      <c r="T46" s="10"/>
      <c r="V46" s="26" t="e">
        <f t="shared" si="6"/>
        <v>#N/A</v>
      </c>
      <c r="W46" s="26" t="e">
        <f t="shared" si="7"/>
        <v>#N/A</v>
      </c>
      <c r="X46" s="26">
        <f t="shared" si="8"/>
        <v>32</v>
      </c>
      <c r="Y46" s="26">
        <f t="shared" si="9"/>
        <v>70</v>
      </c>
      <c r="Z46" s="26" t="e">
        <f t="shared" si="10"/>
        <v>#N/A</v>
      </c>
      <c r="AA46" s="26" t="e">
        <f t="shared" si="11"/>
        <v>#N/A</v>
      </c>
    </row>
    <row r="47" spans="1:27" ht="26.4" x14ac:dyDescent="0.3">
      <c r="A47" s="6" t="s">
        <v>1068</v>
      </c>
      <c r="B47" s="8" t="s">
        <v>1069</v>
      </c>
      <c r="C47" s="10" t="s">
        <v>916</v>
      </c>
      <c r="D47" s="10" t="s">
        <v>1276</v>
      </c>
      <c r="E47" s="15">
        <v>661</v>
      </c>
      <c r="F47" s="6" t="s">
        <v>1238</v>
      </c>
      <c r="G47" s="6">
        <f>IF(E47&gt;='Hero Criteria'!$C$42,5,IF(E47&gt;='Hero Criteria'!$C$43,4,IF(E47&gt;='Hero Criteria'!$C$44,3,IF(E47&gt;='Hero Criteria'!$C$45,2,1))))</f>
        <v>4</v>
      </c>
      <c r="H47" s="6">
        <f>IF(F47="Yes",'Hero Criteria'!$C$46,'Hero Criteria'!$C$47)</f>
        <v>5</v>
      </c>
      <c r="I47" s="19">
        <v>3</v>
      </c>
      <c r="J47" s="19">
        <v>4</v>
      </c>
      <c r="K47" s="25">
        <f>(G47*'Hero Criteria'!$D$19+H47*'Hero Criteria'!$D$20+I47*'Hero Criteria'!$D$21+J47*'Hero Criteria'!$D$22)/(5*'Hero Criteria'!$D$23)*100</f>
        <v>78</v>
      </c>
      <c r="L47" s="19">
        <v>3</v>
      </c>
      <c r="M47" s="19">
        <v>4</v>
      </c>
      <c r="N47" s="19">
        <v>3</v>
      </c>
      <c r="O47" s="6">
        <f>IF(INDEX('Path Scorecard'!$X$5:$X$80,MATCH($A47,'Path Scorecard'!$A$5:$A$80,0))="",3,INDEX('Path Scorecard'!$X$5:$X$80,MATCH($A47,'Path Scorecard'!$A$5:$A$80,0)))</f>
        <v>3</v>
      </c>
      <c r="P47" s="25">
        <f>(L47*'Hero Criteria'!$D$27+M47*'Hero Criteria'!$D$28+N47*'Hero Criteria'!$D$29+O47*'Hero Criteria'!$D$30)/(5*'Hero Criteria'!$D$31)*100</f>
        <v>65</v>
      </c>
      <c r="Q47" s="14" t="str">
        <f>IF(K47&gt;='Hero Criteria'!$C$35,"Hero",IF(P47&gt;='Hero Criteria'!$C$36,"Probable Hero","Non-Hero"))</f>
        <v>Hero</v>
      </c>
      <c r="R47" s="14" t="str">
        <f>IF(Q47="Hero",IF(INDEX('Path Scorecard'!$T$5:$T$80,MATCH($A47,'Path Scorecard'!$A$5:$A$80,0))&lt;='Hero Criteria'!$C$37,"PROTECT","EXTEND"),IF(Q47="Probable Hero","BUILD","EXPLORE"))</f>
        <v>EXTEND</v>
      </c>
      <c r="S47" s="6" t="str">
        <f>INDEX('Path Scorecard'!$AB$5:$AB$80,MATCH($A47,'Path Scorecard'!$A$5:$A$80,0))</f>
        <v>Backlog</v>
      </c>
      <c r="T47" s="10"/>
      <c r="V47" s="26">
        <f t="shared" si="6"/>
        <v>78</v>
      </c>
      <c r="W47" s="26">
        <f t="shared" si="7"/>
        <v>65</v>
      </c>
      <c r="X47" s="26" t="e">
        <f t="shared" si="8"/>
        <v>#N/A</v>
      </c>
      <c r="Y47" s="26" t="e">
        <f t="shared" si="9"/>
        <v>#N/A</v>
      </c>
      <c r="Z47" s="26" t="e">
        <f t="shared" si="10"/>
        <v>#N/A</v>
      </c>
      <c r="AA47" s="26" t="e">
        <f t="shared" si="11"/>
        <v>#N/A</v>
      </c>
    </row>
    <row r="48" spans="1:27" ht="26.4" x14ac:dyDescent="0.3">
      <c r="A48" s="6" t="s">
        <v>1074</v>
      </c>
      <c r="B48" s="8" t="s">
        <v>74</v>
      </c>
      <c r="C48" s="10" t="s">
        <v>916</v>
      </c>
      <c r="D48" s="10" t="s">
        <v>1272</v>
      </c>
      <c r="E48" s="15">
        <v>152</v>
      </c>
      <c r="F48" s="6" t="s">
        <v>1238</v>
      </c>
      <c r="G48" s="6">
        <f>IF(E48&gt;='Hero Criteria'!$C$42,5,IF(E48&gt;='Hero Criteria'!$C$43,4,IF(E48&gt;='Hero Criteria'!$C$44,3,IF(E48&gt;='Hero Criteria'!$C$45,2,1))))</f>
        <v>2</v>
      </c>
      <c r="H48" s="6">
        <f>IF(F48="Yes",'Hero Criteria'!$C$46,'Hero Criteria'!$C$47)</f>
        <v>5</v>
      </c>
      <c r="I48" s="19">
        <v>3</v>
      </c>
      <c r="J48" s="19">
        <v>3</v>
      </c>
      <c r="K48" s="25">
        <f>(G48*'Hero Criteria'!$D$19+H48*'Hero Criteria'!$D$20+I48*'Hero Criteria'!$D$21+J48*'Hero Criteria'!$D$22)/(5*'Hero Criteria'!$D$23)*100</f>
        <v>60</v>
      </c>
      <c r="L48" s="19">
        <v>3</v>
      </c>
      <c r="M48" s="19">
        <v>4</v>
      </c>
      <c r="N48" s="19">
        <v>2</v>
      </c>
      <c r="O48" s="6">
        <f>IF(INDEX('Path Scorecard'!$X$5:$X$80,MATCH($A48,'Path Scorecard'!$A$5:$A$80,0))="",3,INDEX('Path Scorecard'!$X$5:$X$80,MATCH($A48,'Path Scorecard'!$A$5:$A$80,0)))</f>
        <v>3</v>
      </c>
      <c r="P48" s="25">
        <f>(L48*'Hero Criteria'!$D$27+M48*'Hero Criteria'!$D$28+N48*'Hero Criteria'!$D$29+O48*'Hero Criteria'!$D$30)/(5*'Hero Criteria'!$D$31)*100</f>
        <v>60</v>
      </c>
      <c r="Q48" s="14" t="str">
        <f>IF(K48&gt;='Hero Criteria'!$C$35,"Hero",IF(P48&gt;='Hero Criteria'!$C$36,"Probable Hero","Non-Hero"))</f>
        <v>Non-Hero</v>
      </c>
      <c r="R48" s="14" t="str">
        <f>IF(Q48="Hero",IF(INDEX('Path Scorecard'!$T$5:$T$80,MATCH($A48,'Path Scorecard'!$A$5:$A$80,0))&lt;='Hero Criteria'!$C$37,"PROTECT","EXTEND"),IF(Q48="Probable Hero","BUILD","EXPLORE"))</f>
        <v>EXPLORE</v>
      </c>
      <c r="S48" s="6" t="str">
        <f>INDEX('Path Scorecard'!$AB$5:$AB$80,MATCH($A48,'Path Scorecard'!$A$5:$A$80,0))</f>
        <v>Recommended</v>
      </c>
      <c r="T48" s="10" t="s">
        <v>1277</v>
      </c>
      <c r="V48" s="26" t="e">
        <f t="shared" si="6"/>
        <v>#N/A</v>
      </c>
      <c r="W48" s="26" t="e">
        <f t="shared" si="7"/>
        <v>#N/A</v>
      </c>
      <c r="X48" s="26" t="e">
        <f t="shared" si="8"/>
        <v>#N/A</v>
      </c>
      <c r="Y48" s="26" t="e">
        <f t="shared" si="9"/>
        <v>#N/A</v>
      </c>
      <c r="Z48" s="26">
        <f t="shared" si="10"/>
        <v>60</v>
      </c>
      <c r="AA48" s="26">
        <f t="shared" si="11"/>
        <v>60</v>
      </c>
    </row>
    <row r="49" spans="1:27" ht="26.4" x14ac:dyDescent="0.3">
      <c r="A49" s="6" t="s">
        <v>1077</v>
      </c>
      <c r="B49" s="8" t="s">
        <v>1078</v>
      </c>
      <c r="C49" s="10" t="s">
        <v>916</v>
      </c>
      <c r="D49" s="10" t="s">
        <v>1278</v>
      </c>
      <c r="E49" s="15">
        <v>798</v>
      </c>
      <c r="F49" s="6" t="s">
        <v>1238</v>
      </c>
      <c r="G49" s="6">
        <f>IF(E49&gt;='Hero Criteria'!$C$42,5,IF(E49&gt;='Hero Criteria'!$C$43,4,IF(E49&gt;='Hero Criteria'!$C$44,3,IF(E49&gt;='Hero Criteria'!$C$45,2,1))))</f>
        <v>4</v>
      </c>
      <c r="H49" s="6">
        <f>IF(F49="Yes",'Hero Criteria'!$C$46,'Hero Criteria'!$C$47)</f>
        <v>5</v>
      </c>
      <c r="I49" s="19">
        <v>3</v>
      </c>
      <c r="J49" s="19">
        <v>4</v>
      </c>
      <c r="K49" s="25">
        <f>(G49*'Hero Criteria'!$D$19+H49*'Hero Criteria'!$D$20+I49*'Hero Criteria'!$D$21+J49*'Hero Criteria'!$D$22)/(5*'Hero Criteria'!$D$23)*100</f>
        <v>78</v>
      </c>
      <c r="L49" s="19">
        <v>2</v>
      </c>
      <c r="M49" s="19">
        <v>4</v>
      </c>
      <c r="N49" s="19">
        <v>4</v>
      </c>
      <c r="O49" s="6">
        <f>IF(INDEX('Path Scorecard'!$X$5:$X$80,MATCH($A49,'Path Scorecard'!$A$5:$A$80,0))="",3,INDEX('Path Scorecard'!$X$5:$X$80,MATCH($A49,'Path Scorecard'!$A$5:$A$80,0)))</f>
        <v>2</v>
      </c>
      <c r="P49" s="25">
        <f>(L49*'Hero Criteria'!$D$27+M49*'Hero Criteria'!$D$28+N49*'Hero Criteria'!$D$29+O49*'Hero Criteria'!$D$30)/(5*'Hero Criteria'!$D$31)*100</f>
        <v>60</v>
      </c>
      <c r="Q49" s="14" t="str">
        <f>IF(K49&gt;='Hero Criteria'!$C$35,"Hero",IF(P49&gt;='Hero Criteria'!$C$36,"Probable Hero","Non-Hero"))</f>
        <v>Hero</v>
      </c>
      <c r="R49" s="14" t="str">
        <f>IF(Q49="Hero",IF(INDEX('Path Scorecard'!$T$5:$T$80,MATCH($A49,'Path Scorecard'!$A$5:$A$80,0))&lt;='Hero Criteria'!$C$37,"PROTECT","EXTEND"),IF(Q49="Probable Hero","BUILD","EXPLORE"))</f>
        <v>EXTEND</v>
      </c>
      <c r="S49" s="6" t="str">
        <f>INDEX('Path Scorecard'!$AB$5:$AB$80,MATCH($A49,'Path Scorecard'!$A$5:$A$80,0))</f>
        <v>Backlog</v>
      </c>
      <c r="T49" s="10"/>
      <c r="V49" s="26">
        <f t="shared" si="6"/>
        <v>78</v>
      </c>
      <c r="W49" s="26">
        <f t="shared" si="7"/>
        <v>60</v>
      </c>
      <c r="X49" s="26" t="e">
        <f t="shared" si="8"/>
        <v>#N/A</v>
      </c>
      <c r="Y49" s="26" t="e">
        <f t="shared" si="9"/>
        <v>#N/A</v>
      </c>
      <c r="Z49" s="26" t="e">
        <f t="shared" si="10"/>
        <v>#N/A</v>
      </c>
      <c r="AA49" s="26" t="e">
        <f t="shared" si="11"/>
        <v>#N/A</v>
      </c>
    </row>
    <row r="50" spans="1:27" ht="26.4" x14ac:dyDescent="0.3">
      <c r="A50" s="6" t="s">
        <v>1084</v>
      </c>
      <c r="B50" s="8" t="s">
        <v>1085</v>
      </c>
      <c r="C50" s="10" t="s">
        <v>916</v>
      </c>
      <c r="D50" s="10" t="s">
        <v>1253</v>
      </c>
      <c r="E50" s="15">
        <v>284</v>
      </c>
      <c r="F50" s="6" t="s">
        <v>1238</v>
      </c>
      <c r="G50" s="6">
        <f>IF(E50&gt;='Hero Criteria'!$C$42,5,IF(E50&gt;='Hero Criteria'!$C$43,4,IF(E50&gt;='Hero Criteria'!$C$44,3,IF(E50&gt;='Hero Criteria'!$C$45,2,1))))</f>
        <v>3</v>
      </c>
      <c r="H50" s="6">
        <f>IF(F50="Yes",'Hero Criteria'!$C$46,'Hero Criteria'!$C$47)</f>
        <v>5</v>
      </c>
      <c r="I50" s="19">
        <v>3</v>
      </c>
      <c r="J50" s="19">
        <v>3</v>
      </c>
      <c r="K50" s="25">
        <f>(G50*'Hero Criteria'!$D$19+H50*'Hero Criteria'!$D$20+I50*'Hero Criteria'!$D$21+J50*'Hero Criteria'!$D$22)/(5*'Hero Criteria'!$D$23)*100</f>
        <v>66</v>
      </c>
      <c r="L50" s="19">
        <v>2</v>
      </c>
      <c r="M50" s="19">
        <v>3</v>
      </c>
      <c r="N50" s="19">
        <v>3</v>
      </c>
      <c r="O50" s="6">
        <f>IF(INDEX('Path Scorecard'!$X$5:$X$80,MATCH($A50,'Path Scorecard'!$A$5:$A$80,0))="",3,INDEX('Path Scorecard'!$X$5:$X$80,MATCH($A50,'Path Scorecard'!$A$5:$A$80,0)))</f>
        <v>4</v>
      </c>
      <c r="P50" s="25">
        <f>(L50*'Hero Criteria'!$D$27+M50*'Hero Criteria'!$D$28+N50*'Hero Criteria'!$D$29+O50*'Hero Criteria'!$D$30)/(5*'Hero Criteria'!$D$31)*100</f>
        <v>56.000000000000007</v>
      </c>
      <c r="Q50" s="14" t="str">
        <f>IF(K50&gt;='Hero Criteria'!$C$35,"Hero",IF(P50&gt;='Hero Criteria'!$C$36,"Probable Hero","Non-Hero"))</f>
        <v>Hero</v>
      </c>
      <c r="R50" s="14" t="str">
        <f>IF(Q50="Hero",IF(INDEX('Path Scorecard'!$T$5:$T$80,MATCH($A50,'Path Scorecard'!$A$5:$A$80,0))&lt;='Hero Criteria'!$C$37,"PROTECT","EXTEND"),IF(Q50="Probable Hero","BUILD","EXPLORE"))</f>
        <v>EXTEND</v>
      </c>
      <c r="S50" s="6" t="str">
        <f>INDEX('Path Scorecard'!$AB$5:$AB$80,MATCH($A50,'Path Scorecard'!$A$5:$A$80,0))</f>
        <v>Backlog</v>
      </c>
      <c r="T50" s="10"/>
      <c r="V50" s="26">
        <f t="shared" si="6"/>
        <v>66</v>
      </c>
      <c r="W50" s="26">
        <f t="shared" si="7"/>
        <v>56.000000000000007</v>
      </c>
      <c r="X50" s="26" t="e">
        <f t="shared" si="8"/>
        <v>#N/A</v>
      </c>
      <c r="Y50" s="26" t="e">
        <f t="shared" si="9"/>
        <v>#N/A</v>
      </c>
      <c r="Z50" s="26" t="e">
        <f t="shared" si="10"/>
        <v>#N/A</v>
      </c>
      <c r="AA50" s="26" t="e">
        <f t="shared" si="11"/>
        <v>#N/A</v>
      </c>
    </row>
    <row r="51" spans="1:27" ht="26.4" x14ac:dyDescent="0.3">
      <c r="A51" s="6" t="s">
        <v>753</v>
      </c>
      <c r="B51" s="8" t="s">
        <v>754</v>
      </c>
      <c r="C51" s="10" t="s">
        <v>1091</v>
      </c>
      <c r="D51" s="10" t="s">
        <v>1279</v>
      </c>
      <c r="E51" s="15">
        <v>43</v>
      </c>
      <c r="F51" s="6" t="s">
        <v>1249</v>
      </c>
      <c r="G51" s="6">
        <f>IF(E51&gt;='Hero Criteria'!$C$42,5,IF(E51&gt;='Hero Criteria'!$C$43,4,IF(E51&gt;='Hero Criteria'!$C$44,3,IF(E51&gt;='Hero Criteria'!$C$45,2,1))))</f>
        <v>1</v>
      </c>
      <c r="H51" s="6">
        <f>IF(F51="Yes",'Hero Criteria'!$C$46,'Hero Criteria'!$C$47)</f>
        <v>2</v>
      </c>
      <c r="I51" s="19">
        <v>1</v>
      </c>
      <c r="J51" s="19">
        <v>1</v>
      </c>
      <c r="K51" s="25">
        <f>(G51*'Hero Criteria'!$D$19+H51*'Hero Criteria'!$D$20+I51*'Hero Criteria'!$D$21+J51*'Hero Criteria'!$D$22)/(5*'Hero Criteria'!$D$23)*100</f>
        <v>23</v>
      </c>
      <c r="L51" s="19">
        <v>4</v>
      </c>
      <c r="M51" s="19">
        <v>4</v>
      </c>
      <c r="N51" s="19">
        <v>3</v>
      </c>
      <c r="O51" s="6">
        <f>IF(INDEX('Path Scorecard'!$X$5:$X$80,MATCH($A51,'Path Scorecard'!$A$5:$A$80,0))="",3,INDEX('Path Scorecard'!$X$5:$X$80,MATCH($A51,'Path Scorecard'!$A$5:$A$80,0)))</f>
        <v>4</v>
      </c>
      <c r="P51" s="25">
        <f>(L51*'Hero Criteria'!$D$27+M51*'Hero Criteria'!$D$28+N51*'Hero Criteria'!$D$29+O51*'Hero Criteria'!$D$30)/(5*'Hero Criteria'!$D$31)*100</f>
        <v>75</v>
      </c>
      <c r="Q51" s="14" t="str">
        <f>IF(K51&gt;='Hero Criteria'!$C$35,"Hero",IF(P51&gt;='Hero Criteria'!$C$36,"Probable Hero","Non-Hero"))</f>
        <v>Probable Hero</v>
      </c>
      <c r="R51" s="14" t="str">
        <f>IF(Q51="Hero",IF(INDEX('Path Scorecard'!$T$5:$T$80,MATCH($A51,'Path Scorecard'!$A$5:$A$80,0))&lt;='Hero Criteria'!$C$37,"PROTECT","EXTEND"),IF(Q51="Probable Hero","BUILD","EXPLORE"))</f>
        <v>BUILD</v>
      </c>
      <c r="S51" s="6" t="str">
        <f>INDEX('Path Scorecard'!$AB$5:$AB$80,MATCH($A51,'Path Scorecard'!$A$5:$A$80,0))</f>
        <v>Backlog</v>
      </c>
      <c r="T51" s="10"/>
      <c r="V51" s="26" t="e">
        <f t="shared" si="6"/>
        <v>#N/A</v>
      </c>
      <c r="W51" s="26" t="e">
        <f t="shared" si="7"/>
        <v>#N/A</v>
      </c>
      <c r="X51" s="26">
        <f t="shared" si="8"/>
        <v>23</v>
      </c>
      <c r="Y51" s="26">
        <f t="shared" si="9"/>
        <v>75</v>
      </c>
      <c r="Z51" s="26" t="e">
        <f t="shared" si="10"/>
        <v>#N/A</v>
      </c>
      <c r="AA51" s="26" t="e">
        <f t="shared" si="11"/>
        <v>#N/A</v>
      </c>
    </row>
    <row r="52" spans="1:27" ht="26.4" x14ac:dyDescent="0.3">
      <c r="A52" s="6" t="s">
        <v>1093</v>
      </c>
      <c r="B52" s="8" t="s">
        <v>77</v>
      </c>
      <c r="C52" s="10" t="s">
        <v>916</v>
      </c>
      <c r="D52" s="10" t="s">
        <v>1270</v>
      </c>
      <c r="E52" s="15">
        <v>55</v>
      </c>
      <c r="F52" s="6" t="s">
        <v>1238</v>
      </c>
      <c r="G52" s="6">
        <f>IF(E52&gt;='Hero Criteria'!$C$42,5,IF(E52&gt;='Hero Criteria'!$C$43,4,IF(E52&gt;='Hero Criteria'!$C$44,3,IF(E52&gt;='Hero Criteria'!$C$45,2,1))))</f>
        <v>1</v>
      </c>
      <c r="H52" s="6">
        <f>IF(F52="Yes",'Hero Criteria'!$C$46,'Hero Criteria'!$C$47)</f>
        <v>5</v>
      </c>
      <c r="I52" s="19">
        <v>2</v>
      </c>
      <c r="J52" s="19">
        <v>2</v>
      </c>
      <c r="K52" s="25">
        <f>(G52*'Hero Criteria'!$D$19+H52*'Hero Criteria'!$D$20+I52*'Hero Criteria'!$D$21+J52*'Hero Criteria'!$D$22)/(5*'Hero Criteria'!$D$23)*100</f>
        <v>43</v>
      </c>
      <c r="L52" s="19">
        <v>3</v>
      </c>
      <c r="M52" s="19">
        <v>4</v>
      </c>
      <c r="N52" s="19">
        <v>3</v>
      </c>
      <c r="O52" s="6">
        <f>IF(INDEX('Path Scorecard'!$X$5:$X$80,MATCH($A52,'Path Scorecard'!$A$5:$A$80,0))="",3,INDEX('Path Scorecard'!$X$5:$X$80,MATCH($A52,'Path Scorecard'!$A$5:$A$80,0)))</f>
        <v>2</v>
      </c>
      <c r="P52" s="25">
        <f>(L52*'Hero Criteria'!$D$27+M52*'Hero Criteria'!$D$28+N52*'Hero Criteria'!$D$29+O52*'Hero Criteria'!$D$30)/(5*'Hero Criteria'!$D$31)*100</f>
        <v>62</v>
      </c>
      <c r="Q52" s="14" t="str">
        <f>IF(K52&gt;='Hero Criteria'!$C$35,"Hero",IF(P52&gt;='Hero Criteria'!$C$36,"Probable Hero","Non-Hero"))</f>
        <v>Non-Hero</v>
      </c>
      <c r="R52" s="14" t="str">
        <f>IF(Q52="Hero",IF(INDEX('Path Scorecard'!$T$5:$T$80,MATCH($A52,'Path Scorecard'!$A$5:$A$80,0))&lt;='Hero Criteria'!$C$37,"PROTECT","EXTEND"),IF(Q52="Probable Hero","BUILD","EXPLORE"))</f>
        <v>EXPLORE</v>
      </c>
      <c r="S52" s="6" t="str">
        <f>INDEX('Path Scorecard'!$AB$5:$AB$80,MATCH($A52,'Path Scorecard'!$A$5:$A$80,0))</f>
        <v>Recommended</v>
      </c>
      <c r="T52" s="10" t="s">
        <v>1280</v>
      </c>
      <c r="V52" s="26" t="e">
        <f t="shared" si="6"/>
        <v>#N/A</v>
      </c>
      <c r="W52" s="26" t="e">
        <f t="shared" si="7"/>
        <v>#N/A</v>
      </c>
      <c r="X52" s="26" t="e">
        <f t="shared" si="8"/>
        <v>#N/A</v>
      </c>
      <c r="Y52" s="26" t="e">
        <f t="shared" si="9"/>
        <v>#N/A</v>
      </c>
      <c r="Z52" s="26">
        <f t="shared" si="10"/>
        <v>43</v>
      </c>
      <c r="AA52" s="26">
        <f t="shared" si="11"/>
        <v>62</v>
      </c>
    </row>
    <row r="53" spans="1:27" ht="26.4" x14ac:dyDescent="0.3">
      <c r="A53" s="6" t="s">
        <v>1096</v>
      </c>
      <c r="B53" s="8" t="s">
        <v>350</v>
      </c>
      <c r="C53" s="10" t="s">
        <v>916</v>
      </c>
      <c r="D53" s="10" t="s">
        <v>1260</v>
      </c>
      <c r="E53" s="15">
        <v>46</v>
      </c>
      <c r="F53" s="6" t="s">
        <v>1238</v>
      </c>
      <c r="G53" s="6">
        <f>IF(E53&gt;='Hero Criteria'!$C$42,5,IF(E53&gt;='Hero Criteria'!$C$43,4,IF(E53&gt;='Hero Criteria'!$C$44,3,IF(E53&gt;='Hero Criteria'!$C$45,2,1))))</f>
        <v>1</v>
      </c>
      <c r="H53" s="6">
        <f>IF(F53="Yes",'Hero Criteria'!$C$46,'Hero Criteria'!$C$47)</f>
        <v>5</v>
      </c>
      <c r="I53" s="19">
        <v>1</v>
      </c>
      <c r="J53" s="19">
        <v>1</v>
      </c>
      <c r="K53" s="25">
        <f>(G53*'Hero Criteria'!$D$19+H53*'Hero Criteria'!$D$20+I53*'Hero Criteria'!$D$21+J53*'Hero Criteria'!$D$22)/(5*'Hero Criteria'!$D$23)*100</f>
        <v>32</v>
      </c>
      <c r="L53" s="19">
        <v>3</v>
      </c>
      <c r="M53" s="19">
        <v>4</v>
      </c>
      <c r="N53" s="19">
        <v>3</v>
      </c>
      <c r="O53" s="6">
        <f>IF(INDEX('Path Scorecard'!$X$5:$X$80,MATCH($A53,'Path Scorecard'!$A$5:$A$80,0))="",3,INDEX('Path Scorecard'!$X$5:$X$80,MATCH($A53,'Path Scorecard'!$A$5:$A$80,0)))</f>
        <v>2</v>
      </c>
      <c r="P53" s="25">
        <f>(L53*'Hero Criteria'!$D$27+M53*'Hero Criteria'!$D$28+N53*'Hero Criteria'!$D$29+O53*'Hero Criteria'!$D$30)/(5*'Hero Criteria'!$D$31)*100</f>
        <v>62</v>
      </c>
      <c r="Q53" s="14" t="str">
        <f>IF(K53&gt;='Hero Criteria'!$C$35,"Hero",IF(P53&gt;='Hero Criteria'!$C$36,"Probable Hero","Non-Hero"))</f>
        <v>Non-Hero</v>
      </c>
      <c r="R53" s="14" t="str">
        <f>IF(Q53="Hero",IF(INDEX('Path Scorecard'!$T$5:$T$80,MATCH($A53,'Path Scorecard'!$A$5:$A$80,0))&lt;='Hero Criteria'!$C$37,"PROTECT","EXTEND"),IF(Q53="Probable Hero","BUILD","EXPLORE"))</f>
        <v>EXPLORE</v>
      </c>
      <c r="S53" s="6" t="str">
        <f>INDEX('Path Scorecard'!$AB$5:$AB$80,MATCH($A53,'Path Scorecard'!$A$5:$A$80,0))</f>
        <v>Reserve</v>
      </c>
      <c r="T53" s="10" t="s">
        <v>1281</v>
      </c>
      <c r="V53" s="26" t="e">
        <f t="shared" si="6"/>
        <v>#N/A</v>
      </c>
      <c r="W53" s="26" t="e">
        <f t="shared" si="7"/>
        <v>#N/A</v>
      </c>
      <c r="X53" s="26" t="e">
        <f t="shared" si="8"/>
        <v>#N/A</v>
      </c>
      <c r="Y53" s="26" t="e">
        <f t="shared" si="9"/>
        <v>#N/A</v>
      </c>
      <c r="Z53" s="26">
        <f t="shared" si="10"/>
        <v>32</v>
      </c>
      <c r="AA53" s="26">
        <f t="shared" si="11"/>
        <v>62</v>
      </c>
    </row>
    <row r="54" spans="1:27" ht="26.4" x14ac:dyDescent="0.3">
      <c r="A54" s="6" t="s">
        <v>735</v>
      </c>
      <c r="B54" s="8" t="s">
        <v>736</v>
      </c>
      <c r="C54" s="10" t="s">
        <v>958</v>
      </c>
      <c r="D54" s="10" t="s">
        <v>648</v>
      </c>
      <c r="E54" s="15">
        <v>576</v>
      </c>
      <c r="F54" s="6" t="s">
        <v>1238</v>
      </c>
      <c r="G54" s="6">
        <f>IF(E54&gt;='Hero Criteria'!$C$42,5,IF(E54&gt;='Hero Criteria'!$C$43,4,IF(E54&gt;='Hero Criteria'!$C$44,3,IF(E54&gt;='Hero Criteria'!$C$45,2,1))))</f>
        <v>4</v>
      </c>
      <c r="H54" s="6">
        <f>IF(F54="Yes",'Hero Criteria'!$C$46,'Hero Criteria'!$C$47)</f>
        <v>5</v>
      </c>
      <c r="I54" s="19">
        <v>4</v>
      </c>
      <c r="J54" s="19">
        <v>4</v>
      </c>
      <c r="K54" s="25">
        <f>(G54*'Hero Criteria'!$D$19+H54*'Hero Criteria'!$D$20+I54*'Hero Criteria'!$D$21+J54*'Hero Criteria'!$D$22)/(5*'Hero Criteria'!$D$23)*100</f>
        <v>83</v>
      </c>
      <c r="L54" s="19">
        <v>3</v>
      </c>
      <c r="M54" s="19">
        <v>4</v>
      </c>
      <c r="N54" s="19">
        <v>3</v>
      </c>
      <c r="O54" s="6">
        <f>IF(INDEX('Path Scorecard'!$X$5:$X$80,MATCH($A54,'Path Scorecard'!$A$5:$A$80,0))="",3,INDEX('Path Scorecard'!$X$5:$X$80,MATCH($A54,'Path Scorecard'!$A$5:$A$80,0)))</f>
        <v>3</v>
      </c>
      <c r="P54" s="25">
        <f>(L54*'Hero Criteria'!$D$27+M54*'Hero Criteria'!$D$28+N54*'Hero Criteria'!$D$29+O54*'Hero Criteria'!$D$30)/(5*'Hero Criteria'!$D$31)*100</f>
        <v>65</v>
      </c>
      <c r="Q54" s="14" t="str">
        <f>IF(K54&gt;='Hero Criteria'!$C$35,"Hero",IF(P54&gt;='Hero Criteria'!$C$36,"Probable Hero","Non-Hero"))</f>
        <v>Hero</v>
      </c>
      <c r="R54" s="14" t="str">
        <f>IF(Q54="Hero",IF(INDEX('Path Scorecard'!$T$5:$T$80,MATCH($A54,'Path Scorecard'!$A$5:$A$80,0))&lt;='Hero Criteria'!$C$37,"PROTECT","EXTEND"),IF(Q54="Probable Hero","BUILD","EXPLORE"))</f>
        <v>PROTECT</v>
      </c>
      <c r="S54" s="6" t="str">
        <f>INDEX('Path Scorecard'!$AB$5:$AB$80,MATCH($A54,'Path Scorecard'!$A$5:$A$80,0))</f>
        <v>Protect (control)</v>
      </c>
      <c r="T54" s="10"/>
      <c r="V54" s="26">
        <f t="shared" si="6"/>
        <v>83</v>
      </c>
      <c r="W54" s="26">
        <f t="shared" si="7"/>
        <v>65</v>
      </c>
      <c r="X54" s="26" t="e">
        <f t="shared" si="8"/>
        <v>#N/A</v>
      </c>
      <c r="Y54" s="26" t="e">
        <f t="shared" si="9"/>
        <v>#N/A</v>
      </c>
      <c r="Z54" s="26" t="e">
        <f t="shared" si="10"/>
        <v>#N/A</v>
      </c>
      <c r="AA54" s="26" t="e">
        <f t="shared" si="11"/>
        <v>#N/A</v>
      </c>
    </row>
    <row r="55" spans="1:27" ht="26.4" x14ac:dyDescent="0.3">
      <c r="A55" s="6" t="s">
        <v>1101</v>
      </c>
      <c r="B55" s="8" t="s">
        <v>1102</v>
      </c>
      <c r="C55" s="10" t="s">
        <v>916</v>
      </c>
      <c r="D55" s="10" t="s">
        <v>1282</v>
      </c>
      <c r="E55" s="15">
        <v>53</v>
      </c>
      <c r="F55" s="6" t="s">
        <v>1249</v>
      </c>
      <c r="G55" s="6">
        <f>IF(E55&gt;='Hero Criteria'!$C$42,5,IF(E55&gt;='Hero Criteria'!$C$43,4,IF(E55&gt;='Hero Criteria'!$C$44,3,IF(E55&gt;='Hero Criteria'!$C$45,2,1))))</f>
        <v>1</v>
      </c>
      <c r="H55" s="6">
        <f>IF(F55="Yes",'Hero Criteria'!$C$46,'Hero Criteria'!$C$47)</f>
        <v>2</v>
      </c>
      <c r="I55" s="19">
        <v>1</v>
      </c>
      <c r="J55" s="19">
        <v>1</v>
      </c>
      <c r="K55" s="25">
        <f>(G55*'Hero Criteria'!$D$19+H55*'Hero Criteria'!$D$20+I55*'Hero Criteria'!$D$21+J55*'Hero Criteria'!$D$22)/(5*'Hero Criteria'!$D$23)*100</f>
        <v>23</v>
      </c>
      <c r="L55" s="19">
        <v>4</v>
      </c>
      <c r="M55" s="19">
        <v>4</v>
      </c>
      <c r="N55" s="19">
        <v>3</v>
      </c>
      <c r="O55" s="6">
        <f>IF(INDEX('Path Scorecard'!$X$5:$X$80,MATCH($A55,'Path Scorecard'!$A$5:$A$80,0))="",3,INDEX('Path Scorecard'!$X$5:$X$80,MATCH($A55,'Path Scorecard'!$A$5:$A$80,0)))</f>
        <v>3</v>
      </c>
      <c r="P55" s="25">
        <f>(L55*'Hero Criteria'!$D$27+M55*'Hero Criteria'!$D$28+N55*'Hero Criteria'!$D$29+O55*'Hero Criteria'!$D$30)/(5*'Hero Criteria'!$D$31)*100</f>
        <v>72</v>
      </c>
      <c r="Q55" s="14" t="str">
        <f>IF(K55&gt;='Hero Criteria'!$C$35,"Hero",IF(P55&gt;='Hero Criteria'!$C$36,"Probable Hero","Non-Hero"))</f>
        <v>Probable Hero</v>
      </c>
      <c r="R55" s="14" t="str">
        <f>IF(Q55="Hero",IF(INDEX('Path Scorecard'!$T$5:$T$80,MATCH($A55,'Path Scorecard'!$A$5:$A$80,0))&lt;='Hero Criteria'!$C$37,"PROTECT","EXTEND"),IF(Q55="Probable Hero","BUILD","EXPLORE"))</f>
        <v>BUILD</v>
      </c>
      <c r="S55" s="6" t="str">
        <f>INDEX('Path Scorecard'!$AB$5:$AB$80,MATCH($A55,'Path Scorecard'!$A$5:$A$80,0))</f>
        <v>Backlog</v>
      </c>
      <c r="T55" s="10"/>
      <c r="V55" s="26" t="e">
        <f t="shared" si="6"/>
        <v>#N/A</v>
      </c>
      <c r="W55" s="26" t="e">
        <f t="shared" si="7"/>
        <v>#N/A</v>
      </c>
      <c r="X55" s="26">
        <f t="shared" si="8"/>
        <v>23</v>
      </c>
      <c r="Y55" s="26">
        <f t="shared" si="9"/>
        <v>72</v>
      </c>
      <c r="Z55" s="26" t="e">
        <f t="shared" si="10"/>
        <v>#N/A</v>
      </c>
      <c r="AA55" s="26" t="e">
        <f t="shared" si="11"/>
        <v>#N/A</v>
      </c>
    </row>
    <row r="56" spans="1:27" ht="26.4" x14ac:dyDescent="0.3">
      <c r="A56" s="6" t="s">
        <v>1108</v>
      </c>
      <c r="B56" s="8" t="s">
        <v>361</v>
      </c>
      <c r="C56" s="10" t="s">
        <v>916</v>
      </c>
      <c r="D56" s="10" t="s">
        <v>1253</v>
      </c>
      <c r="E56" s="15">
        <v>78</v>
      </c>
      <c r="F56" s="6" t="s">
        <v>1238</v>
      </c>
      <c r="G56" s="6">
        <f>IF(E56&gt;='Hero Criteria'!$C$42,5,IF(E56&gt;='Hero Criteria'!$C$43,4,IF(E56&gt;='Hero Criteria'!$C$44,3,IF(E56&gt;='Hero Criteria'!$C$45,2,1))))</f>
        <v>2</v>
      </c>
      <c r="H56" s="6">
        <f>IF(F56="Yes",'Hero Criteria'!$C$46,'Hero Criteria'!$C$47)</f>
        <v>5</v>
      </c>
      <c r="I56" s="19">
        <v>1</v>
      </c>
      <c r="J56" s="19">
        <v>2</v>
      </c>
      <c r="K56" s="25">
        <f>(G56*'Hero Criteria'!$D$19+H56*'Hero Criteria'!$D$20+I56*'Hero Criteria'!$D$21+J56*'Hero Criteria'!$D$22)/(5*'Hero Criteria'!$D$23)*100</f>
        <v>44</v>
      </c>
      <c r="L56" s="19">
        <v>3</v>
      </c>
      <c r="M56" s="19">
        <v>4</v>
      </c>
      <c r="N56" s="19">
        <v>2</v>
      </c>
      <c r="O56" s="6">
        <f>IF(INDEX('Path Scorecard'!$X$5:$X$80,MATCH($A56,'Path Scorecard'!$A$5:$A$80,0))="",3,INDEX('Path Scorecard'!$X$5:$X$80,MATCH($A56,'Path Scorecard'!$A$5:$A$80,0)))</f>
        <v>3</v>
      </c>
      <c r="P56" s="25">
        <f>(L56*'Hero Criteria'!$D$27+M56*'Hero Criteria'!$D$28+N56*'Hero Criteria'!$D$29+O56*'Hero Criteria'!$D$30)/(5*'Hero Criteria'!$D$31)*100</f>
        <v>60</v>
      </c>
      <c r="Q56" s="14" t="str">
        <f>IF(K56&gt;='Hero Criteria'!$C$35,"Hero",IF(P56&gt;='Hero Criteria'!$C$36,"Probable Hero","Non-Hero"))</f>
        <v>Non-Hero</v>
      </c>
      <c r="R56" s="14" t="str">
        <f>IF(Q56="Hero",IF(INDEX('Path Scorecard'!$T$5:$T$80,MATCH($A56,'Path Scorecard'!$A$5:$A$80,0))&lt;='Hero Criteria'!$C$37,"PROTECT","EXTEND"),IF(Q56="Probable Hero","BUILD","EXPLORE"))</f>
        <v>EXPLORE</v>
      </c>
      <c r="S56" s="6" t="str">
        <f>INDEX('Path Scorecard'!$AB$5:$AB$80,MATCH($A56,'Path Scorecard'!$A$5:$A$80,0))</f>
        <v>Reserve</v>
      </c>
      <c r="T56" s="10" t="s">
        <v>1283</v>
      </c>
      <c r="V56" s="26" t="e">
        <f t="shared" si="6"/>
        <v>#N/A</v>
      </c>
      <c r="W56" s="26" t="e">
        <f t="shared" si="7"/>
        <v>#N/A</v>
      </c>
      <c r="X56" s="26" t="e">
        <f t="shared" si="8"/>
        <v>#N/A</v>
      </c>
      <c r="Y56" s="26" t="e">
        <f t="shared" si="9"/>
        <v>#N/A</v>
      </c>
      <c r="Z56" s="26">
        <f t="shared" si="10"/>
        <v>44</v>
      </c>
      <c r="AA56" s="26">
        <f t="shared" si="11"/>
        <v>60</v>
      </c>
    </row>
    <row r="57" spans="1:27" ht="26.4" x14ac:dyDescent="0.3">
      <c r="A57" s="6" t="s">
        <v>1112</v>
      </c>
      <c r="B57" s="8" t="s">
        <v>1113</v>
      </c>
      <c r="C57" s="10" t="s">
        <v>916</v>
      </c>
      <c r="D57" s="10" t="s">
        <v>1284</v>
      </c>
      <c r="E57" s="15">
        <v>236</v>
      </c>
      <c r="F57" s="6" t="s">
        <v>1249</v>
      </c>
      <c r="G57" s="6">
        <f>IF(E57&gt;='Hero Criteria'!$C$42,5,IF(E57&gt;='Hero Criteria'!$C$43,4,IF(E57&gt;='Hero Criteria'!$C$44,3,IF(E57&gt;='Hero Criteria'!$C$45,2,1))))</f>
        <v>3</v>
      </c>
      <c r="H57" s="6">
        <f>IF(F57="Yes",'Hero Criteria'!$C$46,'Hero Criteria'!$C$47)</f>
        <v>2</v>
      </c>
      <c r="I57" s="19">
        <v>1</v>
      </c>
      <c r="J57" s="19">
        <v>1</v>
      </c>
      <c r="K57" s="25">
        <f>(G57*'Hero Criteria'!$D$19+H57*'Hero Criteria'!$D$20+I57*'Hero Criteria'!$D$21+J57*'Hero Criteria'!$D$22)/(5*'Hero Criteria'!$D$23)*100</f>
        <v>35</v>
      </c>
      <c r="L57" s="19">
        <v>3</v>
      </c>
      <c r="M57" s="19">
        <v>4</v>
      </c>
      <c r="N57" s="19">
        <v>4</v>
      </c>
      <c r="O57" s="6">
        <f>IF(INDEX('Path Scorecard'!$X$5:$X$80,MATCH($A57,'Path Scorecard'!$A$5:$A$80,0))="",3,INDEX('Path Scorecard'!$X$5:$X$80,MATCH($A57,'Path Scorecard'!$A$5:$A$80,0)))</f>
        <v>3</v>
      </c>
      <c r="P57" s="25">
        <f>(L57*'Hero Criteria'!$D$27+M57*'Hero Criteria'!$D$28+N57*'Hero Criteria'!$D$29+O57*'Hero Criteria'!$D$30)/(5*'Hero Criteria'!$D$31)*100</f>
        <v>70</v>
      </c>
      <c r="Q57" s="14" t="str">
        <f>IF(K57&gt;='Hero Criteria'!$C$35,"Hero",IF(P57&gt;='Hero Criteria'!$C$36,"Probable Hero","Non-Hero"))</f>
        <v>Probable Hero</v>
      </c>
      <c r="R57" s="14" t="str">
        <f>IF(Q57="Hero",IF(INDEX('Path Scorecard'!$T$5:$T$80,MATCH($A57,'Path Scorecard'!$A$5:$A$80,0))&lt;='Hero Criteria'!$C$37,"PROTECT","EXTEND"),IF(Q57="Probable Hero","BUILD","EXPLORE"))</f>
        <v>BUILD</v>
      </c>
      <c r="S57" s="6" t="str">
        <f>INDEX('Path Scorecard'!$AB$5:$AB$80,MATCH($A57,'Path Scorecard'!$A$5:$A$80,0))</f>
        <v>Backlog</v>
      </c>
      <c r="T57" s="10"/>
      <c r="V57" s="26" t="e">
        <f t="shared" si="6"/>
        <v>#N/A</v>
      </c>
      <c r="W57" s="26" t="e">
        <f t="shared" si="7"/>
        <v>#N/A</v>
      </c>
      <c r="X57" s="26">
        <f t="shared" si="8"/>
        <v>35</v>
      </c>
      <c r="Y57" s="26">
        <f t="shared" si="9"/>
        <v>70</v>
      </c>
      <c r="Z57" s="26" t="e">
        <f t="shared" si="10"/>
        <v>#N/A</v>
      </c>
      <c r="AA57" s="26" t="e">
        <f t="shared" si="11"/>
        <v>#N/A</v>
      </c>
    </row>
    <row r="58" spans="1:27" ht="26.4" x14ac:dyDescent="0.3">
      <c r="A58" s="6" t="s">
        <v>724</v>
      </c>
      <c r="B58" s="8" t="s">
        <v>725</v>
      </c>
      <c r="C58" s="10" t="s">
        <v>925</v>
      </c>
      <c r="D58" s="10" t="s">
        <v>641</v>
      </c>
      <c r="E58" s="15">
        <v>1008</v>
      </c>
      <c r="F58" s="6" t="s">
        <v>1238</v>
      </c>
      <c r="G58" s="6">
        <f>IF(E58&gt;='Hero Criteria'!$C$42,5,IF(E58&gt;='Hero Criteria'!$C$43,4,IF(E58&gt;='Hero Criteria'!$C$44,3,IF(E58&gt;='Hero Criteria'!$C$45,2,1))))</f>
        <v>5</v>
      </c>
      <c r="H58" s="6">
        <f>IF(F58="Yes",'Hero Criteria'!$C$46,'Hero Criteria'!$C$47)</f>
        <v>5</v>
      </c>
      <c r="I58" s="19">
        <v>5</v>
      </c>
      <c r="J58" s="19">
        <v>5</v>
      </c>
      <c r="K58" s="25">
        <f>(G58*'Hero Criteria'!$D$19+H58*'Hero Criteria'!$D$20+I58*'Hero Criteria'!$D$21+J58*'Hero Criteria'!$D$22)/(5*'Hero Criteria'!$D$23)*100</f>
        <v>100</v>
      </c>
      <c r="L58" s="19">
        <v>3</v>
      </c>
      <c r="M58" s="19">
        <v>4</v>
      </c>
      <c r="N58" s="19">
        <v>5</v>
      </c>
      <c r="O58" s="6">
        <f>IF(INDEX('Path Scorecard'!$X$5:$X$80,MATCH($A58,'Path Scorecard'!$A$5:$A$80,0))="",3,INDEX('Path Scorecard'!$X$5:$X$80,MATCH($A58,'Path Scorecard'!$A$5:$A$80,0)))</f>
        <v>4</v>
      </c>
      <c r="P58" s="25">
        <f>(L58*'Hero Criteria'!$D$27+M58*'Hero Criteria'!$D$28+N58*'Hero Criteria'!$D$29+O58*'Hero Criteria'!$D$30)/(5*'Hero Criteria'!$D$31)*100</f>
        <v>78</v>
      </c>
      <c r="Q58" s="14" t="str">
        <f>IF(K58&gt;='Hero Criteria'!$C$35,"Hero",IF(P58&gt;='Hero Criteria'!$C$36,"Probable Hero","Non-Hero"))</f>
        <v>Hero</v>
      </c>
      <c r="R58" s="14" t="str">
        <f>IF(Q58="Hero",IF(INDEX('Path Scorecard'!$T$5:$T$80,MATCH($A58,'Path Scorecard'!$A$5:$A$80,0))&lt;='Hero Criteria'!$C$37,"PROTECT","EXTEND"),IF(Q58="Probable Hero","BUILD","EXPLORE"))</f>
        <v>PROTECT</v>
      </c>
      <c r="S58" s="6" t="str">
        <f>INDEX('Path Scorecard'!$AB$5:$AB$80,MATCH($A58,'Path Scorecard'!$A$5:$A$80,0))</f>
        <v>Protect (control)</v>
      </c>
      <c r="T58" s="10" t="s">
        <v>1285</v>
      </c>
      <c r="V58" s="26">
        <f t="shared" si="6"/>
        <v>100</v>
      </c>
      <c r="W58" s="26">
        <f t="shared" si="7"/>
        <v>78</v>
      </c>
      <c r="X58" s="26" t="e">
        <f t="shared" si="8"/>
        <v>#N/A</v>
      </c>
      <c r="Y58" s="26" t="e">
        <f t="shared" si="9"/>
        <v>#N/A</v>
      </c>
      <c r="Z58" s="26" t="e">
        <f t="shared" si="10"/>
        <v>#N/A</v>
      </c>
      <c r="AA58" s="26" t="e">
        <f t="shared" si="11"/>
        <v>#N/A</v>
      </c>
    </row>
    <row r="59" spans="1:27" ht="26.4" x14ac:dyDescent="0.3">
      <c r="A59" s="6" t="s">
        <v>1122</v>
      </c>
      <c r="B59" s="8" t="s">
        <v>1123</v>
      </c>
      <c r="C59" s="10" t="s">
        <v>916</v>
      </c>
      <c r="D59" s="10" t="s">
        <v>1242</v>
      </c>
      <c r="E59" s="15">
        <v>95</v>
      </c>
      <c r="F59" s="6" t="s">
        <v>1238</v>
      </c>
      <c r="G59" s="6">
        <f>IF(E59&gt;='Hero Criteria'!$C$42,5,IF(E59&gt;='Hero Criteria'!$C$43,4,IF(E59&gt;='Hero Criteria'!$C$44,3,IF(E59&gt;='Hero Criteria'!$C$45,2,1))))</f>
        <v>2</v>
      </c>
      <c r="H59" s="6">
        <f>IF(F59="Yes",'Hero Criteria'!$C$46,'Hero Criteria'!$C$47)</f>
        <v>5</v>
      </c>
      <c r="I59" s="19">
        <v>2</v>
      </c>
      <c r="J59" s="19">
        <v>3</v>
      </c>
      <c r="K59" s="25">
        <f>(G59*'Hero Criteria'!$D$19+H59*'Hero Criteria'!$D$20+I59*'Hero Criteria'!$D$21+J59*'Hero Criteria'!$D$22)/(5*'Hero Criteria'!$D$23)*100</f>
        <v>55.000000000000007</v>
      </c>
      <c r="L59" s="19">
        <v>4</v>
      </c>
      <c r="M59" s="19">
        <v>4</v>
      </c>
      <c r="N59" s="19">
        <v>5</v>
      </c>
      <c r="O59" s="6">
        <f>IF(INDEX('Path Scorecard'!$X$5:$X$80,MATCH($A59,'Path Scorecard'!$A$5:$A$80,0))="",3,INDEX('Path Scorecard'!$X$5:$X$80,MATCH($A59,'Path Scorecard'!$A$5:$A$80,0)))</f>
        <v>3</v>
      </c>
      <c r="P59" s="25">
        <f>(L59*'Hero Criteria'!$D$27+M59*'Hero Criteria'!$D$28+N59*'Hero Criteria'!$D$29+O59*'Hero Criteria'!$D$30)/(5*'Hero Criteria'!$D$31)*100</f>
        <v>82</v>
      </c>
      <c r="Q59" s="14" t="str">
        <f>IF(K59&gt;='Hero Criteria'!$C$35,"Hero",IF(P59&gt;='Hero Criteria'!$C$36,"Probable Hero","Non-Hero"))</f>
        <v>Probable Hero</v>
      </c>
      <c r="R59" s="14" t="str">
        <f>IF(Q59="Hero",IF(INDEX('Path Scorecard'!$T$5:$T$80,MATCH($A59,'Path Scorecard'!$A$5:$A$80,0))&lt;='Hero Criteria'!$C$37,"PROTECT","EXTEND"),IF(Q59="Probable Hero","BUILD","EXPLORE"))</f>
        <v>BUILD</v>
      </c>
      <c r="S59" s="6" t="str">
        <f>INDEX('Path Scorecard'!$AB$5:$AB$80,MATCH($A59,'Path Scorecard'!$A$5:$A$80,0))</f>
        <v>Backlog</v>
      </c>
      <c r="T59" s="10"/>
      <c r="V59" s="26" t="e">
        <f t="shared" si="6"/>
        <v>#N/A</v>
      </c>
      <c r="W59" s="26" t="e">
        <f t="shared" si="7"/>
        <v>#N/A</v>
      </c>
      <c r="X59" s="26">
        <f t="shared" si="8"/>
        <v>55.000000000000007</v>
      </c>
      <c r="Y59" s="26">
        <f t="shared" si="9"/>
        <v>82</v>
      </c>
      <c r="Z59" s="26" t="e">
        <f t="shared" si="10"/>
        <v>#N/A</v>
      </c>
      <c r="AA59" s="26" t="e">
        <f t="shared" si="11"/>
        <v>#N/A</v>
      </c>
    </row>
    <row r="60" spans="1:27" ht="26.4" x14ac:dyDescent="0.3">
      <c r="A60" s="6" t="s">
        <v>1127</v>
      </c>
      <c r="B60" s="8" t="s">
        <v>1128</v>
      </c>
      <c r="C60" s="10" t="s">
        <v>916</v>
      </c>
      <c r="D60" s="10" t="s">
        <v>1286</v>
      </c>
      <c r="E60" s="15">
        <v>484</v>
      </c>
      <c r="F60" s="6" t="s">
        <v>1249</v>
      </c>
      <c r="G60" s="6">
        <f>IF(E60&gt;='Hero Criteria'!$C$42,5,IF(E60&gt;='Hero Criteria'!$C$43,4,IF(E60&gt;='Hero Criteria'!$C$44,3,IF(E60&gt;='Hero Criteria'!$C$45,2,1))))</f>
        <v>3</v>
      </c>
      <c r="H60" s="6">
        <f>IF(F60="Yes",'Hero Criteria'!$C$46,'Hero Criteria'!$C$47)</f>
        <v>2</v>
      </c>
      <c r="I60" s="19">
        <v>2</v>
      </c>
      <c r="J60" s="19">
        <v>2</v>
      </c>
      <c r="K60" s="25">
        <f>(G60*'Hero Criteria'!$D$19+H60*'Hero Criteria'!$D$20+I60*'Hero Criteria'!$D$21+J60*'Hero Criteria'!$D$22)/(5*'Hero Criteria'!$D$23)*100</f>
        <v>46</v>
      </c>
      <c r="L60" s="19">
        <v>3</v>
      </c>
      <c r="M60" s="19">
        <v>5</v>
      </c>
      <c r="N60" s="19">
        <v>4</v>
      </c>
      <c r="O60" s="6">
        <f>IF(INDEX('Path Scorecard'!$X$5:$X$80,MATCH($A60,'Path Scorecard'!$A$5:$A$80,0))="",3,INDEX('Path Scorecard'!$X$5:$X$80,MATCH($A60,'Path Scorecard'!$A$5:$A$80,0)))</f>
        <v>3</v>
      </c>
      <c r="P60" s="25">
        <f>(L60*'Hero Criteria'!$D$27+M60*'Hero Criteria'!$D$28+N60*'Hero Criteria'!$D$29+O60*'Hero Criteria'!$D$30)/(5*'Hero Criteria'!$D$31)*100</f>
        <v>75</v>
      </c>
      <c r="Q60" s="14" t="str">
        <f>IF(K60&gt;='Hero Criteria'!$C$35,"Hero",IF(P60&gt;='Hero Criteria'!$C$36,"Probable Hero","Non-Hero"))</f>
        <v>Probable Hero</v>
      </c>
      <c r="R60" s="14" t="str">
        <f>IF(Q60="Hero",IF(INDEX('Path Scorecard'!$T$5:$T$80,MATCH($A60,'Path Scorecard'!$A$5:$A$80,0))&lt;='Hero Criteria'!$C$37,"PROTECT","EXTEND"),IF(Q60="Probable Hero","BUILD","EXPLORE"))</f>
        <v>BUILD</v>
      </c>
      <c r="S60" s="6" t="str">
        <f>INDEX('Path Scorecard'!$AB$5:$AB$80,MATCH($A60,'Path Scorecard'!$A$5:$A$80,0))</f>
        <v>Backlog</v>
      </c>
      <c r="T60" s="10"/>
      <c r="V60" s="26" t="e">
        <f t="shared" si="6"/>
        <v>#N/A</v>
      </c>
      <c r="W60" s="26" t="e">
        <f t="shared" si="7"/>
        <v>#N/A</v>
      </c>
      <c r="X60" s="26">
        <f t="shared" si="8"/>
        <v>46</v>
      </c>
      <c r="Y60" s="26">
        <f t="shared" si="9"/>
        <v>75</v>
      </c>
      <c r="Z60" s="26" t="e">
        <f t="shared" si="10"/>
        <v>#N/A</v>
      </c>
      <c r="AA60" s="26" t="e">
        <f t="shared" si="11"/>
        <v>#N/A</v>
      </c>
    </row>
    <row r="61" spans="1:27" x14ac:dyDescent="0.3">
      <c r="A61" s="6" t="s">
        <v>1133</v>
      </c>
      <c r="B61" s="8" t="s">
        <v>372</v>
      </c>
      <c r="C61" s="10" t="s">
        <v>916</v>
      </c>
      <c r="D61" s="10" t="s">
        <v>1287</v>
      </c>
      <c r="E61" s="15">
        <v>203</v>
      </c>
      <c r="F61" s="6" t="s">
        <v>1238</v>
      </c>
      <c r="G61" s="6">
        <f>IF(E61&gt;='Hero Criteria'!$C$42,5,IF(E61&gt;='Hero Criteria'!$C$43,4,IF(E61&gt;='Hero Criteria'!$C$44,3,IF(E61&gt;='Hero Criteria'!$C$45,2,1))))</f>
        <v>3</v>
      </c>
      <c r="H61" s="6">
        <f>IF(F61="Yes",'Hero Criteria'!$C$46,'Hero Criteria'!$C$47)</f>
        <v>5</v>
      </c>
      <c r="I61" s="19">
        <v>1</v>
      </c>
      <c r="J61" s="19">
        <v>1</v>
      </c>
      <c r="K61" s="25">
        <f>(G61*'Hero Criteria'!$D$19+H61*'Hero Criteria'!$D$20+I61*'Hero Criteria'!$D$21+J61*'Hero Criteria'!$D$22)/(5*'Hero Criteria'!$D$23)*100</f>
        <v>44</v>
      </c>
      <c r="L61" s="19">
        <v>2</v>
      </c>
      <c r="M61" s="19">
        <v>5</v>
      </c>
      <c r="N61" s="19">
        <v>3</v>
      </c>
      <c r="O61" s="6">
        <f>IF(INDEX('Path Scorecard'!$X$5:$X$80,MATCH($A61,'Path Scorecard'!$A$5:$A$80,0))="",3,INDEX('Path Scorecard'!$X$5:$X$80,MATCH($A61,'Path Scorecard'!$A$5:$A$80,0)))</f>
        <v>2</v>
      </c>
      <c r="P61" s="25">
        <f>(L61*'Hero Criteria'!$D$27+M61*'Hero Criteria'!$D$28+N61*'Hero Criteria'!$D$29+O61*'Hero Criteria'!$D$30)/(5*'Hero Criteria'!$D$31)*100</f>
        <v>60</v>
      </c>
      <c r="Q61" s="14" t="str">
        <f>IF(K61&gt;='Hero Criteria'!$C$35,"Hero",IF(P61&gt;='Hero Criteria'!$C$36,"Probable Hero","Non-Hero"))</f>
        <v>Non-Hero</v>
      </c>
      <c r="R61" s="14" t="str">
        <f>IF(Q61="Hero",IF(INDEX('Path Scorecard'!$T$5:$T$80,MATCH($A61,'Path Scorecard'!$A$5:$A$80,0))&lt;='Hero Criteria'!$C$37,"PROTECT","EXTEND"),IF(Q61="Probable Hero","BUILD","EXPLORE"))</f>
        <v>EXPLORE</v>
      </c>
      <c r="S61" s="6" t="str">
        <f>INDEX('Path Scorecard'!$AB$5:$AB$80,MATCH($A61,'Path Scorecard'!$A$5:$A$80,0))</f>
        <v>Reserve</v>
      </c>
      <c r="T61" s="10"/>
      <c r="V61" s="26" t="e">
        <f t="shared" si="6"/>
        <v>#N/A</v>
      </c>
      <c r="W61" s="26" t="e">
        <f t="shared" si="7"/>
        <v>#N/A</v>
      </c>
      <c r="X61" s="26" t="e">
        <f t="shared" si="8"/>
        <v>#N/A</v>
      </c>
      <c r="Y61" s="26" t="e">
        <f t="shared" si="9"/>
        <v>#N/A</v>
      </c>
      <c r="Z61" s="26">
        <f t="shared" si="10"/>
        <v>44</v>
      </c>
      <c r="AA61" s="26">
        <f t="shared" si="11"/>
        <v>60</v>
      </c>
    </row>
    <row r="62" spans="1:27" ht="26.4" x14ac:dyDescent="0.3">
      <c r="A62" s="6" t="s">
        <v>798</v>
      </c>
      <c r="B62" s="8" t="s">
        <v>799</v>
      </c>
      <c r="C62" s="10" t="s">
        <v>910</v>
      </c>
      <c r="D62" s="10" t="s">
        <v>1288</v>
      </c>
      <c r="E62" s="15">
        <v>66</v>
      </c>
      <c r="F62" s="6" t="s">
        <v>1249</v>
      </c>
      <c r="G62" s="6">
        <f>IF(E62&gt;='Hero Criteria'!$C$42,5,IF(E62&gt;='Hero Criteria'!$C$43,4,IF(E62&gt;='Hero Criteria'!$C$44,3,IF(E62&gt;='Hero Criteria'!$C$45,2,1))))</f>
        <v>1</v>
      </c>
      <c r="H62" s="6">
        <f>IF(F62="Yes",'Hero Criteria'!$C$46,'Hero Criteria'!$C$47)</f>
        <v>2</v>
      </c>
      <c r="I62" s="19">
        <v>1</v>
      </c>
      <c r="J62" s="19">
        <v>1</v>
      </c>
      <c r="K62" s="25">
        <f>(G62*'Hero Criteria'!$D$19+H62*'Hero Criteria'!$D$20+I62*'Hero Criteria'!$D$21+J62*'Hero Criteria'!$D$22)/(5*'Hero Criteria'!$D$23)*100</f>
        <v>23</v>
      </c>
      <c r="L62" s="19">
        <v>2</v>
      </c>
      <c r="M62" s="19">
        <v>4</v>
      </c>
      <c r="N62" s="19">
        <v>2</v>
      </c>
      <c r="O62" s="6">
        <f>IF(INDEX('Path Scorecard'!$X$5:$X$80,MATCH($A62,'Path Scorecard'!$A$5:$A$80,0))="",3,INDEX('Path Scorecard'!$X$5:$X$80,MATCH($A62,'Path Scorecard'!$A$5:$A$80,0)))</f>
        <v>2</v>
      </c>
      <c r="P62" s="25">
        <f>(L62*'Hero Criteria'!$D$27+M62*'Hero Criteria'!$D$28+N62*'Hero Criteria'!$D$29+O62*'Hero Criteria'!$D$30)/(5*'Hero Criteria'!$D$31)*100</f>
        <v>50</v>
      </c>
      <c r="Q62" s="14" t="str">
        <f>IF(K62&gt;='Hero Criteria'!$C$35,"Hero",IF(P62&gt;='Hero Criteria'!$C$36,"Probable Hero","Non-Hero"))</f>
        <v>Non-Hero</v>
      </c>
      <c r="R62" s="14" t="str">
        <f>IF(Q62="Hero",IF(INDEX('Path Scorecard'!$T$5:$T$80,MATCH($A62,'Path Scorecard'!$A$5:$A$80,0))&lt;='Hero Criteria'!$C$37,"PROTECT","EXTEND"),IF(Q62="Probable Hero","BUILD","EXPLORE"))</f>
        <v>EXPLORE</v>
      </c>
      <c r="S62" s="6" t="str">
        <f>INDEX('Path Scorecard'!$AB$5:$AB$80,MATCH($A62,'Path Scorecard'!$A$5:$A$80,0))</f>
        <v>Backlog</v>
      </c>
      <c r="T62" s="10"/>
      <c r="V62" s="26" t="e">
        <f t="shared" si="6"/>
        <v>#N/A</v>
      </c>
      <c r="W62" s="26" t="e">
        <f t="shared" si="7"/>
        <v>#N/A</v>
      </c>
      <c r="X62" s="26" t="e">
        <f t="shared" si="8"/>
        <v>#N/A</v>
      </c>
      <c r="Y62" s="26" t="e">
        <f t="shared" si="9"/>
        <v>#N/A</v>
      </c>
      <c r="Z62" s="26">
        <f t="shared" si="10"/>
        <v>23</v>
      </c>
      <c r="AA62" s="26">
        <f t="shared" si="11"/>
        <v>50</v>
      </c>
    </row>
    <row r="63" spans="1:27" x14ac:dyDescent="0.3">
      <c r="A63" s="6" t="s">
        <v>1140</v>
      </c>
      <c r="B63" s="8" t="s">
        <v>1141</v>
      </c>
      <c r="C63" s="10" t="s">
        <v>916</v>
      </c>
      <c r="D63" s="10" t="s">
        <v>1289</v>
      </c>
      <c r="E63" s="15">
        <v>126</v>
      </c>
      <c r="F63" s="6" t="s">
        <v>1238</v>
      </c>
      <c r="G63" s="6">
        <f>IF(E63&gt;='Hero Criteria'!$C$42,5,IF(E63&gt;='Hero Criteria'!$C$43,4,IF(E63&gt;='Hero Criteria'!$C$44,3,IF(E63&gt;='Hero Criteria'!$C$45,2,1))))</f>
        <v>2</v>
      </c>
      <c r="H63" s="6">
        <f>IF(F63="Yes",'Hero Criteria'!$C$46,'Hero Criteria'!$C$47)</f>
        <v>5</v>
      </c>
      <c r="I63" s="19">
        <v>1</v>
      </c>
      <c r="J63" s="19">
        <v>1</v>
      </c>
      <c r="K63" s="25">
        <f>(G63*'Hero Criteria'!$D$19+H63*'Hero Criteria'!$D$20+I63*'Hero Criteria'!$D$21+J63*'Hero Criteria'!$D$22)/(5*'Hero Criteria'!$D$23)*100</f>
        <v>38</v>
      </c>
      <c r="L63" s="19">
        <v>2</v>
      </c>
      <c r="M63" s="19">
        <v>4</v>
      </c>
      <c r="N63" s="19">
        <v>2</v>
      </c>
      <c r="O63" s="6">
        <f>IF(INDEX('Path Scorecard'!$X$5:$X$80,MATCH($A63,'Path Scorecard'!$A$5:$A$80,0))="",3,INDEX('Path Scorecard'!$X$5:$X$80,MATCH($A63,'Path Scorecard'!$A$5:$A$80,0)))</f>
        <v>2</v>
      </c>
      <c r="P63" s="25">
        <f>(L63*'Hero Criteria'!$D$27+M63*'Hero Criteria'!$D$28+N63*'Hero Criteria'!$D$29+O63*'Hero Criteria'!$D$30)/(5*'Hero Criteria'!$D$31)*100</f>
        <v>50</v>
      </c>
      <c r="Q63" s="14" t="str">
        <f>IF(K63&gt;='Hero Criteria'!$C$35,"Hero",IF(P63&gt;='Hero Criteria'!$C$36,"Probable Hero","Non-Hero"))</f>
        <v>Non-Hero</v>
      </c>
      <c r="R63" s="14" t="str">
        <f>IF(Q63="Hero",IF(INDEX('Path Scorecard'!$T$5:$T$80,MATCH($A63,'Path Scorecard'!$A$5:$A$80,0))&lt;='Hero Criteria'!$C$37,"PROTECT","EXTEND"),IF(Q63="Probable Hero","BUILD","EXPLORE"))</f>
        <v>EXPLORE</v>
      </c>
      <c r="S63" s="6" t="str">
        <f>INDEX('Path Scorecard'!$AB$5:$AB$80,MATCH($A63,'Path Scorecard'!$A$5:$A$80,0))</f>
        <v>Backlog</v>
      </c>
      <c r="T63" s="10"/>
      <c r="V63" s="26" t="e">
        <f t="shared" si="6"/>
        <v>#N/A</v>
      </c>
      <c r="W63" s="26" t="e">
        <f t="shared" si="7"/>
        <v>#N/A</v>
      </c>
      <c r="X63" s="26" t="e">
        <f t="shared" si="8"/>
        <v>#N/A</v>
      </c>
      <c r="Y63" s="26" t="e">
        <f t="shared" si="9"/>
        <v>#N/A</v>
      </c>
      <c r="Z63" s="26">
        <f t="shared" si="10"/>
        <v>38</v>
      </c>
      <c r="AA63" s="26">
        <f t="shared" si="11"/>
        <v>50</v>
      </c>
    </row>
    <row r="64" spans="1:27" x14ac:dyDescent="0.3">
      <c r="A64" s="6" t="s">
        <v>1146</v>
      </c>
      <c r="B64" s="8" t="s">
        <v>1147</v>
      </c>
      <c r="C64" s="10" t="s">
        <v>916</v>
      </c>
      <c r="D64" s="10" t="s">
        <v>1290</v>
      </c>
      <c r="E64" s="15">
        <v>639</v>
      </c>
      <c r="F64" s="6" t="s">
        <v>1238</v>
      </c>
      <c r="G64" s="6">
        <f>IF(E64&gt;='Hero Criteria'!$C$42,5,IF(E64&gt;='Hero Criteria'!$C$43,4,IF(E64&gt;='Hero Criteria'!$C$44,3,IF(E64&gt;='Hero Criteria'!$C$45,2,1))))</f>
        <v>4</v>
      </c>
      <c r="H64" s="6">
        <f>IF(F64="Yes",'Hero Criteria'!$C$46,'Hero Criteria'!$C$47)</f>
        <v>5</v>
      </c>
      <c r="I64" s="19">
        <v>3</v>
      </c>
      <c r="J64" s="19">
        <v>4</v>
      </c>
      <c r="K64" s="25">
        <f>(G64*'Hero Criteria'!$D$19+H64*'Hero Criteria'!$D$20+I64*'Hero Criteria'!$D$21+J64*'Hero Criteria'!$D$22)/(5*'Hero Criteria'!$D$23)*100</f>
        <v>78</v>
      </c>
      <c r="L64" s="19">
        <v>2</v>
      </c>
      <c r="M64" s="19">
        <v>3</v>
      </c>
      <c r="N64" s="19">
        <v>3</v>
      </c>
      <c r="O64" s="6">
        <f>IF(INDEX('Path Scorecard'!$X$5:$X$80,MATCH($A64,'Path Scorecard'!$A$5:$A$80,0))="",3,INDEX('Path Scorecard'!$X$5:$X$80,MATCH($A64,'Path Scorecard'!$A$5:$A$80,0)))</f>
        <v>2</v>
      </c>
      <c r="P64" s="25">
        <f>(L64*'Hero Criteria'!$D$27+M64*'Hero Criteria'!$D$28+N64*'Hero Criteria'!$D$29+O64*'Hero Criteria'!$D$30)/(5*'Hero Criteria'!$D$31)*100</f>
        <v>50</v>
      </c>
      <c r="Q64" s="14" t="str">
        <f>IF(K64&gt;='Hero Criteria'!$C$35,"Hero",IF(P64&gt;='Hero Criteria'!$C$36,"Probable Hero","Non-Hero"))</f>
        <v>Hero</v>
      </c>
      <c r="R64" s="14" t="str">
        <f>IF(Q64="Hero",IF(INDEX('Path Scorecard'!$T$5:$T$80,MATCH($A64,'Path Scorecard'!$A$5:$A$80,0))&lt;='Hero Criteria'!$C$37,"PROTECT","EXTEND"),IF(Q64="Probable Hero","BUILD","EXPLORE"))</f>
        <v>EXTEND</v>
      </c>
      <c r="S64" s="6" t="str">
        <f>INDEX('Path Scorecard'!$AB$5:$AB$80,MATCH($A64,'Path Scorecard'!$A$5:$A$80,0))</f>
        <v>Backlog</v>
      </c>
      <c r="T64" s="10"/>
      <c r="V64" s="26">
        <f t="shared" si="6"/>
        <v>78</v>
      </c>
      <c r="W64" s="26">
        <f t="shared" si="7"/>
        <v>50</v>
      </c>
      <c r="X64" s="26" t="e">
        <f t="shared" si="8"/>
        <v>#N/A</v>
      </c>
      <c r="Y64" s="26" t="e">
        <f t="shared" si="9"/>
        <v>#N/A</v>
      </c>
      <c r="Z64" s="26" t="e">
        <f t="shared" si="10"/>
        <v>#N/A</v>
      </c>
      <c r="AA64" s="26" t="e">
        <f t="shared" si="11"/>
        <v>#N/A</v>
      </c>
    </row>
    <row r="65" spans="1:27" ht="26.4" x14ac:dyDescent="0.3">
      <c r="A65" s="6" t="s">
        <v>1153</v>
      </c>
      <c r="B65" s="8" t="s">
        <v>1154</v>
      </c>
      <c r="C65" s="10" t="s">
        <v>916</v>
      </c>
      <c r="D65" s="10" t="s">
        <v>1270</v>
      </c>
      <c r="E65" s="15">
        <v>139</v>
      </c>
      <c r="F65" s="6" t="s">
        <v>1238</v>
      </c>
      <c r="G65" s="6">
        <f>IF(E65&gt;='Hero Criteria'!$C$42,5,IF(E65&gt;='Hero Criteria'!$C$43,4,IF(E65&gt;='Hero Criteria'!$C$44,3,IF(E65&gt;='Hero Criteria'!$C$45,2,1))))</f>
        <v>2</v>
      </c>
      <c r="H65" s="6">
        <f>IF(F65="Yes",'Hero Criteria'!$C$46,'Hero Criteria'!$C$47)</f>
        <v>5</v>
      </c>
      <c r="I65" s="19">
        <v>3</v>
      </c>
      <c r="J65" s="19">
        <v>3</v>
      </c>
      <c r="K65" s="25">
        <f>(G65*'Hero Criteria'!$D$19+H65*'Hero Criteria'!$D$20+I65*'Hero Criteria'!$D$21+J65*'Hero Criteria'!$D$22)/(5*'Hero Criteria'!$D$23)*100</f>
        <v>60</v>
      </c>
      <c r="L65" s="19">
        <v>3</v>
      </c>
      <c r="M65" s="19">
        <v>4</v>
      </c>
      <c r="N65" s="19">
        <v>4</v>
      </c>
      <c r="O65" s="6">
        <f>IF(INDEX('Path Scorecard'!$X$5:$X$80,MATCH($A65,'Path Scorecard'!$A$5:$A$80,0))="",3,INDEX('Path Scorecard'!$X$5:$X$80,MATCH($A65,'Path Scorecard'!$A$5:$A$80,0)))</f>
        <v>2</v>
      </c>
      <c r="P65" s="25">
        <f>(L65*'Hero Criteria'!$D$27+M65*'Hero Criteria'!$D$28+N65*'Hero Criteria'!$D$29+O65*'Hero Criteria'!$D$30)/(5*'Hero Criteria'!$D$31)*100</f>
        <v>67</v>
      </c>
      <c r="Q65" s="14" t="str">
        <f>IF(K65&gt;='Hero Criteria'!$C$35,"Hero",IF(P65&gt;='Hero Criteria'!$C$36,"Probable Hero","Non-Hero"))</f>
        <v>Probable Hero</v>
      </c>
      <c r="R65" s="14" t="str">
        <f>IF(Q65="Hero",IF(INDEX('Path Scorecard'!$T$5:$T$80,MATCH($A65,'Path Scorecard'!$A$5:$A$80,0))&lt;='Hero Criteria'!$C$37,"PROTECT","EXTEND"),IF(Q65="Probable Hero","BUILD","EXPLORE"))</f>
        <v>BUILD</v>
      </c>
      <c r="S65" s="6" t="str">
        <f>INDEX('Path Scorecard'!$AB$5:$AB$80,MATCH($A65,'Path Scorecard'!$A$5:$A$80,0))</f>
        <v>Backlog</v>
      </c>
      <c r="T65" s="10"/>
      <c r="V65" s="26" t="e">
        <f t="shared" si="6"/>
        <v>#N/A</v>
      </c>
      <c r="W65" s="26" t="e">
        <f t="shared" si="7"/>
        <v>#N/A</v>
      </c>
      <c r="X65" s="26">
        <f t="shared" si="8"/>
        <v>60</v>
      </c>
      <c r="Y65" s="26">
        <f t="shared" si="9"/>
        <v>67</v>
      </c>
      <c r="Z65" s="26" t="e">
        <f t="shared" si="10"/>
        <v>#N/A</v>
      </c>
      <c r="AA65" s="26" t="e">
        <f t="shared" si="11"/>
        <v>#N/A</v>
      </c>
    </row>
    <row r="66" spans="1:27" ht="26.4" x14ac:dyDescent="0.3">
      <c r="A66" s="6" t="s">
        <v>1158</v>
      </c>
      <c r="B66" s="8" t="s">
        <v>1159</v>
      </c>
      <c r="C66" s="10" t="s">
        <v>916</v>
      </c>
      <c r="D66" s="10" t="s">
        <v>1264</v>
      </c>
      <c r="E66" s="15">
        <v>745</v>
      </c>
      <c r="F66" s="6" t="s">
        <v>1238</v>
      </c>
      <c r="G66" s="6">
        <f>IF(E66&gt;='Hero Criteria'!$C$42,5,IF(E66&gt;='Hero Criteria'!$C$43,4,IF(E66&gt;='Hero Criteria'!$C$44,3,IF(E66&gt;='Hero Criteria'!$C$45,2,1))))</f>
        <v>4</v>
      </c>
      <c r="H66" s="6">
        <f>IF(F66="Yes",'Hero Criteria'!$C$46,'Hero Criteria'!$C$47)</f>
        <v>5</v>
      </c>
      <c r="I66" s="19">
        <v>4</v>
      </c>
      <c r="J66" s="19">
        <v>5</v>
      </c>
      <c r="K66" s="25">
        <f>(G66*'Hero Criteria'!$D$19+H66*'Hero Criteria'!$D$20+I66*'Hero Criteria'!$D$21+J66*'Hero Criteria'!$D$22)/(5*'Hero Criteria'!$D$23)*100</f>
        <v>89</v>
      </c>
      <c r="L66" s="19">
        <v>2</v>
      </c>
      <c r="M66" s="19">
        <v>3</v>
      </c>
      <c r="N66" s="19">
        <v>4</v>
      </c>
      <c r="O66" s="6">
        <f>IF(INDEX('Path Scorecard'!$X$5:$X$80,MATCH($A66,'Path Scorecard'!$A$5:$A$80,0))="",3,INDEX('Path Scorecard'!$X$5:$X$80,MATCH($A66,'Path Scorecard'!$A$5:$A$80,0)))</f>
        <v>3</v>
      </c>
      <c r="P66" s="25">
        <f>(L66*'Hero Criteria'!$D$27+M66*'Hero Criteria'!$D$28+N66*'Hero Criteria'!$D$29+O66*'Hero Criteria'!$D$30)/(5*'Hero Criteria'!$D$31)*100</f>
        <v>57.999999999999993</v>
      </c>
      <c r="Q66" s="14" t="str">
        <f>IF(K66&gt;='Hero Criteria'!$C$35,"Hero",IF(P66&gt;='Hero Criteria'!$C$36,"Probable Hero","Non-Hero"))</f>
        <v>Hero</v>
      </c>
      <c r="R66" s="14" t="str">
        <f>IF(Q66="Hero",IF(INDEX('Path Scorecard'!$T$5:$T$80,MATCH($A66,'Path Scorecard'!$A$5:$A$80,0))&lt;='Hero Criteria'!$C$37,"PROTECT","EXTEND"),IF(Q66="Probable Hero","BUILD","EXPLORE"))</f>
        <v>PROTECT</v>
      </c>
      <c r="S66" s="6" t="str">
        <f>INDEX('Path Scorecard'!$AB$5:$AB$80,MATCH($A66,'Path Scorecard'!$A$5:$A$80,0))</f>
        <v>Protect (control)</v>
      </c>
      <c r="T66" s="10"/>
      <c r="V66" s="26">
        <f t="shared" si="6"/>
        <v>89</v>
      </c>
      <c r="W66" s="26">
        <f t="shared" si="7"/>
        <v>57.999999999999993</v>
      </c>
      <c r="X66" s="26" t="e">
        <f t="shared" si="8"/>
        <v>#N/A</v>
      </c>
      <c r="Y66" s="26" t="e">
        <f t="shared" si="9"/>
        <v>#N/A</v>
      </c>
      <c r="Z66" s="26" t="e">
        <f t="shared" si="10"/>
        <v>#N/A</v>
      </c>
      <c r="AA66" s="26" t="e">
        <f t="shared" si="11"/>
        <v>#N/A</v>
      </c>
    </row>
    <row r="67" spans="1:27" x14ac:dyDescent="0.3">
      <c r="A67" s="6" t="s">
        <v>728</v>
      </c>
      <c r="B67" s="8" t="s">
        <v>729</v>
      </c>
      <c r="C67" s="10" t="s">
        <v>925</v>
      </c>
      <c r="D67" s="10" t="s">
        <v>641</v>
      </c>
      <c r="E67" s="15">
        <v>147</v>
      </c>
      <c r="F67" s="6" t="s">
        <v>1238</v>
      </c>
      <c r="G67" s="6">
        <f>IF(E67&gt;='Hero Criteria'!$C$42,5,IF(E67&gt;='Hero Criteria'!$C$43,4,IF(E67&gt;='Hero Criteria'!$C$44,3,IF(E67&gt;='Hero Criteria'!$C$45,2,1))))</f>
        <v>2</v>
      </c>
      <c r="H67" s="6">
        <f>IF(F67="Yes",'Hero Criteria'!$C$46,'Hero Criteria'!$C$47)</f>
        <v>5</v>
      </c>
      <c r="I67" s="19">
        <v>2</v>
      </c>
      <c r="J67" s="19">
        <v>2</v>
      </c>
      <c r="K67" s="25">
        <f>(G67*'Hero Criteria'!$D$19+H67*'Hero Criteria'!$D$20+I67*'Hero Criteria'!$D$21+J67*'Hero Criteria'!$D$22)/(5*'Hero Criteria'!$D$23)*100</f>
        <v>49</v>
      </c>
      <c r="L67" s="19">
        <v>2</v>
      </c>
      <c r="M67" s="19">
        <v>3</v>
      </c>
      <c r="N67" s="19">
        <v>2</v>
      </c>
      <c r="O67" s="6">
        <f>IF(INDEX('Path Scorecard'!$X$5:$X$80,MATCH($A67,'Path Scorecard'!$A$5:$A$80,0))="",3,INDEX('Path Scorecard'!$X$5:$X$80,MATCH($A67,'Path Scorecard'!$A$5:$A$80,0)))</f>
        <v>4</v>
      </c>
      <c r="P67" s="25">
        <f>(L67*'Hero Criteria'!$D$27+M67*'Hero Criteria'!$D$28+N67*'Hero Criteria'!$D$29+O67*'Hero Criteria'!$D$30)/(5*'Hero Criteria'!$D$31)*100</f>
        <v>51</v>
      </c>
      <c r="Q67" s="14" t="str">
        <f>IF(K67&gt;='Hero Criteria'!$C$35,"Hero",IF(P67&gt;='Hero Criteria'!$C$36,"Probable Hero","Non-Hero"))</f>
        <v>Non-Hero</v>
      </c>
      <c r="R67" s="14" t="str">
        <f>IF(Q67="Hero",IF(INDEX('Path Scorecard'!$T$5:$T$80,MATCH($A67,'Path Scorecard'!$A$5:$A$80,0))&lt;='Hero Criteria'!$C$37,"PROTECT","EXTEND"),IF(Q67="Probable Hero","BUILD","EXPLORE"))</f>
        <v>EXPLORE</v>
      </c>
      <c r="S67" s="6" t="str">
        <f>INDEX('Path Scorecard'!$AB$5:$AB$80,MATCH($A67,'Path Scorecard'!$A$5:$A$80,0))</f>
        <v>Backlog</v>
      </c>
      <c r="T67" s="10"/>
      <c r="V67" s="26" t="e">
        <f t="shared" si="6"/>
        <v>#N/A</v>
      </c>
      <c r="W67" s="26" t="e">
        <f t="shared" si="7"/>
        <v>#N/A</v>
      </c>
      <c r="X67" s="26" t="e">
        <f t="shared" si="8"/>
        <v>#N/A</v>
      </c>
      <c r="Y67" s="26" t="e">
        <f t="shared" si="9"/>
        <v>#N/A</v>
      </c>
      <c r="Z67" s="26">
        <f t="shared" si="10"/>
        <v>49</v>
      </c>
      <c r="AA67" s="26">
        <f t="shared" si="11"/>
        <v>51</v>
      </c>
    </row>
    <row r="68" spans="1:27" ht="26.4" x14ac:dyDescent="0.3">
      <c r="A68" s="6" t="s">
        <v>1165</v>
      </c>
      <c r="B68" s="8" t="s">
        <v>1166</v>
      </c>
      <c r="C68" s="10" t="s">
        <v>916</v>
      </c>
      <c r="D68" s="10" t="s">
        <v>1261</v>
      </c>
      <c r="E68" s="15">
        <v>42</v>
      </c>
      <c r="F68" s="6" t="s">
        <v>1238</v>
      </c>
      <c r="G68" s="6">
        <f>IF(E68&gt;='Hero Criteria'!$C$42,5,IF(E68&gt;='Hero Criteria'!$C$43,4,IF(E68&gt;='Hero Criteria'!$C$44,3,IF(E68&gt;='Hero Criteria'!$C$45,2,1))))</f>
        <v>1</v>
      </c>
      <c r="H68" s="6">
        <f>IF(F68="Yes",'Hero Criteria'!$C$46,'Hero Criteria'!$C$47)</f>
        <v>5</v>
      </c>
      <c r="I68" s="19">
        <v>1</v>
      </c>
      <c r="J68" s="19">
        <v>1</v>
      </c>
      <c r="K68" s="25">
        <f>(G68*'Hero Criteria'!$D$19+H68*'Hero Criteria'!$D$20+I68*'Hero Criteria'!$D$21+J68*'Hero Criteria'!$D$22)/(5*'Hero Criteria'!$D$23)*100</f>
        <v>32</v>
      </c>
      <c r="L68" s="19">
        <v>2</v>
      </c>
      <c r="M68" s="19">
        <v>4</v>
      </c>
      <c r="N68" s="19">
        <v>2</v>
      </c>
      <c r="O68" s="6">
        <f>IF(INDEX('Path Scorecard'!$X$5:$X$80,MATCH($A68,'Path Scorecard'!$A$5:$A$80,0))="",3,INDEX('Path Scorecard'!$X$5:$X$80,MATCH($A68,'Path Scorecard'!$A$5:$A$80,0)))</f>
        <v>2</v>
      </c>
      <c r="P68" s="25">
        <f>(L68*'Hero Criteria'!$D$27+M68*'Hero Criteria'!$D$28+N68*'Hero Criteria'!$D$29+O68*'Hero Criteria'!$D$30)/(5*'Hero Criteria'!$D$31)*100</f>
        <v>50</v>
      </c>
      <c r="Q68" s="14" t="str">
        <f>IF(K68&gt;='Hero Criteria'!$C$35,"Hero",IF(P68&gt;='Hero Criteria'!$C$36,"Probable Hero","Non-Hero"))</f>
        <v>Non-Hero</v>
      </c>
      <c r="R68" s="14" t="str">
        <f>IF(Q68="Hero",IF(INDEX('Path Scorecard'!$T$5:$T$80,MATCH($A68,'Path Scorecard'!$A$5:$A$80,0))&lt;='Hero Criteria'!$C$37,"PROTECT","EXTEND"),IF(Q68="Probable Hero","BUILD","EXPLORE"))</f>
        <v>EXPLORE</v>
      </c>
      <c r="S68" s="6" t="str">
        <f>INDEX('Path Scorecard'!$AB$5:$AB$80,MATCH($A68,'Path Scorecard'!$A$5:$A$80,0))</f>
        <v>Backlog</v>
      </c>
      <c r="T68" s="10"/>
      <c r="V68" s="26" t="e">
        <f t="shared" si="6"/>
        <v>#N/A</v>
      </c>
      <c r="W68" s="26" t="e">
        <f t="shared" si="7"/>
        <v>#N/A</v>
      </c>
      <c r="X68" s="26" t="e">
        <f t="shared" si="8"/>
        <v>#N/A</v>
      </c>
      <c r="Y68" s="26" t="e">
        <f t="shared" si="9"/>
        <v>#N/A</v>
      </c>
      <c r="Z68" s="26">
        <f t="shared" si="10"/>
        <v>32</v>
      </c>
      <c r="AA68" s="26">
        <f t="shared" si="11"/>
        <v>50</v>
      </c>
    </row>
    <row r="69" spans="1:27" x14ac:dyDescent="0.3">
      <c r="A69" s="6" t="s">
        <v>1170</v>
      </c>
      <c r="B69" s="8" t="s">
        <v>1171</v>
      </c>
      <c r="C69" s="10" t="s">
        <v>916</v>
      </c>
      <c r="D69" s="10" t="s">
        <v>1291</v>
      </c>
      <c r="E69" s="15">
        <v>91</v>
      </c>
      <c r="F69" s="6" t="s">
        <v>1238</v>
      </c>
      <c r="G69" s="6">
        <f>IF(E69&gt;='Hero Criteria'!$C$42,5,IF(E69&gt;='Hero Criteria'!$C$43,4,IF(E69&gt;='Hero Criteria'!$C$44,3,IF(E69&gt;='Hero Criteria'!$C$45,2,1))))</f>
        <v>2</v>
      </c>
      <c r="H69" s="6">
        <f>IF(F69="Yes",'Hero Criteria'!$C$46,'Hero Criteria'!$C$47)</f>
        <v>5</v>
      </c>
      <c r="I69" s="19">
        <v>2</v>
      </c>
      <c r="J69" s="19">
        <v>2</v>
      </c>
      <c r="K69" s="25">
        <f>(G69*'Hero Criteria'!$D$19+H69*'Hero Criteria'!$D$20+I69*'Hero Criteria'!$D$21+J69*'Hero Criteria'!$D$22)/(5*'Hero Criteria'!$D$23)*100</f>
        <v>49</v>
      </c>
      <c r="L69" s="19">
        <v>3</v>
      </c>
      <c r="M69" s="19">
        <v>4</v>
      </c>
      <c r="N69" s="19">
        <v>3</v>
      </c>
      <c r="O69" s="6">
        <f>IF(INDEX('Path Scorecard'!$X$5:$X$80,MATCH($A69,'Path Scorecard'!$A$5:$A$80,0))="",3,INDEX('Path Scorecard'!$X$5:$X$80,MATCH($A69,'Path Scorecard'!$A$5:$A$80,0)))</f>
        <v>2</v>
      </c>
      <c r="P69" s="25">
        <f>(L69*'Hero Criteria'!$D$27+M69*'Hero Criteria'!$D$28+N69*'Hero Criteria'!$D$29+O69*'Hero Criteria'!$D$30)/(5*'Hero Criteria'!$D$31)*100</f>
        <v>62</v>
      </c>
      <c r="Q69" s="14" t="str">
        <f>IF(K69&gt;='Hero Criteria'!$C$35,"Hero",IF(P69&gt;='Hero Criteria'!$C$36,"Probable Hero","Non-Hero"))</f>
        <v>Non-Hero</v>
      </c>
      <c r="R69" s="14" t="str">
        <f>IF(Q69="Hero",IF(INDEX('Path Scorecard'!$T$5:$T$80,MATCH($A69,'Path Scorecard'!$A$5:$A$80,0))&lt;='Hero Criteria'!$C$37,"PROTECT","EXTEND"),IF(Q69="Probable Hero","BUILD","EXPLORE"))</f>
        <v>EXPLORE</v>
      </c>
      <c r="S69" s="6" t="str">
        <f>INDEX('Path Scorecard'!$AB$5:$AB$80,MATCH($A69,'Path Scorecard'!$A$5:$A$80,0))</f>
        <v>Backlog</v>
      </c>
      <c r="T69" s="10"/>
      <c r="V69" s="26" t="e">
        <f t="shared" ref="V69:V80" si="12">IF(AND($Q69="Hero",$S69&lt;&gt;"Parked (gate)"),K69,NA())</f>
        <v>#N/A</v>
      </c>
      <c r="W69" s="26" t="e">
        <f t="shared" ref="W69:W80" si="13">IF(AND($Q69="Hero",$S69&lt;&gt;"Parked (gate)"),P69,NA())</f>
        <v>#N/A</v>
      </c>
      <c r="X69" s="26" t="e">
        <f t="shared" ref="X69:X80" si="14">IF(AND($Q69="Probable Hero",$S69&lt;&gt;"Parked (gate)"),K69,NA())</f>
        <v>#N/A</v>
      </c>
      <c r="Y69" s="26" t="e">
        <f t="shared" ref="Y69:Y80" si="15">IF(AND($Q69="Probable Hero",$S69&lt;&gt;"Parked (gate)"),P69,NA())</f>
        <v>#N/A</v>
      </c>
      <c r="Z69" s="26">
        <f t="shared" ref="Z69:Z80" si="16">IF(AND($Q69="Non-Hero",$S69&lt;&gt;"Parked (gate)"),K69,NA())</f>
        <v>49</v>
      </c>
      <c r="AA69" s="26">
        <f t="shared" ref="AA69:AA80" si="17">IF(AND($Q69="Non-Hero",$S69&lt;&gt;"Parked (gate)"),P69,NA())</f>
        <v>62</v>
      </c>
    </row>
    <row r="70" spans="1:27" x14ac:dyDescent="0.3">
      <c r="A70" s="6" t="s">
        <v>739</v>
      </c>
      <c r="B70" s="8" t="s">
        <v>740</v>
      </c>
      <c r="C70" s="10" t="s">
        <v>958</v>
      </c>
      <c r="D70" s="10" t="s">
        <v>648</v>
      </c>
      <c r="E70" s="15">
        <v>77</v>
      </c>
      <c r="F70" s="6" t="s">
        <v>1238</v>
      </c>
      <c r="G70" s="6">
        <f>IF(E70&gt;='Hero Criteria'!$C$42,5,IF(E70&gt;='Hero Criteria'!$C$43,4,IF(E70&gt;='Hero Criteria'!$C$44,3,IF(E70&gt;='Hero Criteria'!$C$45,2,1))))</f>
        <v>2</v>
      </c>
      <c r="H70" s="6">
        <f>IF(F70="Yes",'Hero Criteria'!$C$46,'Hero Criteria'!$C$47)</f>
        <v>5</v>
      </c>
      <c r="I70" s="19">
        <v>2</v>
      </c>
      <c r="J70" s="19">
        <v>3</v>
      </c>
      <c r="K70" s="25">
        <f>(G70*'Hero Criteria'!$D$19+H70*'Hero Criteria'!$D$20+I70*'Hero Criteria'!$D$21+J70*'Hero Criteria'!$D$22)/(5*'Hero Criteria'!$D$23)*100</f>
        <v>55.000000000000007</v>
      </c>
      <c r="L70" s="19">
        <v>1</v>
      </c>
      <c r="M70" s="19">
        <v>2</v>
      </c>
      <c r="N70" s="19">
        <v>1</v>
      </c>
      <c r="O70" s="6">
        <f>IF(INDEX('Path Scorecard'!$X$5:$X$80,MATCH($A70,'Path Scorecard'!$A$5:$A$80,0))="",3,INDEX('Path Scorecard'!$X$5:$X$80,MATCH($A70,'Path Scorecard'!$A$5:$A$80,0)))</f>
        <v>2</v>
      </c>
      <c r="P70" s="25">
        <f>(L70*'Hero Criteria'!$D$27+M70*'Hero Criteria'!$D$28+N70*'Hero Criteria'!$D$29+O70*'Hero Criteria'!$D$30)/(5*'Hero Criteria'!$D$31)*100</f>
        <v>28.000000000000004</v>
      </c>
      <c r="Q70" s="14" t="str">
        <f>IF(K70&gt;='Hero Criteria'!$C$35,"Hero",IF(P70&gt;='Hero Criteria'!$C$36,"Probable Hero","Non-Hero"))</f>
        <v>Non-Hero</v>
      </c>
      <c r="R70" s="14" t="str">
        <f>IF(Q70="Hero",IF(INDEX('Path Scorecard'!$T$5:$T$80,MATCH($A70,'Path Scorecard'!$A$5:$A$80,0))&lt;='Hero Criteria'!$C$37,"PROTECT","EXTEND"),IF(Q70="Probable Hero","BUILD","EXPLORE"))</f>
        <v>EXPLORE</v>
      </c>
      <c r="S70" s="6" t="str">
        <f>INDEX('Path Scorecard'!$AB$5:$AB$80,MATCH($A70,'Path Scorecard'!$A$5:$A$80,0))</f>
        <v>Backlog</v>
      </c>
      <c r="T70" s="10"/>
      <c r="V70" s="26" t="e">
        <f t="shared" si="12"/>
        <v>#N/A</v>
      </c>
      <c r="W70" s="26" t="e">
        <f t="shared" si="13"/>
        <v>#N/A</v>
      </c>
      <c r="X70" s="26" t="e">
        <f t="shared" si="14"/>
        <v>#N/A</v>
      </c>
      <c r="Y70" s="26" t="e">
        <f t="shared" si="15"/>
        <v>#N/A</v>
      </c>
      <c r="Z70" s="26">
        <f t="shared" si="16"/>
        <v>55.000000000000007</v>
      </c>
      <c r="AA70" s="26">
        <f t="shared" si="17"/>
        <v>28.000000000000004</v>
      </c>
    </row>
    <row r="71" spans="1:27" x14ac:dyDescent="0.3">
      <c r="A71" s="6" t="s">
        <v>731</v>
      </c>
      <c r="B71" s="8" t="s">
        <v>732</v>
      </c>
      <c r="C71" s="10" t="s">
        <v>925</v>
      </c>
      <c r="D71" s="10" t="s">
        <v>641</v>
      </c>
      <c r="E71" s="15">
        <v>87</v>
      </c>
      <c r="F71" s="6" t="s">
        <v>1238</v>
      </c>
      <c r="G71" s="6">
        <f>IF(E71&gt;='Hero Criteria'!$C$42,5,IF(E71&gt;='Hero Criteria'!$C$43,4,IF(E71&gt;='Hero Criteria'!$C$44,3,IF(E71&gt;='Hero Criteria'!$C$45,2,1))))</f>
        <v>2</v>
      </c>
      <c r="H71" s="6">
        <f>IF(F71="Yes",'Hero Criteria'!$C$46,'Hero Criteria'!$C$47)</f>
        <v>5</v>
      </c>
      <c r="I71" s="19">
        <v>2</v>
      </c>
      <c r="J71" s="19">
        <v>2</v>
      </c>
      <c r="K71" s="25">
        <f>(G71*'Hero Criteria'!$D$19+H71*'Hero Criteria'!$D$20+I71*'Hero Criteria'!$D$21+J71*'Hero Criteria'!$D$22)/(5*'Hero Criteria'!$D$23)*100</f>
        <v>49</v>
      </c>
      <c r="L71" s="19">
        <v>3</v>
      </c>
      <c r="M71" s="19">
        <v>4</v>
      </c>
      <c r="N71" s="19">
        <v>3</v>
      </c>
      <c r="O71" s="6">
        <f>IF(INDEX('Path Scorecard'!$X$5:$X$80,MATCH($A71,'Path Scorecard'!$A$5:$A$80,0))="",3,INDEX('Path Scorecard'!$X$5:$X$80,MATCH($A71,'Path Scorecard'!$A$5:$A$80,0)))</f>
        <v>2</v>
      </c>
      <c r="P71" s="25">
        <f>(L71*'Hero Criteria'!$D$27+M71*'Hero Criteria'!$D$28+N71*'Hero Criteria'!$D$29+O71*'Hero Criteria'!$D$30)/(5*'Hero Criteria'!$D$31)*100</f>
        <v>62</v>
      </c>
      <c r="Q71" s="14" t="str">
        <f>IF(K71&gt;='Hero Criteria'!$C$35,"Hero",IF(P71&gt;='Hero Criteria'!$C$36,"Probable Hero","Non-Hero"))</f>
        <v>Non-Hero</v>
      </c>
      <c r="R71" s="14" t="str">
        <f>IF(Q71="Hero",IF(INDEX('Path Scorecard'!$T$5:$T$80,MATCH($A71,'Path Scorecard'!$A$5:$A$80,0))&lt;='Hero Criteria'!$C$37,"PROTECT","EXTEND"),IF(Q71="Probable Hero","BUILD","EXPLORE"))</f>
        <v>EXPLORE</v>
      </c>
      <c r="S71" s="6" t="str">
        <f>INDEX('Path Scorecard'!$AB$5:$AB$80,MATCH($A71,'Path Scorecard'!$A$5:$A$80,0))</f>
        <v>Backlog</v>
      </c>
      <c r="T71" s="10"/>
      <c r="V71" s="26" t="e">
        <f t="shared" si="12"/>
        <v>#N/A</v>
      </c>
      <c r="W71" s="26" t="e">
        <f t="shared" si="13"/>
        <v>#N/A</v>
      </c>
      <c r="X71" s="26" t="e">
        <f t="shared" si="14"/>
        <v>#N/A</v>
      </c>
      <c r="Y71" s="26" t="e">
        <f t="shared" si="15"/>
        <v>#N/A</v>
      </c>
      <c r="Z71" s="26">
        <f t="shared" si="16"/>
        <v>49</v>
      </c>
      <c r="AA71" s="26">
        <f t="shared" si="17"/>
        <v>62</v>
      </c>
    </row>
    <row r="72" spans="1:27" ht="26.4" x14ac:dyDescent="0.3">
      <c r="A72" s="6" t="s">
        <v>749</v>
      </c>
      <c r="B72" s="8" t="s">
        <v>750</v>
      </c>
      <c r="C72" s="10" t="s">
        <v>1181</v>
      </c>
      <c r="D72" s="10" t="s">
        <v>750</v>
      </c>
      <c r="E72" s="15">
        <v>804</v>
      </c>
      <c r="F72" s="6" t="s">
        <v>1249</v>
      </c>
      <c r="G72" s="6">
        <f>IF(E72&gt;='Hero Criteria'!$C$42,5,IF(E72&gt;='Hero Criteria'!$C$43,4,IF(E72&gt;='Hero Criteria'!$C$44,3,IF(E72&gt;='Hero Criteria'!$C$45,2,1))))</f>
        <v>4</v>
      </c>
      <c r="H72" s="6">
        <f>IF(F72="Yes",'Hero Criteria'!$C$46,'Hero Criteria'!$C$47)</f>
        <v>2</v>
      </c>
      <c r="I72" s="19">
        <v>1</v>
      </c>
      <c r="J72" s="19">
        <v>1</v>
      </c>
      <c r="K72" s="25">
        <f>(G72*'Hero Criteria'!$D$19+H72*'Hero Criteria'!$D$20+I72*'Hero Criteria'!$D$21+J72*'Hero Criteria'!$D$22)/(5*'Hero Criteria'!$D$23)*100</f>
        <v>41</v>
      </c>
      <c r="L72" s="19">
        <v>3</v>
      </c>
      <c r="M72" s="19">
        <v>5</v>
      </c>
      <c r="N72" s="19">
        <v>4</v>
      </c>
      <c r="O72" s="6">
        <f>IF(INDEX('Path Scorecard'!$X$5:$X$80,MATCH($A72,'Path Scorecard'!$A$5:$A$80,0))="",3,INDEX('Path Scorecard'!$X$5:$X$80,MATCH($A72,'Path Scorecard'!$A$5:$A$80,0)))</f>
        <v>3</v>
      </c>
      <c r="P72" s="25">
        <f>(L72*'Hero Criteria'!$D$27+M72*'Hero Criteria'!$D$28+N72*'Hero Criteria'!$D$29+O72*'Hero Criteria'!$D$30)/(5*'Hero Criteria'!$D$31)*100</f>
        <v>75</v>
      </c>
      <c r="Q72" s="14" t="str">
        <f>IF(K72&gt;='Hero Criteria'!$C$35,"Hero",IF(P72&gt;='Hero Criteria'!$C$36,"Probable Hero","Non-Hero"))</f>
        <v>Probable Hero</v>
      </c>
      <c r="R72" s="14" t="str">
        <f>IF(Q72="Hero",IF(INDEX('Path Scorecard'!$T$5:$T$80,MATCH($A72,'Path Scorecard'!$A$5:$A$80,0))&lt;='Hero Criteria'!$C$37,"PROTECT","EXTEND"),IF(Q72="Probable Hero","BUILD","EXPLORE"))</f>
        <v>BUILD</v>
      </c>
      <c r="S72" s="6" t="str">
        <f>INDEX('Path Scorecard'!$AB$5:$AB$80,MATCH($A72,'Path Scorecard'!$A$5:$A$80,0))</f>
        <v>Parked (gate)</v>
      </c>
      <c r="T72" s="10"/>
      <c r="V72" s="26" t="e">
        <f t="shared" si="12"/>
        <v>#N/A</v>
      </c>
      <c r="W72" s="26" t="e">
        <f t="shared" si="13"/>
        <v>#N/A</v>
      </c>
      <c r="X72" s="26" t="e">
        <f t="shared" si="14"/>
        <v>#N/A</v>
      </c>
      <c r="Y72" s="26" t="e">
        <f t="shared" si="15"/>
        <v>#N/A</v>
      </c>
      <c r="Z72" s="26" t="e">
        <f t="shared" si="16"/>
        <v>#N/A</v>
      </c>
      <c r="AA72" s="26" t="e">
        <f t="shared" si="17"/>
        <v>#N/A</v>
      </c>
    </row>
    <row r="73" spans="1:27" x14ac:dyDescent="0.3">
      <c r="A73" s="6" t="s">
        <v>1183</v>
      </c>
      <c r="B73" s="8" t="s">
        <v>1184</v>
      </c>
      <c r="C73" s="10" t="s">
        <v>916</v>
      </c>
      <c r="D73" s="10" t="s">
        <v>1184</v>
      </c>
      <c r="E73" s="15">
        <v>308</v>
      </c>
      <c r="F73" s="6" t="s">
        <v>1238</v>
      </c>
      <c r="G73" s="6">
        <f>IF(E73&gt;='Hero Criteria'!$C$42,5,IF(E73&gt;='Hero Criteria'!$C$43,4,IF(E73&gt;='Hero Criteria'!$C$44,3,IF(E73&gt;='Hero Criteria'!$C$45,2,1))))</f>
        <v>3</v>
      </c>
      <c r="H73" s="6">
        <f>IF(F73="Yes",'Hero Criteria'!$C$46,'Hero Criteria'!$C$47)</f>
        <v>5</v>
      </c>
      <c r="I73" s="19">
        <v>3</v>
      </c>
      <c r="J73" s="19">
        <v>5</v>
      </c>
      <c r="K73" s="25">
        <f>(G73*'Hero Criteria'!$D$19+H73*'Hero Criteria'!$D$20+I73*'Hero Criteria'!$D$21+J73*'Hero Criteria'!$D$22)/(5*'Hero Criteria'!$D$23)*100</f>
        <v>78</v>
      </c>
      <c r="L73" s="19">
        <v>3</v>
      </c>
      <c r="M73" s="19">
        <v>3</v>
      </c>
      <c r="N73" s="19">
        <v>3</v>
      </c>
      <c r="O73" s="6">
        <f>IF(INDEX('Path Scorecard'!$X$5:$X$80,MATCH($A73,'Path Scorecard'!$A$5:$A$80,0))="",3,INDEX('Path Scorecard'!$X$5:$X$80,MATCH($A73,'Path Scorecard'!$A$5:$A$80,0)))</f>
        <v>3</v>
      </c>
      <c r="P73" s="25">
        <f>(L73*'Hero Criteria'!$D$27+M73*'Hero Criteria'!$D$28+N73*'Hero Criteria'!$D$29+O73*'Hero Criteria'!$D$30)/(5*'Hero Criteria'!$D$31)*100</f>
        <v>60</v>
      </c>
      <c r="Q73" s="14" t="str">
        <f>IF(K73&gt;='Hero Criteria'!$C$35,"Hero",IF(P73&gt;='Hero Criteria'!$C$36,"Probable Hero","Non-Hero"))</f>
        <v>Hero</v>
      </c>
      <c r="R73" s="14" t="str">
        <f>IF(Q73="Hero",IF(INDEX('Path Scorecard'!$T$5:$T$80,MATCH($A73,'Path Scorecard'!$A$5:$A$80,0))&lt;='Hero Criteria'!$C$37,"PROTECT","EXTEND"),IF(Q73="Probable Hero","BUILD","EXPLORE"))</f>
        <v>PROTECT</v>
      </c>
      <c r="S73" s="6" t="str">
        <f>INDEX('Path Scorecard'!$AB$5:$AB$80,MATCH($A73,'Path Scorecard'!$A$5:$A$80,0))</f>
        <v>Parked (gate)</v>
      </c>
      <c r="T73" s="10"/>
      <c r="V73" s="26" t="e">
        <f t="shared" si="12"/>
        <v>#N/A</v>
      </c>
      <c r="W73" s="26" t="e">
        <f t="shared" si="13"/>
        <v>#N/A</v>
      </c>
      <c r="X73" s="26" t="e">
        <f t="shared" si="14"/>
        <v>#N/A</v>
      </c>
      <c r="Y73" s="26" t="e">
        <f t="shared" si="15"/>
        <v>#N/A</v>
      </c>
      <c r="Z73" s="26" t="e">
        <f t="shared" si="16"/>
        <v>#N/A</v>
      </c>
      <c r="AA73" s="26" t="e">
        <f t="shared" si="17"/>
        <v>#N/A</v>
      </c>
    </row>
    <row r="74" spans="1:27" ht="26.4" x14ac:dyDescent="0.3">
      <c r="A74" s="6" t="s">
        <v>775</v>
      </c>
      <c r="B74" s="8" t="s">
        <v>776</v>
      </c>
      <c r="C74" s="10" t="s">
        <v>998</v>
      </c>
      <c r="D74" s="10" t="s">
        <v>776</v>
      </c>
      <c r="E74" s="15">
        <v>11493</v>
      </c>
      <c r="F74" s="6" t="s">
        <v>1238</v>
      </c>
      <c r="G74" s="6">
        <f>IF(E74&gt;='Hero Criteria'!$C$42,5,IF(E74&gt;='Hero Criteria'!$C$43,4,IF(E74&gt;='Hero Criteria'!$C$44,3,IF(E74&gt;='Hero Criteria'!$C$45,2,1))))</f>
        <v>5</v>
      </c>
      <c r="H74" s="6">
        <f>IF(F74="Yes",'Hero Criteria'!$C$46,'Hero Criteria'!$C$47)</f>
        <v>5</v>
      </c>
      <c r="I74" s="19">
        <v>5</v>
      </c>
      <c r="J74" s="19">
        <v>5</v>
      </c>
      <c r="K74" s="25">
        <f>(G74*'Hero Criteria'!$D$19+H74*'Hero Criteria'!$D$20+I74*'Hero Criteria'!$D$21+J74*'Hero Criteria'!$D$22)/(5*'Hero Criteria'!$D$23)*100</f>
        <v>100</v>
      </c>
      <c r="L74" s="19">
        <v>2</v>
      </c>
      <c r="M74" s="19">
        <v>3</v>
      </c>
      <c r="N74" s="19">
        <v>5</v>
      </c>
      <c r="O74" s="6">
        <f>IF(INDEX('Path Scorecard'!$X$5:$X$80,MATCH($A74,'Path Scorecard'!$A$5:$A$80,0))="",3,INDEX('Path Scorecard'!$X$5:$X$80,MATCH($A74,'Path Scorecard'!$A$5:$A$80,0)))</f>
        <v>3</v>
      </c>
      <c r="P74" s="25">
        <f>(L74*'Hero Criteria'!$D$27+M74*'Hero Criteria'!$D$28+N74*'Hero Criteria'!$D$29+O74*'Hero Criteria'!$D$30)/(5*'Hero Criteria'!$D$31)*100</f>
        <v>63</v>
      </c>
      <c r="Q74" s="14" t="str">
        <f>IF(K74&gt;='Hero Criteria'!$C$35,"Hero",IF(P74&gt;='Hero Criteria'!$C$36,"Probable Hero","Non-Hero"))</f>
        <v>Hero</v>
      </c>
      <c r="R74" s="14" t="str">
        <f>IF(Q74="Hero",IF(INDEX('Path Scorecard'!$T$5:$T$80,MATCH($A74,'Path Scorecard'!$A$5:$A$80,0))&lt;='Hero Criteria'!$C$37,"PROTECT","EXTEND"),IF(Q74="Probable Hero","BUILD","EXPLORE"))</f>
        <v>PROTECT</v>
      </c>
      <c r="S74" s="6" t="str">
        <f>INDEX('Path Scorecard'!$AB$5:$AB$80,MATCH($A74,'Path Scorecard'!$A$5:$A$80,0))</f>
        <v>Parked (gate)</v>
      </c>
      <c r="T74" s="10" t="s">
        <v>1292</v>
      </c>
      <c r="V74" s="26" t="e">
        <f t="shared" si="12"/>
        <v>#N/A</v>
      </c>
      <c r="W74" s="26" t="e">
        <f t="shared" si="13"/>
        <v>#N/A</v>
      </c>
      <c r="X74" s="26" t="e">
        <f t="shared" si="14"/>
        <v>#N/A</v>
      </c>
      <c r="Y74" s="26" t="e">
        <f t="shared" si="15"/>
        <v>#N/A</v>
      </c>
      <c r="Z74" s="26" t="e">
        <f t="shared" si="16"/>
        <v>#N/A</v>
      </c>
      <c r="AA74" s="26" t="e">
        <f t="shared" si="17"/>
        <v>#N/A</v>
      </c>
    </row>
    <row r="75" spans="1:27" ht="26.4" x14ac:dyDescent="0.3">
      <c r="A75" s="6" t="s">
        <v>779</v>
      </c>
      <c r="B75" s="8" t="s">
        <v>780</v>
      </c>
      <c r="C75" s="10" t="s">
        <v>998</v>
      </c>
      <c r="D75" s="10" t="s">
        <v>1293</v>
      </c>
      <c r="E75" s="15">
        <v>123</v>
      </c>
      <c r="F75" s="6" t="s">
        <v>1238</v>
      </c>
      <c r="G75" s="6">
        <f>IF(E75&gt;='Hero Criteria'!$C$42,5,IF(E75&gt;='Hero Criteria'!$C$43,4,IF(E75&gt;='Hero Criteria'!$C$44,3,IF(E75&gt;='Hero Criteria'!$C$45,2,1))))</f>
        <v>2</v>
      </c>
      <c r="H75" s="6">
        <f>IF(F75="Yes",'Hero Criteria'!$C$46,'Hero Criteria'!$C$47)</f>
        <v>5</v>
      </c>
      <c r="I75" s="19">
        <v>4</v>
      </c>
      <c r="J75" s="19">
        <v>3</v>
      </c>
      <c r="K75" s="25">
        <f>(G75*'Hero Criteria'!$D$19+H75*'Hero Criteria'!$D$20+I75*'Hero Criteria'!$D$21+J75*'Hero Criteria'!$D$22)/(5*'Hero Criteria'!$D$23)*100</f>
        <v>65</v>
      </c>
      <c r="L75" s="19">
        <v>3</v>
      </c>
      <c r="M75" s="19">
        <v>4</v>
      </c>
      <c r="N75" s="19">
        <v>3</v>
      </c>
      <c r="O75" s="6">
        <f>IF(INDEX('Path Scorecard'!$X$5:$X$80,MATCH($A75,'Path Scorecard'!$A$5:$A$80,0))="",3,INDEX('Path Scorecard'!$X$5:$X$80,MATCH($A75,'Path Scorecard'!$A$5:$A$80,0)))</f>
        <v>3</v>
      </c>
      <c r="P75" s="25">
        <f>(L75*'Hero Criteria'!$D$27+M75*'Hero Criteria'!$D$28+N75*'Hero Criteria'!$D$29+O75*'Hero Criteria'!$D$30)/(5*'Hero Criteria'!$D$31)*100</f>
        <v>65</v>
      </c>
      <c r="Q75" s="14" t="str">
        <f>IF(K75&gt;='Hero Criteria'!$C$35,"Hero",IF(P75&gt;='Hero Criteria'!$C$36,"Probable Hero","Non-Hero"))</f>
        <v>Hero</v>
      </c>
      <c r="R75" s="14" t="str">
        <f>IF(Q75="Hero",IF(INDEX('Path Scorecard'!$T$5:$T$80,MATCH($A75,'Path Scorecard'!$A$5:$A$80,0))&lt;='Hero Criteria'!$C$37,"PROTECT","EXTEND"),IF(Q75="Probable Hero","BUILD","EXPLORE"))</f>
        <v>PROTECT</v>
      </c>
      <c r="S75" s="6" t="str">
        <f>INDEX('Path Scorecard'!$AB$5:$AB$80,MATCH($A75,'Path Scorecard'!$A$5:$A$80,0))</f>
        <v>Parked (gate)</v>
      </c>
      <c r="T75" s="10" t="s">
        <v>1294</v>
      </c>
      <c r="V75" s="26" t="e">
        <f t="shared" si="12"/>
        <v>#N/A</v>
      </c>
      <c r="W75" s="26" t="e">
        <f t="shared" si="13"/>
        <v>#N/A</v>
      </c>
      <c r="X75" s="26" t="e">
        <f t="shared" si="14"/>
        <v>#N/A</v>
      </c>
      <c r="Y75" s="26" t="e">
        <f t="shared" si="15"/>
        <v>#N/A</v>
      </c>
      <c r="Z75" s="26" t="e">
        <f t="shared" si="16"/>
        <v>#N/A</v>
      </c>
      <c r="AA75" s="26" t="e">
        <f t="shared" si="17"/>
        <v>#N/A</v>
      </c>
    </row>
    <row r="76" spans="1:27" ht="26.4" x14ac:dyDescent="0.3">
      <c r="A76" s="6" t="s">
        <v>783</v>
      </c>
      <c r="B76" s="8" t="s">
        <v>784</v>
      </c>
      <c r="C76" s="10" t="s">
        <v>998</v>
      </c>
      <c r="D76" s="10" t="s">
        <v>1293</v>
      </c>
      <c r="E76" s="15">
        <v>149</v>
      </c>
      <c r="F76" s="6" t="s">
        <v>1238</v>
      </c>
      <c r="G76" s="6">
        <f>IF(E76&gt;='Hero Criteria'!$C$42,5,IF(E76&gt;='Hero Criteria'!$C$43,4,IF(E76&gt;='Hero Criteria'!$C$44,3,IF(E76&gt;='Hero Criteria'!$C$45,2,1))))</f>
        <v>2</v>
      </c>
      <c r="H76" s="6">
        <f>IF(F76="Yes",'Hero Criteria'!$C$46,'Hero Criteria'!$C$47)</f>
        <v>5</v>
      </c>
      <c r="I76" s="19">
        <v>4</v>
      </c>
      <c r="J76" s="19">
        <v>3</v>
      </c>
      <c r="K76" s="25">
        <f>(G76*'Hero Criteria'!$D$19+H76*'Hero Criteria'!$D$20+I76*'Hero Criteria'!$D$21+J76*'Hero Criteria'!$D$22)/(5*'Hero Criteria'!$D$23)*100</f>
        <v>65</v>
      </c>
      <c r="L76" s="19">
        <v>3</v>
      </c>
      <c r="M76" s="19">
        <v>4</v>
      </c>
      <c r="N76" s="19">
        <v>4</v>
      </c>
      <c r="O76" s="6">
        <f>IF(INDEX('Path Scorecard'!$X$5:$X$80,MATCH($A76,'Path Scorecard'!$A$5:$A$80,0))="",3,INDEX('Path Scorecard'!$X$5:$X$80,MATCH($A76,'Path Scorecard'!$A$5:$A$80,0)))</f>
        <v>3</v>
      </c>
      <c r="P76" s="25">
        <f>(L76*'Hero Criteria'!$D$27+M76*'Hero Criteria'!$D$28+N76*'Hero Criteria'!$D$29+O76*'Hero Criteria'!$D$30)/(5*'Hero Criteria'!$D$31)*100</f>
        <v>70</v>
      </c>
      <c r="Q76" s="14" t="str">
        <f>IF(K76&gt;='Hero Criteria'!$C$35,"Hero",IF(P76&gt;='Hero Criteria'!$C$36,"Probable Hero","Non-Hero"))</f>
        <v>Hero</v>
      </c>
      <c r="R76" s="14" t="str">
        <f>IF(Q76="Hero",IF(INDEX('Path Scorecard'!$T$5:$T$80,MATCH($A76,'Path Scorecard'!$A$5:$A$80,0))&lt;='Hero Criteria'!$C$37,"PROTECT","EXTEND"),IF(Q76="Probable Hero","BUILD","EXPLORE"))</f>
        <v>PROTECT</v>
      </c>
      <c r="S76" s="6" t="str">
        <f>INDEX('Path Scorecard'!$AB$5:$AB$80,MATCH($A76,'Path Scorecard'!$A$5:$A$80,0))</f>
        <v>Parked (gate)</v>
      </c>
      <c r="T76" s="10" t="s">
        <v>1294</v>
      </c>
      <c r="V76" s="26" t="e">
        <f t="shared" si="12"/>
        <v>#N/A</v>
      </c>
      <c r="W76" s="26" t="e">
        <f t="shared" si="13"/>
        <v>#N/A</v>
      </c>
      <c r="X76" s="26" t="e">
        <f t="shared" si="14"/>
        <v>#N/A</v>
      </c>
      <c r="Y76" s="26" t="e">
        <f t="shared" si="15"/>
        <v>#N/A</v>
      </c>
      <c r="Z76" s="26" t="e">
        <f t="shared" si="16"/>
        <v>#N/A</v>
      </c>
      <c r="AA76" s="26" t="e">
        <f t="shared" si="17"/>
        <v>#N/A</v>
      </c>
    </row>
    <row r="77" spans="1:27" ht="26.4" x14ac:dyDescent="0.3">
      <c r="A77" s="6" t="s">
        <v>766</v>
      </c>
      <c r="B77" s="8" t="s">
        <v>767</v>
      </c>
      <c r="C77" s="10" t="s">
        <v>921</v>
      </c>
      <c r="D77" s="10" t="s">
        <v>1284</v>
      </c>
      <c r="E77" s="15">
        <v>15</v>
      </c>
      <c r="F77" s="6" t="s">
        <v>1249</v>
      </c>
      <c r="G77" s="6">
        <f>IF(E77&gt;='Hero Criteria'!$C$42,5,IF(E77&gt;='Hero Criteria'!$C$43,4,IF(E77&gt;='Hero Criteria'!$C$44,3,IF(E77&gt;='Hero Criteria'!$C$45,2,1))))</f>
        <v>1</v>
      </c>
      <c r="H77" s="6">
        <f>IF(F77="Yes",'Hero Criteria'!$C$46,'Hero Criteria'!$C$47)</f>
        <v>2</v>
      </c>
      <c r="I77" s="19">
        <v>1</v>
      </c>
      <c r="J77" s="19">
        <v>1</v>
      </c>
      <c r="K77" s="25">
        <f>(G77*'Hero Criteria'!$D$19+H77*'Hero Criteria'!$D$20+I77*'Hero Criteria'!$D$21+J77*'Hero Criteria'!$D$22)/(5*'Hero Criteria'!$D$23)*100</f>
        <v>23</v>
      </c>
      <c r="L77" s="19">
        <v>4</v>
      </c>
      <c r="M77" s="19">
        <v>4</v>
      </c>
      <c r="N77" s="19">
        <v>4</v>
      </c>
      <c r="O77" s="6">
        <f>IF(INDEX('Path Scorecard'!$X$5:$X$80,MATCH($A77,'Path Scorecard'!$A$5:$A$80,0))="",3,INDEX('Path Scorecard'!$X$5:$X$80,MATCH($A77,'Path Scorecard'!$A$5:$A$80,0)))</f>
        <v>3</v>
      </c>
      <c r="P77" s="25">
        <f>(L77*'Hero Criteria'!$D$27+M77*'Hero Criteria'!$D$28+N77*'Hero Criteria'!$D$29+O77*'Hero Criteria'!$D$30)/(5*'Hero Criteria'!$D$31)*100</f>
        <v>77</v>
      </c>
      <c r="Q77" s="14" t="str">
        <f>IF(K77&gt;='Hero Criteria'!$C$35,"Hero",IF(P77&gt;='Hero Criteria'!$C$36,"Probable Hero","Non-Hero"))</f>
        <v>Probable Hero</v>
      </c>
      <c r="R77" s="14" t="str">
        <f>IF(Q77="Hero",IF(INDEX('Path Scorecard'!$T$5:$T$80,MATCH($A77,'Path Scorecard'!$A$5:$A$80,0))&lt;='Hero Criteria'!$C$37,"PROTECT","EXTEND"),IF(Q77="Probable Hero","BUILD","EXPLORE"))</f>
        <v>BUILD</v>
      </c>
      <c r="S77" s="6" t="str">
        <f>INDEX('Path Scorecard'!$AB$5:$AB$80,MATCH($A77,'Path Scorecard'!$A$5:$A$80,0))</f>
        <v>Parked (gate)</v>
      </c>
      <c r="T77" s="10"/>
      <c r="V77" s="26" t="e">
        <f t="shared" si="12"/>
        <v>#N/A</v>
      </c>
      <c r="W77" s="26" t="e">
        <f t="shared" si="13"/>
        <v>#N/A</v>
      </c>
      <c r="X77" s="26" t="e">
        <f t="shared" si="14"/>
        <v>#N/A</v>
      </c>
      <c r="Y77" s="26" t="e">
        <f t="shared" si="15"/>
        <v>#N/A</v>
      </c>
      <c r="Z77" s="26" t="e">
        <f t="shared" si="16"/>
        <v>#N/A</v>
      </c>
      <c r="AA77" s="26" t="e">
        <f t="shared" si="17"/>
        <v>#N/A</v>
      </c>
    </row>
    <row r="78" spans="1:27" x14ac:dyDescent="0.3">
      <c r="A78" s="6" t="s">
        <v>1199</v>
      </c>
      <c r="B78" s="8" t="s">
        <v>1200</v>
      </c>
      <c r="C78" s="10" t="s">
        <v>916</v>
      </c>
      <c r="D78" s="10" t="s">
        <v>1200</v>
      </c>
      <c r="E78" s="15">
        <v>437</v>
      </c>
      <c r="F78" s="6" t="s">
        <v>1238</v>
      </c>
      <c r="G78" s="6">
        <f>IF(E78&gt;='Hero Criteria'!$C$42,5,IF(E78&gt;='Hero Criteria'!$C$43,4,IF(E78&gt;='Hero Criteria'!$C$44,3,IF(E78&gt;='Hero Criteria'!$C$45,2,1))))</f>
        <v>3</v>
      </c>
      <c r="H78" s="6">
        <f>IF(F78="Yes",'Hero Criteria'!$C$46,'Hero Criteria'!$C$47)</f>
        <v>5</v>
      </c>
      <c r="I78" s="19">
        <v>2</v>
      </c>
      <c r="J78" s="19">
        <v>2</v>
      </c>
      <c r="K78" s="25">
        <f>(G78*'Hero Criteria'!$D$19+H78*'Hero Criteria'!$D$20+I78*'Hero Criteria'!$D$21+J78*'Hero Criteria'!$D$22)/(5*'Hero Criteria'!$D$23)*100</f>
        <v>55.000000000000007</v>
      </c>
      <c r="L78" s="19">
        <v>3</v>
      </c>
      <c r="M78" s="19">
        <v>3</v>
      </c>
      <c r="N78" s="19">
        <v>3</v>
      </c>
      <c r="O78" s="6">
        <f>IF(INDEX('Path Scorecard'!$X$5:$X$80,MATCH($A78,'Path Scorecard'!$A$5:$A$80,0))="",3,INDEX('Path Scorecard'!$X$5:$X$80,MATCH($A78,'Path Scorecard'!$A$5:$A$80,0)))</f>
        <v>3</v>
      </c>
      <c r="P78" s="25">
        <f>(L78*'Hero Criteria'!$D$27+M78*'Hero Criteria'!$D$28+N78*'Hero Criteria'!$D$29+O78*'Hero Criteria'!$D$30)/(5*'Hero Criteria'!$D$31)*100</f>
        <v>60</v>
      </c>
      <c r="Q78" s="14" t="str">
        <f>IF(K78&gt;='Hero Criteria'!$C$35,"Hero",IF(P78&gt;='Hero Criteria'!$C$36,"Probable Hero","Non-Hero"))</f>
        <v>Non-Hero</v>
      </c>
      <c r="R78" s="14" t="str">
        <f>IF(Q78="Hero",IF(INDEX('Path Scorecard'!$T$5:$T$80,MATCH($A78,'Path Scorecard'!$A$5:$A$80,0))&lt;='Hero Criteria'!$C$37,"PROTECT","EXTEND"),IF(Q78="Probable Hero","BUILD","EXPLORE"))</f>
        <v>EXPLORE</v>
      </c>
      <c r="S78" s="6" t="str">
        <f>INDEX('Path Scorecard'!$AB$5:$AB$80,MATCH($A78,'Path Scorecard'!$A$5:$A$80,0))</f>
        <v>Parked (gate)</v>
      </c>
      <c r="T78" s="10"/>
      <c r="V78" s="26" t="e">
        <f t="shared" si="12"/>
        <v>#N/A</v>
      </c>
      <c r="W78" s="26" t="e">
        <f t="shared" si="13"/>
        <v>#N/A</v>
      </c>
      <c r="X78" s="26" t="e">
        <f t="shared" si="14"/>
        <v>#N/A</v>
      </c>
      <c r="Y78" s="26" t="e">
        <f t="shared" si="15"/>
        <v>#N/A</v>
      </c>
      <c r="Z78" s="26" t="e">
        <f t="shared" si="16"/>
        <v>#N/A</v>
      </c>
      <c r="AA78" s="26" t="e">
        <f t="shared" si="17"/>
        <v>#N/A</v>
      </c>
    </row>
    <row r="79" spans="1:27" ht="26.4" x14ac:dyDescent="0.3">
      <c r="A79" s="6" t="s">
        <v>1205</v>
      </c>
      <c r="B79" s="8" t="s">
        <v>1206</v>
      </c>
      <c r="C79" s="10" t="s">
        <v>916</v>
      </c>
      <c r="D79" s="10" t="s">
        <v>1295</v>
      </c>
      <c r="E79" s="15">
        <v>1116</v>
      </c>
      <c r="F79" s="6" t="s">
        <v>1238</v>
      </c>
      <c r="G79" s="6">
        <f>IF(E79&gt;='Hero Criteria'!$C$42,5,IF(E79&gt;='Hero Criteria'!$C$43,4,IF(E79&gt;='Hero Criteria'!$C$44,3,IF(E79&gt;='Hero Criteria'!$C$45,2,1))))</f>
        <v>5</v>
      </c>
      <c r="H79" s="6">
        <f>IF(F79="Yes",'Hero Criteria'!$C$46,'Hero Criteria'!$C$47)</f>
        <v>5</v>
      </c>
      <c r="I79" s="19">
        <v>1</v>
      </c>
      <c r="J79" s="19">
        <v>1</v>
      </c>
      <c r="K79" s="25">
        <f>(G79*'Hero Criteria'!$D$19+H79*'Hero Criteria'!$D$20+I79*'Hero Criteria'!$D$21+J79*'Hero Criteria'!$D$22)/(5*'Hero Criteria'!$D$23)*100</f>
        <v>56.000000000000007</v>
      </c>
      <c r="L79" s="19">
        <v>3</v>
      </c>
      <c r="M79" s="19">
        <v>5</v>
      </c>
      <c r="N79" s="19">
        <v>4</v>
      </c>
      <c r="O79" s="6">
        <f>IF(INDEX('Path Scorecard'!$X$5:$X$80,MATCH($A79,'Path Scorecard'!$A$5:$A$80,0))="",3,INDEX('Path Scorecard'!$X$5:$X$80,MATCH($A79,'Path Scorecard'!$A$5:$A$80,0)))</f>
        <v>3</v>
      </c>
      <c r="P79" s="25">
        <f>(L79*'Hero Criteria'!$D$27+M79*'Hero Criteria'!$D$28+N79*'Hero Criteria'!$D$29+O79*'Hero Criteria'!$D$30)/(5*'Hero Criteria'!$D$31)*100</f>
        <v>75</v>
      </c>
      <c r="Q79" s="14" t="str">
        <f>IF(K79&gt;='Hero Criteria'!$C$35,"Hero",IF(P79&gt;='Hero Criteria'!$C$36,"Probable Hero","Non-Hero"))</f>
        <v>Probable Hero</v>
      </c>
      <c r="R79" s="14" t="str">
        <f>IF(Q79="Hero",IF(INDEX('Path Scorecard'!$T$5:$T$80,MATCH($A79,'Path Scorecard'!$A$5:$A$80,0))&lt;='Hero Criteria'!$C$37,"PROTECT","EXTEND"),IF(Q79="Probable Hero","BUILD","EXPLORE"))</f>
        <v>BUILD</v>
      </c>
      <c r="S79" s="6" t="str">
        <f>INDEX('Path Scorecard'!$AB$5:$AB$80,MATCH($A79,'Path Scorecard'!$A$5:$A$80,0))</f>
        <v>Parked (gate)</v>
      </c>
      <c r="T79" s="10"/>
      <c r="V79" s="26" t="e">
        <f t="shared" si="12"/>
        <v>#N/A</v>
      </c>
      <c r="W79" s="26" t="e">
        <f t="shared" si="13"/>
        <v>#N/A</v>
      </c>
      <c r="X79" s="26" t="e">
        <f t="shared" si="14"/>
        <v>#N/A</v>
      </c>
      <c r="Y79" s="26" t="e">
        <f t="shared" si="15"/>
        <v>#N/A</v>
      </c>
      <c r="Z79" s="26" t="e">
        <f t="shared" si="16"/>
        <v>#N/A</v>
      </c>
      <c r="AA79" s="26" t="e">
        <f t="shared" si="17"/>
        <v>#N/A</v>
      </c>
    </row>
    <row r="80" spans="1:27" ht="26.4" x14ac:dyDescent="0.3">
      <c r="A80" s="6" t="s">
        <v>761</v>
      </c>
      <c r="B80" s="8" t="s">
        <v>762</v>
      </c>
      <c r="C80" s="10" t="s">
        <v>938</v>
      </c>
      <c r="D80" s="10" t="s">
        <v>1296</v>
      </c>
      <c r="E80" s="15">
        <v>881</v>
      </c>
      <c r="F80" s="6" t="s">
        <v>1249</v>
      </c>
      <c r="G80" s="6">
        <f>IF(E80&gt;='Hero Criteria'!$C$42,5,IF(E80&gt;='Hero Criteria'!$C$43,4,IF(E80&gt;='Hero Criteria'!$C$44,3,IF(E80&gt;='Hero Criteria'!$C$45,2,1))))</f>
        <v>4</v>
      </c>
      <c r="H80" s="6">
        <f>IF(F80="Yes",'Hero Criteria'!$C$46,'Hero Criteria'!$C$47)</f>
        <v>2</v>
      </c>
      <c r="I80" s="19">
        <v>2</v>
      </c>
      <c r="J80" s="19">
        <v>2</v>
      </c>
      <c r="K80" s="25">
        <f>(G80*'Hero Criteria'!$D$19+H80*'Hero Criteria'!$D$20+I80*'Hero Criteria'!$D$21+J80*'Hero Criteria'!$D$22)/(5*'Hero Criteria'!$D$23)*100</f>
        <v>52</v>
      </c>
      <c r="L80" s="19">
        <v>3</v>
      </c>
      <c r="M80" s="19">
        <v>4</v>
      </c>
      <c r="N80" s="19">
        <v>3</v>
      </c>
      <c r="O80" s="6">
        <f>IF(INDEX('Path Scorecard'!$X$5:$X$80,MATCH($A80,'Path Scorecard'!$A$5:$A$80,0))="",3,INDEX('Path Scorecard'!$X$5:$X$80,MATCH($A80,'Path Scorecard'!$A$5:$A$80,0)))</f>
        <v>3</v>
      </c>
      <c r="P80" s="25">
        <f>(L80*'Hero Criteria'!$D$27+M80*'Hero Criteria'!$D$28+N80*'Hero Criteria'!$D$29+O80*'Hero Criteria'!$D$30)/(5*'Hero Criteria'!$D$31)*100</f>
        <v>65</v>
      </c>
      <c r="Q80" s="14" t="str">
        <f>IF(K80&gt;='Hero Criteria'!$C$35,"Hero",IF(P80&gt;='Hero Criteria'!$C$36,"Probable Hero","Non-Hero"))</f>
        <v>Probable Hero</v>
      </c>
      <c r="R80" s="14" t="str">
        <f>IF(Q80="Hero",IF(INDEX('Path Scorecard'!$T$5:$T$80,MATCH($A80,'Path Scorecard'!$A$5:$A$80,0))&lt;='Hero Criteria'!$C$37,"PROTECT","EXTEND"),IF(Q80="Probable Hero","BUILD","EXPLORE"))</f>
        <v>BUILD</v>
      </c>
      <c r="S80" s="6" t="str">
        <f>INDEX('Path Scorecard'!$AB$5:$AB$80,MATCH($A80,'Path Scorecard'!$A$5:$A$80,0))</f>
        <v>Parked (gate)</v>
      </c>
      <c r="T80" s="10"/>
      <c r="V80" s="26" t="e">
        <f t="shared" si="12"/>
        <v>#N/A</v>
      </c>
      <c r="W80" s="26" t="e">
        <f t="shared" si="13"/>
        <v>#N/A</v>
      </c>
      <c r="X80" s="26" t="e">
        <f t="shared" si="14"/>
        <v>#N/A</v>
      </c>
      <c r="Y80" s="26" t="e">
        <f t="shared" si="15"/>
        <v>#N/A</v>
      </c>
      <c r="Z80" s="26" t="e">
        <f t="shared" si="16"/>
        <v>#N/A</v>
      </c>
      <c r="AA80" s="26" t="e">
        <f t="shared" si="17"/>
        <v>#N/A</v>
      </c>
    </row>
    <row r="82" spans="1:7" ht="15.6" x14ac:dyDescent="0.3">
      <c r="A82" s="4" t="s">
        <v>1297</v>
      </c>
    </row>
    <row r="83" spans="1:7" ht="26.4" x14ac:dyDescent="0.3">
      <c r="B83" s="5" t="s">
        <v>1218</v>
      </c>
      <c r="C83" s="5" t="s">
        <v>394</v>
      </c>
      <c r="D83" s="5" t="s">
        <v>399</v>
      </c>
      <c r="E83" s="5" t="s">
        <v>404</v>
      </c>
      <c r="F83" s="5" t="s">
        <v>1298</v>
      </c>
      <c r="G83" s="5" t="s">
        <v>1299</v>
      </c>
    </row>
    <row r="84" spans="1:7" ht="39.6" x14ac:dyDescent="0.3">
      <c r="B84" s="8" t="s">
        <v>1284</v>
      </c>
      <c r="C84" s="6">
        <f t="shared" ref="C84:C125" si="18">COUNTIFS($D$5:$D$80,$B84,$Q$5:$Q$80,"Hero",$S$5:$S$80,"&lt;&gt;Parked (gate)")</f>
        <v>0</v>
      </c>
      <c r="D84" s="6">
        <f t="shared" ref="D84:D125" si="19">COUNTIFS($D$5:$D$80,$B84,$Q$5:$Q$80,"Probable Hero",$S$5:$S$80,"&lt;&gt;Parked (gate)")</f>
        <v>1</v>
      </c>
      <c r="E84" s="6">
        <f t="shared" ref="E84:E125" si="20">COUNTIFS($D$5:$D$80,$B84,$Q$5:$Q$80,"Non-Hero",$S$5:$S$80,"&lt;&gt;Parked (gate)")</f>
        <v>0</v>
      </c>
      <c r="F84" s="6">
        <f t="shared" ref="F84:F125" si="21">COUNTIFS($D$5:$D$80,$B84,$S$5:$S$80,"Parked (gate)")</f>
        <v>1</v>
      </c>
      <c r="G84" s="10" t="str">
        <f t="shared" ref="G84:G125" si="22">IF((C84&gt;0)+(D84&gt;0)+(E84&gt;0)&gt;=2,"Mixed: one L2 holds several segments, so decide at L3/L4",IF(C84+D84+E84=0,"Only parked paths","Single segment"))</f>
        <v>Single segment</v>
      </c>
    </row>
    <row r="85" spans="1:7" ht="39.6" x14ac:dyDescent="0.3">
      <c r="B85" s="8" t="s">
        <v>1288</v>
      </c>
      <c r="C85" s="6">
        <f t="shared" si="18"/>
        <v>0</v>
      </c>
      <c r="D85" s="6">
        <f t="shared" si="19"/>
        <v>0</v>
      </c>
      <c r="E85" s="6">
        <f t="shared" si="20"/>
        <v>1</v>
      </c>
      <c r="F85" s="6">
        <f t="shared" si="21"/>
        <v>0</v>
      </c>
      <c r="G85" s="10" t="str">
        <f t="shared" si="22"/>
        <v>Single segment</v>
      </c>
    </row>
    <row r="86" spans="1:7" ht="39.6" x14ac:dyDescent="0.3">
      <c r="B86" s="8" t="s">
        <v>1262</v>
      </c>
      <c r="C86" s="6">
        <f t="shared" si="18"/>
        <v>0</v>
      </c>
      <c r="D86" s="6">
        <f t="shared" si="19"/>
        <v>1</v>
      </c>
      <c r="E86" s="6">
        <f t="shared" si="20"/>
        <v>0</v>
      </c>
      <c r="F86" s="6">
        <f t="shared" si="21"/>
        <v>0</v>
      </c>
      <c r="G86" s="10" t="str">
        <f t="shared" si="22"/>
        <v>Single segment</v>
      </c>
    </row>
    <row r="87" spans="1:7" ht="39.6" x14ac:dyDescent="0.3">
      <c r="B87" s="8" t="s">
        <v>1275</v>
      </c>
      <c r="C87" s="6">
        <f t="shared" si="18"/>
        <v>0</v>
      </c>
      <c r="D87" s="6">
        <f t="shared" si="19"/>
        <v>1</v>
      </c>
      <c r="E87" s="6">
        <f t="shared" si="20"/>
        <v>0</v>
      </c>
      <c r="F87" s="6">
        <f t="shared" si="21"/>
        <v>0</v>
      </c>
      <c r="G87" s="10" t="str">
        <f t="shared" si="22"/>
        <v>Single segment</v>
      </c>
    </row>
    <row r="88" spans="1:7" ht="39.6" x14ac:dyDescent="0.3">
      <c r="B88" s="8" t="s">
        <v>1286</v>
      </c>
      <c r="C88" s="6">
        <f t="shared" si="18"/>
        <v>0</v>
      </c>
      <c r="D88" s="6">
        <f t="shared" si="19"/>
        <v>1</v>
      </c>
      <c r="E88" s="6">
        <f t="shared" si="20"/>
        <v>0</v>
      </c>
      <c r="F88" s="6">
        <f t="shared" si="21"/>
        <v>0</v>
      </c>
      <c r="G88" s="10" t="str">
        <f t="shared" si="22"/>
        <v>Single segment</v>
      </c>
    </row>
    <row r="89" spans="1:7" ht="118.8" x14ac:dyDescent="0.3">
      <c r="B89" s="8" t="s">
        <v>1248</v>
      </c>
      <c r="C89" s="6">
        <f t="shared" si="18"/>
        <v>1</v>
      </c>
      <c r="D89" s="6">
        <f t="shared" si="19"/>
        <v>1</v>
      </c>
      <c r="E89" s="6">
        <f t="shared" si="20"/>
        <v>0</v>
      </c>
      <c r="F89" s="6">
        <f t="shared" si="21"/>
        <v>0</v>
      </c>
      <c r="G89" s="10" t="str">
        <f t="shared" si="22"/>
        <v>Mixed: one L2 holds several segments, so decide at L3/L4</v>
      </c>
    </row>
    <row r="90" spans="1:7" ht="39.6" x14ac:dyDescent="0.3">
      <c r="B90" s="8" t="s">
        <v>1257</v>
      </c>
      <c r="C90" s="6">
        <f t="shared" si="18"/>
        <v>0</v>
      </c>
      <c r="D90" s="6">
        <f t="shared" si="19"/>
        <v>1</v>
      </c>
      <c r="E90" s="6">
        <f t="shared" si="20"/>
        <v>0</v>
      </c>
      <c r="F90" s="6">
        <f t="shared" si="21"/>
        <v>0</v>
      </c>
      <c r="G90" s="10" t="str">
        <f t="shared" si="22"/>
        <v>Single segment</v>
      </c>
    </row>
    <row r="91" spans="1:7" ht="39.6" x14ac:dyDescent="0.3">
      <c r="B91" s="8" t="s">
        <v>1296</v>
      </c>
      <c r="C91" s="6">
        <f t="shared" si="18"/>
        <v>0</v>
      </c>
      <c r="D91" s="6">
        <f t="shared" si="19"/>
        <v>0</v>
      </c>
      <c r="E91" s="6">
        <f t="shared" si="20"/>
        <v>0</v>
      </c>
      <c r="F91" s="6">
        <f t="shared" si="21"/>
        <v>1</v>
      </c>
      <c r="G91" s="10" t="str">
        <f t="shared" si="22"/>
        <v>Only parked paths</v>
      </c>
    </row>
    <row r="92" spans="1:7" ht="39.6" x14ac:dyDescent="0.3">
      <c r="B92" s="8" t="s">
        <v>1251</v>
      </c>
      <c r="C92" s="6">
        <f t="shared" si="18"/>
        <v>0</v>
      </c>
      <c r="D92" s="6">
        <f t="shared" si="19"/>
        <v>1</v>
      </c>
      <c r="E92" s="6">
        <f t="shared" si="20"/>
        <v>0</v>
      </c>
      <c r="F92" s="6">
        <f t="shared" si="21"/>
        <v>0</v>
      </c>
      <c r="G92" s="10" t="str">
        <f t="shared" si="22"/>
        <v>Single segment</v>
      </c>
    </row>
    <row r="93" spans="1:7" ht="39.6" x14ac:dyDescent="0.3">
      <c r="B93" s="8" t="s">
        <v>1278</v>
      </c>
      <c r="C93" s="6">
        <f t="shared" si="18"/>
        <v>1</v>
      </c>
      <c r="D93" s="6">
        <f t="shared" si="19"/>
        <v>0</v>
      </c>
      <c r="E93" s="6">
        <f t="shared" si="20"/>
        <v>0</v>
      </c>
      <c r="F93" s="6">
        <f t="shared" si="21"/>
        <v>0</v>
      </c>
      <c r="G93" s="10" t="str">
        <f t="shared" si="22"/>
        <v>Single segment</v>
      </c>
    </row>
    <row r="94" spans="1:7" ht="118.8" x14ac:dyDescent="0.3">
      <c r="B94" s="8" t="s">
        <v>1270</v>
      </c>
      <c r="C94" s="6">
        <f t="shared" si="18"/>
        <v>0</v>
      </c>
      <c r="D94" s="6">
        <f t="shared" si="19"/>
        <v>1</v>
      </c>
      <c r="E94" s="6">
        <f t="shared" si="20"/>
        <v>2</v>
      </c>
      <c r="F94" s="6">
        <f t="shared" si="21"/>
        <v>0</v>
      </c>
      <c r="G94" s="10" t="str">
        <f t="shared" si="22"/>
        <v>Mixed: one L2 holds several segments, so decide at L3/L4</v>
      </c>
    </row>
    <row r="95" spans="1:7" ht="39.6" x14ac:dyDescent="0.3">
      <c r="B95" s="8" t="s">
        <v>1242</v>
      </c>
      <c r="C95" s="6">
        <f t="shared" si="18"/>
        <v>0</v>
      </c>
      <c r="D95" s="6">
        <f t="shared" si="19"/>
        <v>2</v>
      </c>
      <c r="E95" s="6">
        <f t="shared" si="20"/>
        <v>0</v>
      </c>
      <c r="F95" s="6">
        <f t="shared" si="21"/>
        <v>0</v>
      </c>
      <c r="G95" s="10" t="str">
        <f t="shared" si="22"/>
        <v>Single segment</v>
      </c>
    </row>
    <row r="96" spans="1:7" ht="118.8" x14ac:dyDescent="0.3">
      <c r="B96" s="8" t="s">
        <v>1263</v>
      </c>
      <c r="C96" s="6">
        <f t="shared" si="18"/>
        <v>1</v>
      </c>
      <c r="D96" s="6">
        <f t="shared" si="19"/>
        <v>2</v>
      </c>
      <c r="E96" s="6">
        <f t="shared" si="20"/>
        <v>0</v>
      </c>
      <c r="F96" s="6">
        <f t="shared" si="21"/>
        <v>0</v>
      </c>
      <c r="G96" s="10" t="str">
        <f t="shared" si="22"/>
        <v>Mixed: one L2 holds several segments, so decide at L3/L4</v>
      </c>
    </row>
    <row r="97" spans="2:7" ht="39.6" x14ac:dyDescent="0.3">
      <c r="B97" s="8" t="s">
        <v>1276</v>
      </c>
      <c r="C97" s="6">
        <f t="shared" si="18"/>
        <v>1</v>
      </c>
      <c r="D97" s="6">
        <f t="shared" si="19"/>
        <v>0</v>
      </c>
      <c r="E97" s="6">
        <f t="shared" si="20"/>
        <v>0</v>
      </c>
      <c r="F97" s="6">
        <f t="shared" si="21"/>
        <v>0</v>
      </c>
      <c r="G97" s="10" t="str">
        <f t="shared" si="22"/>
        <v>Single segment</v>
      </c>
    </row>
    <row r="98" spans="2:7" ht="39.6" x14ac:dyDescent="0.3">
      <c r="B98" s="8" t="s">
        <v>750</v>
      </c>
      <c r="C98" s="6">
        <f t="shared" si="18"/>
        <v>0</v>
      </c>
      <c r="D98" s="6">
        <f t="shared" si="19"/>
        <v>0</v>
      </c>
      <c r="E98" s="6">
        <f t="shared" si="20"/>
        <v>0</v>
      </c>
      <c r="F98" s="6">
        <f t="shared" si="21"/>
        <v>1</v>
      </c>
      <c r="G98" s="10" t="str">
        <f t="shared" si="22"/>
        <v>Only parked paths</v>
      </c>
    </row>
    <row r="99" spans="2:7" ht="39.6" x14ac:dyDescent="0.3">
      <c r="B99" s="8" t="s">
        <v>1291</v>
      </c>
      <c r="C99" s="6">
        <f t="shared" si="18"/>
        <v>0</v>
      </c>
      <c r="D99" s="6">
        <f t="shared" si="19"/>
        <v>0</v>
      </c>
      <c r="E99" s="6">
        <f t="shared" si="20"/>
        <v>1</v>
      </c>
      <c r="F99" s="6">
        <f t="shared" si="21"/>
        <v>0</v>
      </c>
      <c r="G99" s="10" t="str">
        <f t="shared" si="22"/>
        <v>Single segment</v>
      </c>
    </row>
    <row r="100" spans="2:7" ht="39.6" x14ac:dyDescent="0.3">
      <c r="B100" s="8" t="s">
        <v>1290</v>
      </c>
      <c r="C100" s="6">
        <f t="shared" si="18"/>
        <v>1</v>
      </c>
      <c r="D100" s="6">
        <f t="shared" si="19"/>
        <v>0</v>
      </c>
      <c r="E100" s="6">
        <f t="shared" si="20"/>
        <v>0</v>
      </c>
      <c r="F100" s="6">
        <f t="shared" si="21"/>
        <v>0</v>
      </c>
      <c r="G100" s="10" t="str">
        <f t="shared" si="22"/>
        <v>Single segment</v>
      </c>
    </row>
    <row r="101" spans="2:7" ht="39.6" x14ac:dyDescent="0.3">
      <c r="B101" s="8" t="s">
        <v>1279</v>
      </c>
      <c r="C101" s="6">
        <f t="shared" si="18"/>
        <v>0</v>
      </c>
      <c r="D101" s="6">
        <f t="shared" si="19"/>
        <v>1</v>
      </c>
      <c r="E101" s="6">
        <f t="shared" si="20"/>
        <v>0</v>
      </c>
      <c r="F101" s="6">
        <f t="shared" si="21"/>
        <v>0</v>
      </c>
      <c r="G101" s="10" t="str">
        <f t="shared" si="22"/>
        <v>Single segment</v>
      </c>
    </row>
    <row r="102" spans="2:7" ht="118.8" x14ac:dyDescent="0.3">
      <c r="B102" s="8" t="s">
        <v>1264</v>
      </c>
      <c r="C102" s="6">
        <f t="shared" si="18"/>
        <v>2</v>
      </c>
      <c r="D102" s="6">
        <f t="shared" si="19"/>
        <v>1</v>
      </c>
      <c r="E102" s="6">
        <f t="shared" si="20"/>
        <v>0</v>
      </c>
      <c r="F102" s="6">
        <f t="shared" si="21"/>
        <v>0</v>
      </c>
      <c r="G102" s="10" t="str">
        <f t="shared" si="22"/>
        <v>Mixed: one L2 holds several segments, so decide at L3/L4</v>
      </c>
    </row>
    <row r="103" spans="2:7" ht="39.6" x14ac:dyDescent="0.3">
      <c r="B103" s="8" t="s">
        <v>1184</v>
      </c>
      <c r="C103" s="6">
        <f t="shared" si="18"/>
        <v>0</v>
      </c>
      <c r="D103" s="6">
        <f t="shared" si="19"/>
        <v>0</v>
      </c>
      <c r="E103" s="6">
        <f t="shared" si="20"/>
        <v>0</v>
      </c>
      <c r="F103" s="6">
        <f t="shared" si="21"/>
        <v>1</v>
      </c>
      <c r="G103" s="10" t="str">
        <f t="shared" si="22"/>
        <v>Only parked paths</v>
      </c>
    </row>
    <row r="104" spans="2:7" ht="118.8" x14ac:dyDescent="0.3">
      <c r="B104" s="8" t="s">
        <v>641</v>
      </c>
      <c r="C104" s="6">
        <f t="shared" si="18"/>
        <v>1</v>
      </c>
      <c r="D104" s="6">
        <f t="shared" si="19"/>
        <v>5</v>
      </c>
      <c r="E104" s="6">
        <f t="shared" si="20"/>
        <v>2</v>
      </c>
      <c r="F104" s="6">
        <f t="shared" si="21"/>
        <v>0</v>
      </c>
      <c r="G104" s="10" t="str">
        <f t="shared" si="22"/>
        <v>Mixed: one L2 holds several segments, so decide at L3/L4</v>
      </c>
    </row>
    <row r="105" spans="2:7" ht="39.6" x14ac:dyDescent="0.3">
      <c r="B105" s="8" t="s">
        <v>1272</v>
      </c>
      <c r="C105" s="6">
        <f t="shared" si="18"/>
        <v>0</v>
      </c>
      <c r="D105" s="6">
        <f t="shared" si="19"/>
        <v>0</v>
      </c>
      <c r="E105" s="6">
        <f t="shared" si="20"/>
        <v>2</v>
      </c>
      <c r="F105" s="6">
        <f t="shared" si="21"/>
        <v>0</v>
      </c>
      <c r="G105" s="10" t="str">
        <f t="shared" si="22"/>
        <v>Single segment</v>
      </c>
    </row>
    <row r="106" spans="2:7" ht="118.8" x14ac:dyDescent="0.3">
      <c r="B106" s="8" t="s">
        <v>1260</v>
      </c>
      <c r="C106" s="6">
        <f t="shared" si="18"/>
        <v>0</v>
      </c>
      <c r="D106" s="6">
        <f t="shared" si="19"/>
        <v>4</v>
      </c>
      <c r="E106" s="6">
        <f t="shared" si="20"/>
        <v>2</v>
      </c>
      <c r="F106" s="6">
        <f t="shared" si="21"/>
        <v>0</v>
      </c>
      <c r="G106" s="10" t="str">
        <f t="shared" si="22"/>
        <v>Mixed: one L2 holds several segments, so decide at L3/L4</v>
      </c>
    </row>
    <row r="107" spans="2:7" ht="118.8" x14ac:dyDescent="0.3">
      <c r="B107" s="8" t="s">
        <v>648</v>
      </c>
      <c r="C107" s="6">
        <f t="shared" si="18"/>
        <v>2</v>
      </c>
      <c r="D107" s="6">
        <f t="shared" si="19"/>
        <v>0</v>
      </c>
      <c r="E107" s="6">
        <f t="shared" si="20"/>
        <v>1</v>
      </c>
      <c r="F107" s="6">
        <f t="shared" si="21"/>
        <v>0</v>
      </c>
      <c r="G107" s="10" t="str">
        <f t="shared" si="22"/>
        <v>Mixed: one L2 holds several segments, so decide at L3/L4</v>
      </c>
    </row>
    <row r="108" spans="2:7" ht="39.6" x14ac:dyDescent="0.3">
      <c r="B108" s="8" t="s">
        <v>1287</v>
      </c>
      <c r="C108" s="6">
        <f t="shared" si="18"/>
        <v>0</v>
      </c>
      <c r="D108" s="6">
        <f t="shared" si="19"/>
        <v>0</v>
      </c>
      <c r="E108" s="6">
        <f t="shared" si="20"/>
        <v>1</v>
      </c>
      <c r="F108" s="6">
        <f t="shared" si="21"/>
        <v>0</v>
      </c>
      <c r="G108" s="10" t="str">
        <f t="shared" si="22"/>
        <v>Single segment</v>
      </c>
    </row>
    <row r="109" spans="2:7" ht="39.6" x14ac:dyDescent="0.3">
      <c r="B109" s="8" t="s">
        <v>655</v>
      </c>
      <c r="C109" s="6">
        <f t="shared" si="18"/>
        <v>0</v>
      </c>
      <c r="D109" s="6">
        <f t="shared" si="19"/>
        <v>3</v>
      </c>
      <c r="E109" s="6">
        <f t="shared" si="20"/>
        <v>0</v>
      </c>
      <c r="F109" s="6">
        <f t="shared" si="21"/>
        <v>0</v>
      </c>
      <c r="G109" s="10" t="str">
        <f t="shared" si="22"/>
        <v>Single segment</v>
      </c>
    </row>
    <row r="110" spans="2:7" ht="39.6" x14ac:dyDescent="0.3">
      <c r="B110" s="8" t="s">
        <v>1289</v>
      </c>
      <c r="C110" s="6">
        <f t="shared" si="18"/>
        <v>0</v>
      </c>
      <c r="D110" s="6">
        <f t="shared" si="19"/>
        <v>0</v>
      </c>
      <c r="E110" s="6">
        <f t="shared" si="20"/>
        <v>1</v>
      </c>
      <c r="F110" s="6">
        <f t="shared" si="21"/>
        <v>0</v>
      </c>
      <c r="G110" s="10" t="str">
        <f t="shared" si="22"/>
        <v>Single segment</v>
      </c>
    </row>
    <row r="111" spans="2:7" ht="39.6" x14ac:dyDescent="0.3">
      <c r="B111" s="8" t="s">
        <v>1295</v>
      </c>
      <c r="C111" s="6">
        <f t="shared" si="18"/>
        <v>0</v>
      </c>
      <c r="D111" s="6">
        <f t="shared" si="19"/>
        <v>0</v>
      </c>
      <c r="E111" s="6">
        <f t="shared" si="20"/>
        <v>0</v>
      </c>
      <c r="F111" s="6">
        <f t="shared" si="21"/>
        <v>1</v>
      </c>
      <c r="G111" s="10" t="str">
        <f t="shared" si="22"/>
        <v>Only parked paths</v>
      </c>
    </row>
    <row r="112" spans="2:7" ht="39.6" x14ac:dyDescent="0.3">
      <c r="B112" s="8" t="s">
        <v>1200</v>
      </c>
      <c r="C112" s="6">
        <f t="shared" si="18"/>
        <v>0</v>
      </c>
      <c r="D112" s="6">
        <f t="shared" si="19"/>
        <v>0</v>
      </c>
      <c r="E112" s="6">
        <f t="shared" si="20"/>
        <v>0</v>
      </c>
      <c r="F112" s="6">
        <f t="shared" si="21"/>
        <v>1</v>
      </c>
      <c r="G112" s="10" t="str">
        <f t="shared" si="22"/>
        <v>Only parked paths</v>
      </c>
    </row>
    <row r="113" spans="2:7" ht="39.6" x14ac:dyDescent="0.3">
      <c r="B113" s="8" t="s">
        <v>1237</v>
      </c>
      <c r="C113" s="6">
        <f t="shared" si="18"/>
        <v>2</v>
      </c>
      <c r="D113" s="6">
        <f t="shared" si="19"/>
        <v>0</v>
      </c>
      <c r="E113" s="6">
        <f t="shared" si="20"/>
        <v>0</v>
      </c>
      <c r="F113" s="6">
        <f t="shared" si="21"/>
        <v>0</v>
      </c>
      <c r="G113" s="10" t="str">
        <f t="shared" si="22"/>
        <v>Single segment</v>
      </c>
    </row>
    <row r="114" spans="2:7" ht="118.8" x14ac:dyDescent="0.3">
      <c r="B114" s="8" t="s">
        <v>1240</v>
      </c>
      <c r="C114" s="6">
        <f t="shared" si="18"/>
        <v>1</v>
      </c>
      <c r="D114" s="6">
        <f t="shared" si="19"/>
        <v>0</v>
      </c>
      <c r="E114" s="6">
        <f t="shared" si="20"/>
        <v>1</v>
      </c>
      <c r="F114" s="6">
        <f t="shared" si="21"/>
        <v>0</v>
      </c>
      <c r="G114" s="10" t="str">
        <f t="shared" si="22"/>
        <v>Mixed: one L2 holds several segments, so decide at L3/L4</v>
      </c>
    </row>
    <row r="115" spans="2:7" ht="39.6" x14ac:dyDescent="0.3">
      <c r="B115" s="8" t="s">
        <v>1268</v>
      </c>
      <c r="C115" s="6">
        <f t="shared" si="18"/>
        <v>1</v>
      </c>
      <c r="D115" s="6">
        <f t="shared" si="19"/>
        <v>0</v>
      </c>
      <c r="E115" s="6">
        <f t="shared" si="20"/>
        <v>0</v>
      </c>
      <c r="F115" s="6">
        <f t="shared" si="21"/>
        <v>0</v>
      </c>
      <c r="G115" s="10" t="str">
        <f t="shared" si="22"/>
        <v>Single segment</v>
      </c>
    </row>
    <row r="116" spans="2:7" ht="39.6" x14ac:dyDescent="0.3">
      <c r="B116" s="8" t="s">
        <v>776</v>
      </c>
      <c r="C116" s="6">
        <f t="shared" si="18"/>
        <v>0</v>
      </c>
      <c r="D116" s="6">
        <f t="shared" si="19"/>
        <v>0</v>
      </c>
      <c r="E116" s="6">
        <f t="shared" si="20"/>
        <v>0</v>
      </c>
      <c r="F116" s="6">
        <f t="shared" si="21"/>
        <v>1</v>
      </c>
      <c r="G116" s="10" t="str">
        <f t="shared" si="22"/>
        <v>Only parked paths</v>
      </c>
    </row>
    <row r="117" spans="2:7" ht="39.6" x14ac:dyDescent="0.3">
      <c r="B117" s="8" t="s">
        <v>1259</v>
      </c>
      <c r="C117" s="6">
        <f t="shared" si="18"/>
        <v>0</v>
      </c>
      <c r="D117" s="6">
        <f t="shared" si="19"/>
        <v>1</v>
      </c>
      <c r="E117" s="6">
        <f t="shared" si="20"/>
        <v>0</v>
      </c>
      <c r="F117" s="6">
        <f t="shared" si="21"/>
        <v>0</v>
      </c>
      <c r="G117" s="10" t="str">
        <f t="shared" si="22"/>
        <v>Single segment</v>
      </c>
    </row>
    <row r="118" spans="2:7" ht="118.8" x14ac:dyDescent="0.3">
      <c r="B118" s="8" t="s">
        <v>1255</v>
      </c>
      <c r="C118" s="6">
        <f t="shared" si="18"/>
        <v>1</v>
      </c>
      <c r="D118" s="6">
        <f t="shared" si="19"/>
        <v>1</v>
      </c>
      <c r="E118" s="6">
        <f t="shared" si="20"/>
        <v>0</v>
      </c>
      <c r="F118" s="6">
        <f t="shared" si="21"/>
        <v>0</v>
      </c>
      <c r="G118" s="10" t="str">
        <f t="shared" si="22"/>
        <v>Mixed: one L2 holds several segments, so decide at L3/L4</v>
      </c>
    </row>
    <row r="119" spans="2:7" ht="118.8" x14ac:dyDescent="0.3">
      <c r="B119" s="8" t="s">
        <v>1261</v>
      </c>
      <c r="C119" s="6">
        <f t="shared" si="18"/>
        <v>0</v>
      </c>
      <c r="D119" s="6">
        <f t="shared" si="19"/>
        <v>1</v>
      </c>
      <c r="E119" s="6">
        <f t="shared" si="20"/>
        <v>1</v>
      </c>
      <c r="F119" s="6">
        <f t="shared" si="21"/>
        <v>0</v>
      </c>
      <c r="G119" s="10" t="str">
        <f t="shared" si="22"/>
        <v>Mixed: one L2 holds several segments, so decide at L3/L4</v>
      </c>
    </row>
    <row r="120" spans="2:7" ht="118.8" x14ac:dyDescent="0.3">
      <c r="B120" s="8" t="s">
        <v>1246</v>
      </c>
      <c r="C120" s="6">
        <f t="shared" si="18"/>
        <v>1</v>
      </c>
      <c r="D120" s="6">
        <f t="shared" si="19"/>
        <v>1</v>
      </c>
      <c r="E120" s="6">
        <f t="shared" si="20"/>
        <v>0</v>
      </c>
      <c r="F120" s="6">
        <f t="shared" si="21"/>
        <v>0</v>
      </c>
      <c r="G120" s="10" t="str">
        <f t="shared" si="22"/>
        <v>Mixed: one L2 holds several segments, so decide at L3/L4</v>
      </c>
    </row>
    <row r="121" spans="2:7" ht="39.6" x14ac:dyDescent="0.3">
      <c r="B121" s="8" t="s">
        <v>1293</v>
      </c>
      <c r="C121" s="6">
        <f t="shared" si="18"/>
        <v>0</v>
      </c>
      <c r="D121" s="6">
        <f t="shared" si="19"/>
        <v>0</v>
      </c>
      <c r="E121" s="6">
        <f t="shared" si="20"/>
        <v>0</v>
      </c>
      <c r="F121" s="6">
        <f t="shared" si="21"/>
        <v>2</v>
      </c>
      <c r="G121" s="10" t="str">
        <f t="shared" si="22"/>
        <v>Only parked paths</v>
      </c>
    </row>
    <row r="122" spans="2:7" ht="39.6" x14ac:dyDescent="0.3">
      <c r="B122" s="8" t="s">
        <v>1266</v>
      </c>
      <c r="C122" s="6">
        <f t="shared" si="18"/>
        <v>0</v>
      </c>
      <c r="D122" s="6">
        <f t="shared" si="19"/>
        <v>1</v>
      </c>
      <c r="E122" s="6">
        <f t="shared" si="20"/>
        <v>0</v>
      </c>
      <c r="F122" s="6">
        <f t="shared" si="21"/>
        <v>0</v>
      </c>
      <c r="G122" s="10" t="str">
        <f t="shared" si="22"/>
        <v>Single segment</v>
      </c>
    </row>
    <row r="123" spans="2:7" ht="39.6" x14ac:dyDescent="0.3">
      <c r="B123" s="8" t="s">
        <v>1282</v>
      </c>
      <c r="C123" s="6">
        <f t="shared" si="18"/>
        <v>0</v>
      </c>
      <c r="D123" s="6">
        <f t="shared" si="19"/>
        <v>1</v>
      </c>
      <c r="E123" s="6">
        <f t="shared" si="20"/>
        <v>0</v>
      </c>
      <c r="F123" s="6">
        <f t="shared" si="21"/>
        <v>0</v>
      </c>
      <c r="G123" s="10" t="str">
        <f t="shared" si="22"/>
        <v>Single segment</v>
      </c>
    </row>
    <row r="124" spans="2:7" ht="118.8" x14ac:dyDescent="0.3">
      <c r="B124" s="8" t="s">
        <v>1253</v>
      </c>
      <c r="C124" s="6">
        <f t="shared" si="18"/>
        <v>2</v>
      </c>
      <c r="D124" s="6">
        <f t="shared" si="19"/>
        <v>0</v>
      </c>
      <c r="E124" s="6">
        <f t="shared" si="20"/>
        <v>1</v>
      </c>
      <c r="F124" s="6">
        <f t="shared" si="21"/>
        <v>0</v>
      </c>
      <c r="G124" s="10" t="str">
        <f t="shared" si="22"/>
        <v>Mixed: one L2 holds several segments, so decide at L3/L4</v>
      </c>
    </row>
    <row r="125" spans="2:7" ht="39.6" x14ac:dyDescent="0.3">
      <c r="B125" s="8" t="s">
        <v>1269</v>
      </c>
      <c r="C125" s="6">
        <f t="shared" si="18"/>
        <v>1</v>
      </c>
      <c r="D125" s="6">
        <f t="shared" si="19"/>
        <v>0</v>
      </c>
      <c r="E125" s="6">
        <f t="shared" si="20"/>
        <v>0</v>
      </c>
      <c r="F125" s="6">
        <f t="shared" si="21"/>
        <v>0</v>
      </c>
      <c r="G125" s="10" t="str">
        <f t="shared" si="22"/>
        <v>Single segment</v>
      </c>
    </row>
  </sheetData>
  <autoFilter ref="A4:T80" xr:uid="{00000000-0009-0000-0000-000008000000}"/>
  <conditionalFormatting sqref="Q5:Q80">
    <cfRule type="expression" dxfId="19" priority="1">
      <formula>$Q5="Hero"</formula>
    </cfRule>
    <cfRule type="expression" dxfId="18" priority="2">
      <formula>$Q5="Probable Hero"</formula>
    </cfRule>
    <cfRule type="expression" dxfId="17" priority="3">
      <formula>$Q5="Non-Hero"</formula>
    </cfRule>
  </conditionalFormatting>
  <conditionalFormatting sqref="S5:S80">
    <cfRule type="expression" dxfId="16" priority="4">
      <formula>LEFT($S5,11)="Recommended"</formula>
    </cfRule>
    <cfRule type="expression" dxfId="15" priority="5">
      <formula>LEFT($S5,7)="Reserve"</formula>
    </cfRule>
    <cfRule type="expression" dxfId="14" priority="6">
      <formula>LEFT($S5,7)="Backlog"</formula>
    </cfRule>
    <cfRule type="expression" dxfId="13" priority="7">
      <formula>LEFT($S5,7)="Protect"</formula>
    </cfRule>
    <cfRule type="expression" dxfId="12" priority="8">
      <formula>LEFT($S5,6)="Parked"</formula>
    </cfRule>
  </conditionalFormatting>
  <dataValidations count="1">
    <dataValidation type="whole" showErrorMessage="1" sqref="I5:J80 L5:N80" xr:uid="{00000000-0002-0000-0800-000000000000}">
      <formula1>1</formula1>
      <formula2>5</formula2>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6A6A6"/>
  </sheetPr>
  <dimension ref="A1:N91"/>
  <sheetViews>
    <sheetView showGridLines="0" workbookViewId="0">
      <pane xSplit="4" ySplit="4" topLeftCell="E5" activePane="bottomRight" state="frozen"/>
      <selection pane="topRight"/>
      <selection pane="bottomLeft"/>
      <selection pane="bottomRight"/>
    </sheetView>
  </sheetViews>
  <sheetFormatPr defaultRowHeight="14.4" x14ac:dyDescent="0.3"/>
  <cols>
    <col min="1" max="1" width="8" customWidth="1"/>
    <col min="2" max="2" width="56" customWidth="1"/>
    <col min="3" max="3" width="13" customWidth="1"/>
    <col min="4" max="4" width="22" customWidth="1"/>
    <col min="5" max="9" width="10" customWidth="1"/>
    <col min="10" max="10" width="9" customWidth="1"/>
    <col min="11" max="11" width="8" customWidth="1"/>
    <col min="12" max="12" width="13" customWidth="1"/>
    <col min="13" max="13" width="16" customWidth="1"/>
    <col min="14" max="14" width="60" customWidth="1"/>
  </cols>
  <sheetData>
    <row r="1" spans="1:14" ht="21" x14ac:dyDescent="0.4">
      <c r="A1" s="1" t="s">
        <v>1300</v>
      </c>
    </row>
    <row r="2" spans="1:14" x14ac:dyDescent="0.3">
      <c r="A2" s="2" t="s">
        <v>1301</v>
      </c>
    </row>
    <row r="4" spans="1:14" ht="30" customHeight="1" x14ac:dyDescent="0.3">
      <c r="A4" s="5" t="s">
        <v>705</v>
      </c>
      <c r="B4" s="5" t="s">
        <v>128</v>
      </c>
      <c r="C4" s="5" t="s">
        <v>125</v>
      </c>
      <c r="D4" s="5" t="s">
        <v>1302</v>
      </c>
      <c r="E4" s="5" t="s">
        <v>1303</v>
      </c>
      <c r="F4" s="5" t="s">
        <v>1304</v>
      </c>
      <c r="G4" s="5" t="s">
        <v>1305</v>
      </c>
      <c r="H4" s="5" t="s">
        <v>1306</v>
      </c>
      <c r="I4" s="5" t="s">
        <v>1307</v>
      </c>
      <c r="J4" s="5" t="s">
        <v>1308</v>
      </c>
      <c r="K4" s="5" t="s">
        <v>1309</v>
      </c>
      <c r="L4" s="5" t="s">
        <v>1310</v>
      </c>
      <c r="M4" s="5" t="s">
        <v>1311</v>
      </c>
      <c r="N4" s="5" t="s">
        <v>507</v>
      </c>
    </row>
    <row r="5" spans="1:14" ht="26.4" x14ac:dyDescent="0.3">
      <c r="A5" s="6" t="s">
        <v>786</v>
      </c>
      <c r="B5" s="10" t="s">
        <v>21</v>
      </c>
      <c r="C5" s="6" t="str">
        <f>INDEX('Path Scorecard'!$AB$5:$AB$80,MATCH($A5,'Path Scorecard'!$A$5:$A$80,0))</f>
        <v>Recommended</v>
      </c>
      <c r="D5" s="8" t="s">
        <v>669</v>
      </c>
      <c r="E5" s="19">
        <v>5</v>
      </c>
      <c r="F5" s="19">
        <v>4</v>
      </c>
      <c r="G5" s="19">
        <v>4</v>
      </c>
      <c r="H5" s="6">
        <v>5</v>
      </c>
      <c r="I5" s="6">
        <v>3</v>
      </c>
      <c r="J5" s="9">
        <f>(E5*'Competitor Criteria'!$F$11+F5*'Competitor Criteria'!$F$12+G5*'Competitor Criteria'!$F$13+H5*'Competitor Criteria'!$F$14+I5*'Competitor Criteria'!$F$15)/(5*'Competitor Criteria'!$F$16)*100+E5/1000</f>
        <v>86.004999999999995</v>
      </c>
      <c r="K5" s="6">
        <f t="shared" ref="K5:K36" si="0">COUNTIFS($A$5:$A$91,A5,$J$5:$J$91,"&gt;"&amp;J5)+1</f>
        <v>1</v>
      </c>
      <c r="L5" s="8" t="str">
        <f t="shared" ref="L5:L36" si="1">IF(K5=1,"Primary 1",IF(K5=2,"Primary 2","Alternate"))</f>
        <v>Primary 1</v>
      </c>
      <c r="M5" s="10" t="str">
        <f t="shared" ref="M5:M36" si="2">A5&amp;"|"&amp;L5</f>
        <v>P01|Primary 1</v>
      </c>
    </row>
    <row r="6" spans="1:14" ht="26.4" x14ac:dyDescent="0.3">
      <c r="A6" s="6" t="s">
        <v>786</v>
      </c>
      <c r="B6" s="10" t="s">
        <v>21</v>
      </c>
      <c r="C6" s="6" t="str">
        <f>INDEX('Path Scorecard'!$AB$5:$AB$80,MATCH($A6,'Path Scorecard'!$A$5:$A$80,0))</f>
        <v>Recommended</v>
      </c>
      <c r="D6" s="8" t="s">
        <v>1312</v>
      </c>
      <c r="E6" s="19">
        <v>3</v>
      </c>
      <c r="F6" s="19">
        <v>5</v>
      </c>
      <c r="G6" s="19">
        <v>5</v>
      </c>
      <c r="H6" s="6">
        <v>3</v>
      </c>
      <c r="I6" s="6">
        <v>3</v>
      </c>
      <c r="J6" s="9">
        <f>(E6*'Competitor Criteria'!$F$11+F6*'Competitor Criteria'!$F$12+G6*'Competitor Criteria'!$F$13+H6*'Competitor Criteria'!$F$14+I6*'Competitor Criteria'!$F$15)/(5*'Competitor Criteria'!$F$16)*100+E6/1000</f>
        <v>76.003</v>
      </c>
      <c r="K6" s="6">
        <f t="shared" si="0"/>
        <v>2</v>
      </c>
      <c r="L6" s="8" t="str">
        <f t="shared" si="1"/>
        <v>Primary 2</v>
      </c>
      <c r="M6" s="10" t="str">
        <f t="shared" si="2"/>
        <v>P01|Primary 2</v>
      </c>
    </row>
    <row r="7" spans="1:14" ht="26.4" x14ac:dyDescent="0.3">
      <c r="A7" s="6" t="s">
        <v>786</v>
      </c>
      <c r="B7" s="10" t="s">
        <v>21</v>
      </c>
      <c r="C7" s="6" t="str">
        <f>INDEX('Path Scorecard'!$AB$5:$AB$80,MATCH($A7,'Path Scorecard'!$A$5:$A$80,0))</f>
        <v>Recommended</v>
      </c>
      <c r="D7" s="8" t="s">
        <v>1313</v>
      </c>
      <c r="E7" s="19">
        <v>4</v>
      </c>
      <c r="F7" s="19">
        <v>3</v>
      </c>
      <c r="G7" s="19">
        <v>4</v>
      </c>
      <c r="H7" s="6">
        <v>5</v>
      </c>
      <c r="I7" s="6">
        <v>2</v>
      </c>
      <c r="J7" s="9">
        <f>(E7*'Competitor Criteria'!$F$11+F7*'Competitor Criteria'!$F$12+G7*'Competitor Criteria'!$F$13+H7*'Competitor Criteria'!$F$14+I7*'Competitor Criteria'!$F$15)/(5*'Competitor Criteria'!$F$16)*100+E7/1000</f>
        <v>72.004000000000005</v>
      </c>
      <c r="K7" s="6">
        <f t="shared" si="0"/>
        <v>3</v>
      </c>
      <c r="L7" s="8" t="str">
        <f t="shared" si="1"/>
        <v>Alternate</v>
      </c>
      <c r="M7" s="10" t="str">
        <f t="shared" si="2"/>
        <v>P01|Alternate</v>
      </c>
    </row>
    <row r="8" spans="1:14" ht="26.4" x14ac:dyDescent="0.3">
      <c r="A8" s="6" t="s">
        <v>913</v>
      </c>
      <c r="B8" s="10" t="s">
        <v>24</v>
      </c>
      <c r="C8" s="6" t="str">
        <f>INDEX('Path Scorecard'!$AB$5:$AB$80,MATCH($A8,'Path Scorecard'!$A$5:$A$80,0))</f>
        <v>Recommended</v>
      </c>
      <c r="D8" s="8" t="s">
        <v>1312</v>
      </c>
      <c r="E8" s="19">
        <v>4</v>
      </c>
      <c r="F8" s="19">
        <v>5</v>
      </c>
      <c r="G8" s="19">
        <v>5</v>
      </c>
      <c r="H8" s="6">
        <v>3</v>
      </c>
      <c r="I8" s="6">
        <v>3</v>
      </c>
      <c r="J8" s="9">
        <f>(E8*'Competitor Criteria'!$F$11+F8*'Competitor Criteria'!$F$12+G8*'Competitor Criteria'!$F$13+H8*'Competitor Criteria'!$F$14+I8*'Competitor Criteria'!$F$15)/(5*'Competitor Criteria'!$F$16)*100+E8/1000</f>
        <v>82.004000000000005</v>
      </c>
      <c r="K8" s="6">
        <f t="shared" si="0"/>
        <v>1</v>
      </c>
      <c r="L8" s="8" t="str">
        <f t="shared" si="1"/>
        <v>Primary 1</v>
      </c>
      <c r="M8" s="10" t="str">
        <f t="shared" si="2"/>
        <v>P02|Primary 1</v>
      </c>
    </row>
    <row r="9" spans="1:14" ht="26.4" x14ac:dyDescent="0.3">
      <c r="A9" s="6" t="s">
        <v>913</v>
      </c>
      <c r="B9" s="10" t="s">
        <v>24</v>
      </c>
      <c r="C9" s="6" t="str">
        <f>INDEX('Path Scorecard'!$AB$5:$AB$80,MATCH($A9,'Path Scorecard'!$A$5:$A$80,0))</f>
        <v>Recommended</v>
      </c>
      <c r="D9" s="8" t="s">
        <v>669</v>
      </c>
      <c r="E9" s="19">
        <v>5</v>
      </c>
      <c r="F9" s="19">
        <v>3</v>
      </c>
      <c r="G9" s="19">
        <v>4</v>
      </c>
      <c r="H9" s="6">
        <v>5</v>
      </c>
      <c r="I9" s="6">
        <v>3</v>
      </c>
      <c r="J9" s="9">
        <f>(E9*'Competitor Criteria'!$F$11+F9*'Competitor Criteria'!$F$12+G9*'Competitor Criteria'!$F$13+H9*'Competitor Criteria'!$F$14+I9*'Competitor Criteria'!$F$15)/(5*'Competitor Criteria'!$F$16)*100+E9/1000</f>
        <v>81.004999999999995</v>
      </c>
      <c r="K9" s="6">
        <f t="shared" si="0"/>
        <v>2</v>
      </c>
      <c r="L9" s="8" t="str">
        <f t="shared" si="1"/>
        <v>Primary 2</v>
      </c>
      <c r="M9" s="10" t="str">
        <f t="shared" si="2"/>
        <v>P02|Primary 2</v>
      </c>
    </row>
    <row r="10" spans="1:14" ht="26.4" x14ac:dyDescent="0.3">
      <c r="A10" s="6" t="s">
        <v>913</v>
      </c>
      <c r="B10" s="10" t="s">
        <v>24</v>
      </c>
      <c r="C10" s="6" t="str">
        <f>INDEX('Path Scorecard'!$AB$5:$AB$80,MATCH($A10,'Path Scorecard'!$A$5:$A$80,0))</f>
        <v>Recommended</v>
      </c>
      <c r="D10" s="8" t="s">
        <v>640</v>
      </c>
      <c r="E10" s="19">
        <v>3</v>
      </c>
      <c r="F10" s="19">
        <v>4</v>
      </c>
      <c r="G10" s="19">
        <v>3</v>
      </c>
      <c r="H10" s="6">
        <v>3</v>
      </c>
      <c r="I10" s="6">
        <v>4</v>
      </c>
      <c r="J10" s="9">
        <f>(E10*'Competitor Criteria'!$F$11+F10*'Competitor Criteria'!$F$12+G10*'Competitor Criteria'!$F$13+H10*'Competitor Criteria'!$F$14+I10*'Competitor Criteria'!$F$15)/(5*'Competitor Criteria'!$F$16)*100+E10/1000</f>
        <v>68.003</v>
      </c>
      <c r="K10" s="6">
        <f t="shared" si="0"/>
        <v>3</v>
      </c>
      <c r="L10" s="8" t="str">
        <f t="shared" si="1"/>
        <v>Alternate</v>
      </c>
      <c r="M10" s="10" t="str">
        <f t="shared" si="2"/>
        <v>P02|Alternate</v>
      </c>
    </row>
    <row r="11" spans="1:14" ht="26.4" x14ac:dyDescent="0.3">
      <c r="A11" s="6" t="s">
        <v>943</v>
      </c>
      <c r="B11" s="10" t="s">
        <v>27</v>
      </c>
      <c r="C11" s="6" t="str">
        <f>INDEX('Path Scorecard'!$AB$5:$AB$80,MATCH($A11,'Path Scorecard'!$A$5:$A$80,0))</f>
        <v>Recommended</v>
      </c>
      <c r="D11" s="8" t="s">
        <v>669</v>
      </c>
      <c r="E11" s="19">
        <v>5</v>
      </c>
      <c r="F11" s="19">
        <v>4</v>
      </c>
      <c r="G11" s="19">
        <v>4</v>
      </c>
      <c r="H11" s="6">
        <v>5</v>
      </c>
      <c r="I11" s="6">
        <v>3</v>
      </c>
      <c r="J11" s="9">
        <f>(E11*'Competitor Criteria'!$F$11+F11*'Competitor Criteria'!$F$12+G11*'Competitor Criteria'!$F$13+H11*'Competitor Criteria'!$F$14+I11*'Competitor Criteria'!$F$15)/(5*'Competitor Criteria'!$F$16)*100+E11/1000</f>
        <v>86.004999999999995</v>
      </c>
      <c r="K11" s="6">
        <f t="shared" si="0"/>
        <v>1</v>
      </c>
      <c r="L11" s="8" t="str">
        <f t="shared" si="1"/>
        <v>Primary 1</v>
      </c>
      <c r="M11" s="10" t="str">
        <f t="shared" si="2"/>
        <v>P09|Primary 1</v>
      </c>
    </row>
    <row r="12" spans="1:14" ht="26.4" x14ac:dyDescent="0.3">
      <c r="A12" s="6" t="s">
        <v>943</v>
      </c>
      <c r="B12" s="10" t="s">
        <v>27</v>
      </c>
      <c r="C12" s="6" t="str">
        <f>INDEX('Path Scorecard'!$AB$5:$AB$80,MATCH($A12,'Path Scorecard'!$A$5:$A$80,0))</f>
        <v>Recommended</v>
      </c>
      <c r="D12" s="8" t="s">
        <v>1313</v>
      </c>
      <c r="E12" s="19">
        <v>4</v>
      </c>
      <c r="F12" s="19">
        <v>3</v>
      </c>
      <c r="G12" s="19">
        <v>4</v>
      </c>
      <c r="H12" s="6">
        <v>5</v>
      </c>
      <c r="I12" s="6">
        <v>2</v>
      </c>
      <c r="J12" s="9">
        <f>(E12*'Competitor Criteria'!$F$11+F12*'Competitor Criteria'!$F$12+G12*'Competitor Criteria'!$F$13+H12*'Competitor Criteria'!$F$14+I12*'Competitor Criteria'!$F$15)/(5*'Competitor Criteria'!$F$16)*100+E12/1000</f>
        <v>72.004000000000005</v>
      </c>
      <c r="K12" s="6">
        <f t="shared" si="0"/>
        <v>2</v>
      </c>
      <c r="L12" s="8" t="str">
        <f t="shared" si="1"/>
        <v>Primary 2</v>
      </c>
      <c r="M12" s="10" t="str">
        <f t="shared" si="2"/>
        <v>P09|Primary 2</v>
      </c>
    </row>
    <row r="13" spans="1:14" ht="26.4" x14ac:dyDescent="0.3">
      <c r="A13" s="6" t="s">
        <v>943</v>
      </c>
      <c r="B13" s="10" t="s">
        <v>27</v>
      </c>
      <c r="C13" s="6" t="str">
        <f>INDEX('Path Scorecard'!$AB$5:$AB$80,MATCH($A13,'Path Scorecard'!$A$5:$A$80,0))</f>
        <v>Recommended</v>
      </c>
      <c r="D13" s="8" t="s">
        <v>1312</v>
      </c>
      <c r="E13" s="19">
        <v>2</v>
      </c>
      <c r="F13" s="19">
        <v>5</v>
      </c>
      <c r="G13" s="19">
        <v>4</v>
      </c>
      <c r="H13" s="6">
        <v>3</v>
      </c>
      <c r="I13" s="6">
        <v>3</v>
      </c>
      <c r="J13" s="9">
        <f>(E13*'Competitor Criteria'!$F$11+F13*'Competitor Criteria'!$F$12+G13*'Competitor Criteria'!$F$13+H13*'Competitor Criteria'!$F$14+I13*'Competitor Criteria'!$F$15)/(5*'Competitor Criteria'!$F$16)*100+E13/1000</f>
        <v>67.001999999999995</v>
      </c>
      <c r="K13" s="6">
        <f t="shared" si="0"/>
        <v>3</v>
      </c>
      <c r="L13" s="8" t="str">
        <f t="shared" si="1"/>
        <v>Alternate</v>
      </c>
      <c r="M13" s="10" t="str">
        <f t="shared" si="2"/>
        <v>P09|Alternate</v>
      </c>
    </row>
    <row r="14" spans="1:14" ht="26.4" x14ac:dyDescent="0.3">
      <c r="A14" s="6" t="s">
        <v>756</v>
      </c>
      <c r="B14" s="10" t="s">
        <v>30</v>
      </c>
      <c r="C14" s="6" t="str">
        <f>INDEX('Path Scorecard'!$AB$5:$AB$80,MATCH($A14,'Path Scorecard'!$A$5:$A$80,0))</f>
        <v>Recommended</v>
      </c>
      <c r="D14" s="8" t="s">
        <v>669</v>
      </c>
      <c r="E14" s="19">
        <v>5</v>
      </c>
      <c r="F14" s="19">
        <v>4</v>
      </c>
      <c r="G14" s="19">
        <v>4</v>
      </c>
      <c r="H14" s="6">
        <v>5</v>
      </c>
      <c r="I14" s="6">
        <v>3</v>
      </c>
      <c r="J14" s="9">
        <f>(E14*'Competitor Criteria'!$F$11+F14*'Competitor Criteria'!$F$12+G14*'Competitor Criteria'!$F$13+H14*'Competitor Criteria'!$F$14+I14*'Competitor Criteria'!$F$15)/(5*'Competitor Criteria'!$F$16)*100+E14/1000</f>
        <v>86.004999999999995</v>
      </c>
      <c r="K14" s="6">
        <f t="shared" si="0"/>
        <v>1</v>
      </c>
      <c r="L14" s="8" t="str">
        <f t="shared" si="1"/>
        <v>Primary 1</v>
      </c>
      <c r="M14" s="10" t="str">
        <f t="shared" si="2"/>
        <v>P07|Primary 1</v>
      </c>
    </row>
    <row r="15" spans="1:14" ht="26.4" x14ac:dyDescent="0.3">
      <c r="A15" s="6" t="s">
        <v>756</v>
      </c>
      <c r="B15" s="10" t="s">
        <v>30</v>
      </c>
      <c r="C15" s="6" t="str">
        <f>INDEX('Path Scorecard'!$AB$5:$AB$80,MATCH($A15,'Path Scorecard'!$A$5:$A$80,0))</f>
        <v>Recommended</v>
      </c>
      <c r="D15" s="8" t="s">
        <v>1312</v>
      </c>
      <c r="E15" s="19">
        <v>4</v>
      </c>
      <c r="F15" s="19">
        <v>5</v>
      </c>
      <c r="G15" s="19">
        <v>5</v>
      </c>
      <c r="H15" s="6">
        <v>3</v>
      </c>
      <c r="I15" s="6">
        <v>3</v>
      </c>
      <c r="J15" s="9">
        <f>(E15*'Competitor Criteria'!$F$11+F15*'Competitor Criteria'!$F$12+G15*'Competitor Criteria'!$F$13+H15*'Competitor Criteria'!$F$14+I15*'Competitor Criteria'!$F$15)/(5*'Competitor Criteria'!$F$16)*100+E15/1000</f>
        <v>82.004000000000005</v>
      </c>
      <c r="K15" s="6">
        <f t="shared" si="0"/>
        <v>2</v>
      </c>
      <c r="L15" s="8" t="str">
        <f t="shared" si="1"/>
        <v>Primary 2</v>
      </c>
      <c r="M15" s="10" t="str">
        <f t="shared" si="2"/>
        <v>P07|Primary 2</v>
      </c>
    </row>
    <row r="16" spans="1:14" ht="26.4" x14ac:dyDescent="0.3">
      <c r="A16" s="6" t="s">
        <v>756</v>
      </c>
      <c r="B16" s="10" t="s">
        <v>30</v>
      </c>
      <c r="C16" s="6" t="str">
        <f>INDEX('Path Scorecard'!$AB$5:$AB$80,MATCH($A16,'Path Scorecard'!$A$5:$A$80,0))</f>
        <v>Recommended</v>
      </c>
      <c r="D16" s="8" t="s">
        <v>1314</v>
      </c>
      <c r="E16" s="19">
        <v>4</v>
      </c>
      <c r="F16" s="19">
        <v>4</v>
      </c>
      <c r="G16" s="19">
        <v>3</v>
      </c>
      <c r="H16" s="6">
        <v>4</v>
      </c>
      <c r="I16" s="6">
        <v>2</v>
      </c>
      <c r="J16" s="9">
        <f>(E16*'Competitor Criteria'!$F$11+F16*'Competitor Criteria'!$F$12+G16*'Competitor Criteria'!$F$13+H16*'Competitor Criteria'!$F$14+I16*'Competitor Criteria'!$F$15)/(5*'Competitor Criteria'!$F$16)*100+E16/1000</f>
        <v>71.004000000000005</v>
      </c>
      <c r="K16" s="6">
        <f t="shared" si="0"/>
        <v>3</v>
      </c>
      <c r="L16" s="8" t="str">
        <f t="shared" si="1"/>
        <v>Alternate</v>
      </c>
      <c r="M16" s="10" t="str">
        <f t="shared" si="2"/>
        <v>P07|Alternate</v>
      </c>
    </row>
    <row r="17" spans="1:13" x14ac:dyDescent="0.3">
      <c r="A17" s="6" t="s">
        <v>734</v>
      </c>
      <c r="B17" s="10" t="s">
        <v>33</v>
      </c>
      <c r="C17" s="6" t="str">
        <f>INDEX('Path Scorecard'!$AB$5:$AB$80,MATCH($A17,'Path Scorecard'!$A$5:$A$80,0))</f>
        <v>Recommended</v>
      </c>
      <c r="D17" s="8" t="s">
        <v>640</v>
      </c>
      <c r="E17" s="19">
        <v>5</v>
      </c>
      <c r="F17" s="19">
        <v>5</v>
      </c>
      <c r="G17" s="19">
        <v>5</v>
      </c>
      <c r="H17" s="6">
        <v>3</v>
      </c>
      <c r="I17" s="6">
        <v>4</v>
      </c>
      <c r="J17" s="9">
        <f>(E17*'Competitor Criteria'!$F$11+F17*'Competitor Criteria'!$F$12+G17*'Competitor Criteria'!$F$13+H17*'Competitor Criteria'!$F$14+I17*'Competitor Criteria'!$F$15)/(5*'Competitor Criteria'!$F$16)*100+E17/1000</f>
        <v>91.004999999999995</v>
      </c>
      <c r="K17" s="6">
        <f t="shared" si="0"/>
        <v>1</v>
      </c>
      <c r="L17" s="8" t="str">
        <f t="shared" si="1"/>
        <v>Primary 1</v>
      </c>
      <c r="M17" s="10" t="str">
        <f t="shared" si="2"/>
        <v>P13|Primary 1</v>
      </c>
    </row>
    <row r="18" spans="1:13" x14ac:dyDescent="0.3">
      <c r="A18" s="6" t="s">
        <v>734</v>
      </c>
      <c r="B18" s="10" t="s">
        <v>33</v>
      </c>
      <c r="C18" s="6" t="str">
        <f>INDEX('Path Scorecard'!$AB$5:$AB$80,MATCH($A18,'Path Scorecard'!$A$5:$A$80,0))</f>
        <v>Recommended</v>
      </c>
      <c r="D18" s="8" t="s">
        <v>669</v>
      </c>
      <c r="E18" s="19">
        <v>5</v>
      </c>
      <c r="F18" s="19">
        <v>3</v>
      </c>
      <c r="G18" s="19">
        <v>4</v>
      </c>
      <c r="H18" s="6">
        <v>5</v>
      </c>
      <c r="I18" s="6">
        <v>3</v>
      </c>
      <c r="J18" s="9">
        <f>(E18*'Competitor Criteria'!$F$11+F18*'Competitor Criteria'!$F$12+G18*'Competitor Criteria'!$F$13+H18*'Competitor Criteria'!$F$14+I18*'Competitor Criteria'!$F$15)/(5*'Competitor Criteria'!$F$16)*100+E18/1000</f>
        <v>81.004999999999995</v>
      </c>
      <c r="K18" s="6">
        <f t="shared" si="0"/>
        <v>2</v>
      </c>
      <c r="L18" s="8" t="str">
        <f t="shared" si="1"/>
        <v>Primary 2</v>
      </c>
      <c r="M18" s="10" t="str">
        <f t="shared" si="2"/>
        <v>P13|Primary 2</v>
      </c>
    </row>
    <row r="19" spans="1:13" x14ac:dyDescent="0.3">
      <c r="A19" s="6" t="s">
        <v>734</v>
      </c>
      <c r="B19" s="10" t="s">
        <v>33</v>
      </c>
      <c r="C19" s="6" t="str">
        <f>INDEX('Path Scorecard'!$AB$5:$AB$80,MATCH($A19,'Path Scorecard'!$A$5:$A$80,0))</f>
        <v>Recommended</v>
      </c>
      <c r="D19" s="8" t="s">
        <v>1312</v>
      </c>
      <c r="E19" s="19">
        <v>2</v>
      </c>
      <c r="F19" s="19">
        <v>4</v>
      </c>
      <c r="G19" s="19">
        <v>4</v>
      </c>
      <c r="H19" s="6">
        <v>3</v>
      </c>
      <c r="I19" s="6">
        <v>3</v>
      </c>
      <c r="J19" s="9">
        <f>(E19*'Competitor Criteria'!$F$11+F19*'Competitor Criteria'!$F$12+G19*'Competitor Criteria'!$F$13+H19*'Competitor Criteria'!$F$14+I19*'Competitor Criteria'!$F$15)/(5*'Competitor Criteria'!$F$16)*100+E19/1000</f>
        <v>62.002000000000002</v>
      </c>
      <c r="K19" s="6">
        <f t="shared" si="0"/>
        <v>3</v>
      </c>
      <c r="L19" s="8" t="str">
        <f t="shared" si="1"/>
        <v>Alternate</v>
      </c>
      <c r="M19" s="10" t="str">
        <f t="shared" si="2"/>
        <v>P13|Alternate</v>
      </c>
    </row>
    <row r="20" spans="1:13" x14ac:dyDescent="0.3">
      <c r="A20" s="6" t="s">
        <v>983</v>
      </c>
      <c r="B20" s="10" t="s">
        <v>36</v>
      </c>
      <c r="C20" s="6" t="str">
        <f>INDEX('Path Scorecard'!$AB$5:$AB$80,MATCH($A20,'Path Scorecard'!$A$5:$A$80,0))</f>
        <v>Recommended</v>
      </c>
      <c r="D20" s="8" t="s">
        <v>669</v>
      </c>
      <c r="E20" s="19">
        <v>5</v>
      </c>
      <c r="F20" s="19">
        <v>4</v>
      </c>
      <c r="G20" s="19">
        <v>4</v>
      </c>
      <c r="H20" s="6">
        <v>5</v>
      </c>
      <c r="I20" s="6">
        <v>3</v>
      </c>
      <c r="J20" s="9">
        <f>(E20*'Competitor Criteria'!$F$11+F20*'Competitor Criteria'!$F$12+G20*'Competitor Criteria'!$F$13+H20*'Competitor Criteria'!$F$14+I20*'Competitor Criteria'!$F$15)/(5*'Competitor Criteria'!$F$16)*100+E20/1000</f>
        <v>86.004999999999995</v>
      </c>
      <c r="K20" s="6">
        <f t="shared" si="0"/>
        <v>1</v>
      </c>
      <c r="L20" s="8" t="str">
        <f t="shared" si="1"/>
        <v>Primary 1</v>
      </c>
      <c r="M20" s="10" t="str">
        <f t="shared" si="2"/>
        <v>P19|Primary 1</v>
      </c>
    </row>
    <row r="21" spans="1:13" x14ac:dyDescent="0.3">
      <c r="A21" s="6" t="s">
        <v>983</v>
      </c>
      <c r="B21" s="10" t="s">
        <v>36</v>
      </c>
      <c r="C21" s="6" t="str">
        <f>INDEX('Path Scorecard'!$AB$5:$AB$80,MATCH($A21,'Path Scorecard'!$A$5:$A$80,0))</f>
        <v>Recommended</v>
      </c>
      <c r="D21" s="8" t="s">
        <v>640</v>
      </c>
      <c r="E21" s="19">
        <v>4</v>
      </c>
      <c r="F21" s="19">
        <v>4</v>
      </c>
      <c r="G21" s="19">
        <v>4</v>
      </c>
      <c r="H21" s="6">
        <v>3</v>
      </c>
      <c r="I21" s="6">
        <v>4</v>
      </c>
      <c r="J21" s="9">
        <f>(E21*'Competitor Criteria'!$F$11+F21*'Competitor Criteria'!$F$12+G21*'Competitor Criteria'!$F$13+H21*'Competitor Criteria'!$F$14+I21*'Competitor Criteria'!$F$15)/(5*'Competitor Criteria'!$F$16)*100+E21/1000</f>
        <v>77.004000000000005</v>
      </c>
      <c r="K21" s="6">
        <f t="shared" si="0"/>
        <v>2</v>
      </c>
      <c r="L21" s="8" t="str">
        <f t="shared" si="1"/>
        <v>Primary 2</v>
      </c>
      <c r="M21" s="10" t="str">
        <f t="shared" si="2"/>
        <v>P19|Primary 2</v>
      </c>
    </row>
    <row r="22" spans="1:13" x14ac:dyDescent="0.3">
      <c r="A22" s="6" t="s">
        <v>983</v>
      </c>
      <c r="B22" s="10" t="s">
        <v>36</v>
      </c>
      <c r="C22" s="6" t="str">
        <f>INDEX('Path Scorecard'!$AB$5:$AB$80,MATCH($A22,'Path Scorecard'!$A$5:$A$80,0))</f>
        <v>Recommended</v>
      </c>
      <c r="D22" s="8" t="s">
        <v>1312</v>
      </c>
      <c r="E22" s="19">
        <v>2</v>
      </c>
      <c r="F22" s="19">
        <v>5</v>
      </c>
      <c r="G22" s="19">
        <v>4</v>
      </c>
      <c r="H22" s="6">
        <v>3</v>
      </c>
      <c r="I22" s="6">
        <v>3</v>
      </c>
      <c r="J22" s="9">
        <f>(E22*'Competitor Criteria'!$F$11+F22*'Competitor Criteria'!$F$12+G22*'Competitor Criteria'!$F$13+H22*'Competitor Criteria'!$F$14+I22*'Competitor Criteria'!$F$15)/(5*'Competitor Criteria'!$F$16)*100+E22/1000</f>
        <v>67.001999999999995</v>
      </c>
      <c r="K22" s="6">
        <f t="shared" si="0"/>
        <v>3</v>
      </c>
      <c r="L22" s="8" t="str">
        <f t="shared" si="1"/>
        <v>Alternate</v>
      </c>
      <c r="M22" s="10" t="str">
        <f t="shared" si="2"/>
        <v>P19|Alternate</v>
      </c>
    </row>
    <row r="23" spans="1:13" ht="26.4" x14ac:dyDescent="0.3">
      <c r="A23" s="6" t="s">
        <v>1014</v>
      </c>
      <c r="B23" s="10" t="s">
        <v>39</v>
      </c>
      <c r="C23" s="6" t="str">
        <f>INDEX('Path Scorecard'!$AB$5:$AB$80,MATCH($A23,'Path Scorecard'!$A$5:$A$80,0))</f>
        <v>Recommended</v>
      </c>
      <c r="D23" s="8" t="s">
        <v>669</v>
      </c>
      <c r="E23" s="19">
        <v>5</v>
      </c>
      <c r="F23" s="19">
        <v>4</v>
      </c>
      <c r="G23" s="19">
        <v>4</v>
      </c>
      <c r="H23" s="6">
        <v>5</v>
      </c>
      <c r="I23" s="6">
        <v>3</v>
      </c>
      <c r="J23" s="9">
        <f>(E23*'Competitor Criteria'!$F$11+F23*'Competitor Criteria'!$F$12+G23*'Competitor Criteria'!$F$13+H23*'Competitor Criteria'!$F$14+I23*'Competitor Criteria'!$F$15)/(5*'Competitor Criteria'!$F$16)*100+E23/1000</f>
        <v>86.004999999999995</v>
      </c>
      <c r="K23" s="6">
        <f t="shared" si="0"/>
        <v>1</v>
      </c>
      <c r="L23" s="8" t="str">
        <f t="shared" si="1"/>
        <v>Primary 1</v>
      </c>
      <c r="M23" s="10" t="str">
        <f t="shared" si="2"/>
        <v>P27|Primary 1</v>
      </c>
    </row>
    <row r="24" spans="1:13" ht="26.4" x14ac:dyDescent="0.3">
      <c r="A24" s="6" t="s">
        <v>1014</v>
      </c>
      <c r="B24" s="10" t="s">
        <v>39</v>
      </c>
      <c r="C24" s="6" t="str">
        <f>INDEX('Path Scorecard'!$AB$5:$AB$80,MATCH($A24,'Path Scorecard'!$A$5:$A$80,0))</f>
        <v>Recommended</v>
      </c>
      <c r="D24" s="8" t="s">
        <v>1315</v>
      </c>
      <c r="E24" s="19">
        <v>5</v>
      </c>
      <c r="F24" s="19">
        <v>4</v>
      </c>
      <c r="G24" s="19">
        <v>4</v>
      </c>
      <c r="H24" s="6">
        <v>3</v>
      </c>
      <c r="I24" s="6">
        <v>4</v>
      </c>
      <c r="J24" s="9">
        <f>(E24*'Competitor Criteria'!$F$11+F24*'Competitor Criteria'!$F$12+G24*'Competitor Criteria'!$F$13+H24*'Competitor Criteria'!$F$14+I24*'Competitor Criteria'!$F$15)/(5*'Competitor Criteria'!$F$16)*100+E24/1000</f>
        <v>83.004999999999995</v>
      </c>
      <c r="K24" s="6">
        <f t="shared" si="0"/>
        <v>2</v>
      </c>
      <c r="L24" s="8" t="str">
        <f t="shared" si="1"/>
        <v>Primary 2</v>
      </c>
      <c r="M24" s="10" t="str">
        <f t="shared" si="2"/>
        <v>P27|Primary 2</v>
      </c>
    </row>
    <row r="25" spans="1:13" ht="26.4" x14ac:dyDescent="0.3">
      <c r="A25" s="6" t="s">
        <v>1014</v>
      </c>
      <c r="B25" s="10" t="s">
        <v>39</v>
      </c>
      <c r="C25" s="6" t="str">
        <f>INDEX('Path Scorecard'!$AB$5:$AB$80,MATCH($A25,'Path Scorecard'!$A$5:$A$80,0))</f>
        <v>Recommended</v>
      </c>
      <c r="D25" s="8" t="s">
        <v>1313</v>
      </c>
      <c r="E25" s="19">
        <v>3</v>
      </c>
      <c r="F25" s="19">
        <v>2</v>
      </c>
      <c r="G25" s="19">
        <v>3</v>
      </c>
      <c r="H25" s="6">
        <v>5</v>
      </c>
      <c r="I25" s="6">
        <v>2</v>
      </c>
      <c r="J25" s="9">
        <f>(E25*'Competitor Criteria'!$F$11+F25*'Competitor Criteria'!$F$12+G25*'Competitor Criteria'!$F$13+H25*'Competitor Criteria'!$F$14+I25*'Competitor Criteria'!$F$15)/(5*'Competitor Criteria'!$F$16)*100+E25/1000</f>
        <v>58.002999999999993</v>
      </c>
      <c r="K25" s="6">
        <f t="shared" si="0"/>
        <v>3</v>
      </c>
      <c r="L25" s="8" t="str">
        <f t="shared" si="1"/>
        <v>Alternate</v>
      </c>
      <c r="M25" s="10" t="str">
        <f t="shared" si="2"/>
        <v>P27|Alternate</v>
      </c>
    </row>
    <row r="26" spans="1:13" ht="26.4" x14ac:dyDescent="0.3">
      <c r="A26" s="6" t="s">
        <v>765</v>
      </c>
      <c r="B26" s="10" t="s">
        <v>42</v>
      </c>
      <c r="C26" s="6" t="str">
        <f>INDEX('Path Scorecard'!$AB$5:$AB$80,MATCH($A26,'Path Scorecard'!$A$5:$A$80,0))</f>
        <v>Recommended</v>
      </c>
      <c r="D26" s="8" t="s">
        <v>1314</v>
      </c>
      <c r="E26" s="19">
        <v>5</v>
      </c>
      <c r="F26" s="19">
        <v>5</v>
      </c>
      <c r="G26" s="19">
        <v>3</v>
      </c>
      <c r="H26" s="6">
        <v>4</v>
      </c>
      <c r="I26" s="6">
        <v>2</v>
      </c>
      <c r="J26" s="9">
        <f>(E26*'Competitor Criteria'!$F$11+F26*'Competitor Criteria'!$F$12+G26*'Competitor Criteria'!$F$13+H26*'Competitor Criteria'!$F$14+I26*'Competitor Criteria'!$F$15)/(5*'Competitor Criteria'!$F$16)*100+E26/1000</f>
        <v>82.004999999999995</v>
      </c>
      <c r="K26" s="6">
        <f t="shared" si="0"/>
        <v>1</v>
      </c>
      <c r="L26" s="8" t="str">
        <f t="shared" si="1"/>
        <v>Primary 1</v>
      </c>
      <c r="M26" s="10" t="str">
        <f t="shared" si="2"/>
        <v>P03|Primary 1</v>
      </c>
    </row>
    <row r="27" spans="1:13" ht="26.4" x14ac:dyDescent="0.3">
      <c r="A27" s="6" t="s">
        <v>765</v>
      </c>
      <c r="B27" s="10" t="s">
        <v>42</v>
      </c>
      <c r="C27" s="6" t="str">
        <f>INDEX('Path Scorecard'!$AB$5:$AB$80,MATCH($A27,'Path Scorecard'!$A$5:$A$80,0))</f>
        <v>Recommended</v>
      </c>
      <c r="D27" s="8" t="s">
        <v>1312</v>
      </c>
      <c r="E27" s="19">
        <v>4</v>
      </c>
      <c r="F27" s="19">
        <v>5</v>
      </c>
      <c r="G27" s="19">
        <v>5</v>
      </c>
      <c r="H27" s="6">
        <v>3</v>
      </c>
      <c r="I27" s="6">
        <v>3</v>
      </c>
      <c r="J27" s="9">
        <f>(E27*'Competitor Criteria'!$F$11+F27*'Competitor Criteria'!$F$12+G27*'Competitor Criteria'!$F$13+H27*'Competitor Criteria'!$F$14+I27*'Competitor Criteria'!$F$15)/(5*'Competitor Criteria'!$F$16)*100+E27/1000</f>
        <v>82.004000000000005</v>
      </c>
      <c r="K27" s="6">
        <f t="shared" si="0"/>
        <v>2</v>
      </c>
      <c r="L27" s="8" t="str">
        <f t="shared" si="1"/>
        <v>Primary 2</v>
      </c>
      <c r="M27" s="10" t="str">
        <f t="shared" si="2"/>
        <v>P03|Primary 2</v>
      </c>
    </row>
    <row r="28" spans="1:13" ht="26.4" x14ac:dyDescent="0.3">
      <c r="A28" s="6" t="s">
        <v>765</v>
      </c>
      <c r="B28" s="10" t="s">
        <v>42</v>
      </c>
      <c r="C28" s="6" t="str">
        <f>INDEX('Path Scorecard'!$AB$5:$AB$80,MATCH($A28,'Path Scorecard'!$A$5:$A$80,0))</f>
        <v>Recommended</v>
      </c>
      <c r="D28" s="8" t="s">
        <v>669</v>
      </c>
      <c r="E28" s="19">
        <v>5</v>
      </c>
      <c r="F28" s="19">
        <v>3</v>
      </c>
      <c r="G28" s="19">
        <v>4</v>
      </c>
      <c r="H28" s="6">
        <v>5</v>
      </c>
      <c r="I28" s="6">
        <v>3</v>
      </c>
      <c r="J28" s="9">
        <f>(E28*'Competitor Criteria'!$F$11+F28*'Competitor Criteria'!$F$12+G28*'Competitor Criteria'!$F$13+H28*'Competitor Criteria'!$F$14+I28*'Competitor Criteria'!$F$15)/(5*'Competitor Criteria'!$F$16)*100+E28/1000</f>
        <v>81.004999999999995</v>
      </c>
      <c r="K28" s="6">
        <f t="shared" si="0"/>
        <v>3</v>
      </c>
      <c r="L28" s="8" t="str">
        <f t="shared" si="1"/>
        <v>Alternate</v>
      </c>
      <c r="M28" s="10" t="str">
        <f t="shared" si="2"/>
        <v>P03|Alternate</v>
      </c>
    </row>
    <row r="29" spans="1:13" x14ac:dyDescent="0.3">
      <c r="A29" s="6" t="s">
        <v>710</v>
      </c>
      <c r="B29" s="10" t="s">
        <v>45</v>
      </c>
      <c r="C29" s="6" t="str">
        <f>INDEX('Path Scorecard'!$AB$5:$AB$80,MATCH($A29,'Path Scorecard'!$A$5:$A$80,0))</f>
        <v>Recommended</v>
      </c>
      <c r="D29" s="8" t="s">
        <v>640</v>
      </c>
      <c r="E29" s="19">
        <v>5</v>
      </c>
      <c r="F29" s="19">
        <v>5</v>
      </c>
      <c r="G29" s="19">
        <v>4</v>
      </c>
      <c r="H29" s="6">
        <v>3</v>
      </c>
      <c r="I29" s="6">
        <v>4</v>
      </c>
      <c r="J29" s="9">
        <f>(E29*'Competitor Criteria'!$F$11+F29*'Competitor Criteria'!$F$12+G29*'Competitor Criteria'!$F$13+H29*'Competitor Criteria'!$F$14+I29*'Competitor Criteria'!$F$15)/(5*'Competitor Criteria'!$F$16)*100+E29/1000</f>
        <v>88.004999999999995</v>
      </c>
      <c r="K29" s="6">
        <f t="shared" si="0"/>
        <v>1</v>
      </c>
      <c r="L29" s="8" t="str">
        <f t="shared" si="1"/>
        <v>Primary 1</v>
      </c>
      <c r="M29" s="10" t="str">
        <f t="shared" si="2"/>
        <v>P04|Primary 1</v>
      </c>
    </row>
    <row r="30" spans="1:13" ht="26.4" x14ac:dyDescent="0.3">
      <c r="A30" s="6" t="s">
        <v>710</v>
      </c>
      <c r="B30" s="10" t="s">
        <v>45</v>
      </c>
      <c r="C30" s="6" t="str">
        <f>INDEX('Path Scorecard'!$AB$5:$AB$80,MATCH($A30,'Path Scorecard'!$A$5:$A$80,0))</f>
        <v>Recommended</v>
      </c>
      <c r="D30" s="8" t="s">
        <v>669</v>
      </c>
      <c r="E30" s="19">
        <v>5</v>
      </c>
      <c r="F30" s="19">
        <v>3</v>
      </c>
      <c r="G30" s="19">
        <v>3</v>
      </c>
      <c r="H30" s="6">
        <v>5</v>
      </c>
      <c r="I30" s="6">
        <v>3</v>
      </c>
      <c r="J30" s="9">
        <f>(E30*'Competitor Criteria'!$F$11+F30*'Competitor Criteria'!$F$12+G30*'Competitor Criteria'!$F$13+H30*'Competitor Criteria'!$F$14+I30*'Competitor Criteria'!$F$15)/(5*'Competitor Criteria'!$F$16)*100+E30/1000</f>
        <v>78.004999999999995</v>
      </c>
      <c r="K30" s="6">
        <f t="shared" si="0"/>
        <v>2</v>
      </c>
      <c r="L30" s="8" t="str">
        <f t="shared" si="1"/>
        <v>Primary 2</v>
      </c>
      <c r="M30" s="10" t="str">
        <f t="shared" si="2"/>
        <v>P04|Primary 2</v>
      </c>
    </row>
    <row r="31" spans="1:13" ht="26.4" x14ac:dyDescent="0.3">
      <c r="A31" s="6" t="s">
        <v>710</v>
      </c>
      <c r="B31" s="10" t="s">
        <v>45</v>
      </c>
      <c r="C31" s="6" t="str">
        <f>INDEX('Path Scorecard'!$AB$5:$AB$80,MATCH($A31,'Path Scorecard'!$A$5:$A$80,0))</f>
        <v>Recommended</v>
      </c>
      <c r="D31" s="8" t="s">
        <v>1312</v>
      </c>
      <c r="E31" s="19">
        <v>3</v>
      </c>
      <c r="F31" s="19">
        <v>5</v>
      </c>
      <c r="G31" s="19">
        <v>4</v>
      </c>
      <c r="H31" s="6">
        <v>3</v>
      </c>
      <c r="I31" s="6">
        <v>3</v>
      </c>
      <c r="J31" s="9">
        <f>(E31*'Competitor Criteria'!$F$11+F31*'Competitor Criteria'!$F$12+G31*'Competitor Criteria'!$F$13+H31*'Competitor Criteria'!$F$14+I31*'Competitor Criteria'!$F$15)/(5*'Competitor Criteria'!$F$16)*100+E31/1000</f>
        <v>73.003</v>
      </c>
      <c r="K31" s="6">
        <f t="shared" si="0"/>
        <v>3</v>
      </c>
      <c r="L31" s="8" t="str">
        <f t="shared" si="1"/>
        <v>Alternate</v>
      </c>
      <c r="M31" s="10" t="str">
        <f t="shared" si="2"/>
        <v>P04|Alternate</v>
      </c>
    </row>
    <row r="32" spans="1:13" ht="26.4" x14ac:dyDescent="0.3">
      <c r="A32" s="6" t="s">
        <v>742</v>
      </c>
      <c r="B32" s="10" t="s">
        <v>48</v>
      </c>
      <c r="C32" s="6" t="str">
        <f>INDEX('Path Scorecard'!$AB$5:$AB$80,MATCH($A32,'Path Scorecard'!$A$5:$A$80,0))</f>
        <v>Recommended</v>
      </c>
      <c r="D32" s="8" t="s">
        <v>640</v>
      </c>
      <c r="E32" s="19">
        <v>5</v>
      </c>
      <c r="F32" s="19">
        <v>5</v>
      </c>
      <c r="G32" s="19">
        <v>4</v>
      </c>
      <c r="H32" s="6">
        <v>3</v>
      </c>
      <c r="I32" s="6">
        <v>4</v>
      </c>
      <c r="J32" s="9">
        <f>(E32*'Competitor Criteria'!$F$11+F32*'Competitor Criteria'!$F$12+G32*'Competitor Criteria'!$F$13+H32*'Competitor Criteria'!$F$14+I32*'Competitor Criteria'!$F$15)/(5*'Competitor Criteria'!$F$16)*100+E32/1000</f>
        <v>88.004999999999995</v>
      </c>
      <c r="K32" s="6">
        <f t="shared" si="0"/>
        <v>1</v>
      </c>
      <c r="L32" s="8" t="str">
        <f t="shared" si="1"/>
        <v>Primary 1</v>
      </c>
      <c r="M32" s="10" t="str">
        <f t="shared" si="2"/>
        <v>P05|Primary 1</v>
      </c>
    </row>
    <row r="33" spans="1:13" ht="26.4" x14ac:dyDescent="0.3">
      <c r="A33" s="6" t="s">
        <v>742</v>
      </c>
      <c r="B33" s="10" t="s">
        <v>48</v>
      </c>
      <c r="C33" s="6" t="str">
        <f>INDEX('Path Scorecard'!$AB$5:$AB$80,MATCH($A33,'Path Scorecard'!$A$5:$A$80,0))</f>
        <v>Recommended</v>
      </c>
      <c r="D33" s="8" t="s">
        <v>669</v>
      </c>
      <c r="E33" s="19">
        <v>5</v>
      </c>
      <c r="F33" s="19">
        <v>3</v>
      </c>
      <c r="G33" s="19">
        <v>4</v>
      </c>
      <c r="H33" s="6">
        <v>5</v>
      </c>
      <c r="I33" s="6">
        <v>3</v>
      </c>
      <c r="J33" s="9">
        <f>(E33*'Competitor Criteria'!$F$11+F33*'Competitor Criteria'!$F$12+G33*'Competitor Criteria'!$F$13+H33*'Competitor Criteria'!$F$14+I33*'Competitor Criteria'!$F$15)/(5*'Competitor Criteria'!$F$16)*100+E33/1000</f>
        <v>81.004999999999995</v>
      </c>
      <c r="K33" s="6">
        <f t="shared" si="0"/>
        <v>2</v>
      </c>
      <c r="L33" s="8" t="str">
        <f t="shared" si="1"/>
        <v>Primary 2</v>
      </c>
      <c r="M33" s="10" t="str">
        <f t="shared" si="2"/>
        <v>P05|Primary 2</v>
      </c>
    </row>
    <row r="34" spans="1:13" ht="26.4" x14ac:dyDescent="0.3">
      <c r="A34" s="6" t="s">
        <v>742</v>
      </c>
      <c r="B34" s="10" t="s">
        <v>48</v>
      </c>
      <c r="C34" s="6" t="str">
        <f>INDEX('Path Scorecard'!$AB$5:$AB$80,MATCH($A34,'Path Scorecard'!$A$5:$A$80,0))</f>
        <v>Recommended</v>
      </c>
      <c r="D34" s="8" t="s">
        <v>1312</v>
      </c>
      <c r="E34" s="19">
        <v>3</v>
      </c>
      <c r="F34" s="19">
        <v>5</v>
      </c>
      <c r="G34" s="19">
        <v>5</v>
      </c>
      <c r="H34" s="6">
        <v>3</v>
      </c>
      <c r="I34" s="6">
        <v>3</v>
      </c>
      <c r="J34" s="9">
        <f>(E34*'Competitor Criteria'!$F$11+F34*'Competitor Criteria'!$F$12+G34*'Competitor Criteria'!$F$13+H34*'Competitor Criteria'!$F$14+I34*'Competitor Criteria'!$F$15)/(5*'Competitor Criteria'!$F$16)*100+E34/1000</f>
        <v>76.003</v>
      </c>
      <c r="K34" s="6">
        <f t="shared" si="0"/>
        <v>3</v>
      </c>
      <c r="L34" s="8" t="str">
        <f t="shared" si="1"/>
        <v>Alternate</v>
      </c>
      <c r="M34" s="10" t="str">
        <f t="shared" si="2"/>
        <v>P05|Alternate</v>
      </c>
    </row>
    <row r="35" spans="1:13" ht="26.4" x14ac:dyDescent="0.3">
      <c r="A35" s="6" t="s">
        <v>930</v>
      </c>
      <c r="B35" s="10" t="s">
        <v>51</v>
      </c>
      <c r="C35" s="6" t="str">
        <f>INDEX('Path Scorecard'!$AB$5:$AB$80,MATCH($A35,'Path Scorecard'!$A$5:$A$80,0))</f>
        <v>Recommended</v>
      </c>
      <c r="D35" s="8" t="s">
        <v>669</v>
      </c>
      <c r="E35" s="19">
        <v>5</v>
      </c>
      <c r="F35" s="19">
        <v>4</v>
      </c>
      <c r="G35" s="19">
        <v>4</v>
      </c>
      <c r="H35" s="6">
        <v>5</v>
      </c>
      <c r="I35" s="6">
        <v>3</v>
      </c>
      <c r="J35" s="9">
        <f>(E35*'Competitor Criteria'!$F$11+F35*'Competitor Criteria'!$F$12+G35*'Competitor Criteria'!$F$13+H35*'Competitor Criteria'!$F$14+I35*'Competitor Criteria'!$F$15)/(5*'Competitor Criteria'!$F$16)*100+E35/1000</f>
        <v>86.004999999999995</v>
      </c>
      <c r="K35" s="6">
        <f t="shared" si="0"/>
        <v>1</v>
      </c>
      <c r="L35" s="8" t="str">
        <f t="shared" si="1"/>
        <v>Primary 1</v>
      </c>
      <c r="M35" s="10" t="str">
        <f t="shared" si="2"/>
        <v>P06|Primary 1</v>
      </c>
    </row>
    <row r="36" spans="1:13" ht="26.4" x14ac:dyDescent="0.3">
      <c r="A36" s="6" t="s">
        <v>930</v>
      </c>
      <c r="B36" s="10" t="s">
        <v>51</v>
      </c>
      <c r="C36" s="6" t="str">
        <f>INDEX('Path Scorecard'!$AB$5:$AB$80,MATCH($A36,'Path Scorecard'!$A$5:$A$80,0))</f>
        <v>Recommended</v>
      </c>
      <c r="D36" s="8" t="s">
        <v>1312</v>
      </c>
      <c r="E36" s="19">
        <v>4</v>
      </c>
      <c r="F36" s="19">
        <v>5</v>
      </c>
      <c r="G36" s="19">
        <v>5</v>
      </c>
      <c r="H36" s="6">
        <v>3</v>
      </c>
      <c r="I36" s="6">
        <v>3</v>
      </c>
      <c r="J36" s="9">
        <f>(E36*'Competitor Criteria'!$F$11+F36*'Competitor Criteria'!$F$12+G36*'Competitor Criteria'!$F$13+H36*'Competitor Criteria'!$F$14+I36*'Competitor Criteria'!$F$15)/(5*'Competitor Criteria'!$F$16)*100+E36/1000</f>
        <v>82.004000000000005</v>
      </c>
      <c r="K36" s="6">
        <f t="shared" si="0"/>
        <v>2</v>
      </c>
      <c r="L36" s="8" t="str">
        <f t="shared" si="1"/>
        <v>Primary 2</v>
      </c>
      <c r="M36" s="10" t="str">
        <f t="shared" si="2"/>
        <v>P06|Primary 2</v>
      </c>
    </row>
    <row r="37" spans="1:13" ht="26.4" x14ac:dyDescent="0.3">
      <c r="A37" s="6" t="s">
        <v>930</v>
      </c>
      <c r="B37" s="10" t="s">
        <v>51</v>
      </c>
      <c r="C37" s="6" t="str">
        <f>INDEX('Path Scorecard'!$AB$5:$AB$80,MATCH($A37,'Path Scorecard'!$A$5:$A$80,0))</f>
        <v>Recommended</v>
      </c>
      <c r="D37" s="8" t="s">
        <v>1313</v>
      </c>
      <c r="E37" s="19">
        <v>4</v>
      </c>
      <c r="F37" s="19">
        <v>3</v>
      </c>
      <c r="G37" s="19">
        <v>4</v>
      </c>
      <c r="H37" s="6">
        <v>5</v>
      </c>
      <c r="I37" s="6">
        <v>2</v>
      </c>
      <c r="J37" s="9">
        <f>(E37*'Competitor Criteria'!$F$11+F37*'Competitor Criteria'!$F$12+G37*'Competitor Criteria'!$F$13+H37*'Competitor Criteria'!$F$14+I37*'Competitor Criteria'!$F$15)/(5*'Competitor Criteria'!$F$16)*100+E37/1000</f>
        <v>72.004000000000005</v>
      </c>
      <c r="K37" s="6">
        <f t="shared" ref="K37:K68" si="3">COUNTIFS($A$5:$A$91,A37,$J$5:$J$91,"&gt;"&amp;J37)+1</f>
        <v>3</v>
      </c>
      <c r="L37" s="8" t="str">
        <f t="shared" ref="L37:L68" si="4">IF(K37=1,"Primary 1",IF(K37=2,"Primary 2","Alternate"))</f>
        <v>Alternate</v>
      </c>
      <c r="M37" s="10" t="str">
        <f t="shared" ref="M37:M68" si="5">A37&amp;"|"&amp;L37</f>
        <v>P06|Alternate</v>
      </c>
    </row>
    <row r="38" spans="1:13" ht="26.4" x14ac:dyDescent="0.3">
      <c r="A38" s="6" t="s">
        <v>757</v>
      </c>
      <c r="B38" s="10" t="s">
        <v>54</v>
      </c>
      <c r="C38" s="6" t="str">
        <f>INDEX('Path Scorecard'!$AB$5:$AB$80,MATCH($A38,'Path Scorecard'!$A$5:$A$80,0))</f>
        <v>Recommended</v>
      </c>
      <c r="D38" s="8" t="s">
        <v>669</v>
      </c>
      <c r="E38" s="19">
        <v>5</v>
      </c>
      <c r="F38" s="19">
        <v>4</v>
      </c>
      <c r="G38" s="19">
        <v>4</v>
      </c>
      <c r="H38" s="6">
        <v>5</v>
      </c>
      <c r="I38" s="6">
        <v>3</v>
      </c>
      <c r="J38" s="9">
        <f>(E38*'Competitor Criteria'!$F$11+F38*'Competitor Criteria'!$F$12+G38*'Competitor Criteria'!$F$13+H38*'Competitor Criteria'!$F$14+I38*'Competitor Criteria'!$F$15)/(5*'Competitor Criteria'!$F$16)*100+E38/1000</f>
        <v>86.004999999999995</v>
      </c>
      <c r="K38" s="6">
        <f t="shared" si="3"/>
        <v>1</v>
      </c>
      <c r="L38" s="8" t="str">
        <f t="shared" si="4"/>
        <v>Primary 1</v>
      </c>
      <c r="M38" s="10" t="str">
        <f t="shared" si="5"/>
        <v>P08|Primary 1</v>
      </c>
    </row>
    <row r="39" spans="1:13" ht="26.4" x14ac:dyDescent="0.3">
      <c r="A39" s="6" t="s">
        <v>757</v>
      </c>
      <c r="B39" s="10" t="s">
        <v>54</v>
      </c>
      <c r="C39" s="6" t="str">
        <f>INDEX('Path Scorecard'!$AB$5:$AB$80,MATCH($A39,'Path Scorecard'!$A$5:$A$80,0))</f>
        <v>Recommended</v>
      </c>
      <c r="D39" s="8" t="s">
        <v>1312</v>
      </c>
      <c r="E39" s="19">
        <v>4</v>
      </c>
      <c r="F39" s="19">
        <v>5</v>
      </c>
      <c r="G39" s="19">
        <v>5</v>
      </c>
      <c r="H39" s="6">
        <v>3</v>
      </c>
      <c r="I39" s="6">
        <v>3</v>
      </c>
      <c r="J39" s="9">
        <f>(E39*'Competitor Criteria'!$F$11+F39*'Competitor Criteria'!$F$12+G39*'Competitor Criteria'!$F$13+H39*'Competitor Criteria'!$F$14+I39*'Competitor Criteria'!$F$15)/(5*'Competitor Criteria'!$F$16)*100+E39/1000</f>
        <v>82.004000000000005</v>
      </c>
      <c r="K39" s="6">
        <f t="shared" si="3"/>
        <v>2</v>
      </c>
      <c r="L39" s="8" t="str">
        <f t="shared" si="4"/>
        <v>Primary 2</v>
      </c>
      <c r="M39" s="10" t="str">
        <f t="shared" si="5"/>
        <v>P08|Primary 2</v>
      </c>
    </row>
    <row r="40" spans="1:13" ht="26.4" x14ac:dyDescent="0.3">
      <c r="A40" s="6" t="s">
        <v>757</v>
      </c>
      <c r="B40" s="10" t="s">
        <v>54</v>
      </c>
      <c r="C40" s="6" t="str">
        <f>INDEX('Path Scorecard'!$AB$5:$AB$80,MATCH($A40,'Path Scorecard'!$A$5:$A$80,0))</f>
        <v>Recommended</v>
      </c>
      <c r="D40" s="8" t="s">
        <v>1313</v>
      </c>
      <c r="E40" s="19">
        <v>4</v>
      </c>
      <c r="F40" s="19">
        <v>3</v>
      </c>
      <c r="G40" s="19">
        <v>4</v>
      </c>
      <c r="H40" s="6">
        <v>5</v>
      </c>
      <c r="I40" s="6">
        <v>2</v>
      </c>
      <c r="J40" s="9">
        <f>(E40*'Competitor Criteria'!$F$11+F40*'Competitor Criteria'!$F$12+G40*'Competitor Criteria'!$F$13+H40*'Competitor Criteria'!$F$14+I40*'Competitor Criteria'!$F$15)/(5*'Competitor Criteria'!$F$16)*100+E40/1000</f>
        <v>72.004000000000005</v>
      </c>
      <c r="K40" s="6">
        <f t="shared" si="3"/>
        <v>3</v>
      </c>
      <c r="L40" s="8" t="str">
        <f t="shared" si="4"/>
        <v>Alternate</v>
      </c>
      <c r="M40" s="10" t="str">
        <f t="shared" si="5"/>
        <v>P08|Alternate</v>
      </c>
    </row>
    <row r="41" spans="1:13" ht="26.4" x14ac:dyDescent="0.3">
      <c r="A41" s="6" t="s">
        <v>949</v>
      </c>
      <c r="B41" s="10" t="s">
        <v>57</v>
      </c>
      <c r="C41" s="6" t="str">
        <f>INDEX('Path Scorecard'!$AB$5:$AB$80,MATCH($A41,'Path Scorecard'!$A$5:$A$80,0))</f>
        <v>Recommended</v>
      </c>
      <c r="D41" s="8" t="s">
        <v>640</v>
      </c>
      <c r="E41" s="19">
        <v>5</v>
      </c>
      <c r="F41" s="19">
        <v>5</v>
      </c>
      <c r="G41" s="19">
        <v>4</v>
      </c>
      <c r="H41" s="6">
        <v>3</v>
      </c>
      <c r="I41" s="6">
        <v>4</v>
      </c>
      <c r="J41" s="9">
        <f>(E41*'Competitor Criteria'!$F$11+F41*'Competitor Criteria'!$F$12+G41*'Competitor Criteria'!$F$13+H41*'Competitor Criteria'!$F$14+I41*'Competitor Criteria'!$F$15)/(5*'Competitor Criteria'!$F$16)*100+E41/1000</f>
        <v>88.004999999999995</v>
      </c>
      <c r="K41" s="6">
        <f t="shared" si="3"/>
        <v>1</v>
      </c>
      <c r="L41" s="8" t="str">
        <f t="shared" si="4"/>
        <v>Primary 1</v>
      </c>
      <c r="M41" s="10" t="str">
        <f t="shared" si="5"/>
        <v>P10|Primary 1</v>
      </c>
    </row>
    <row r="42" spans="1:13" ht="26.4" x14ac:dyDescent="0.3">
      <c r="A42" s="6" t="s">
        <v>949</v>
      </c>
      <c r="B42" s="10" t="s">
        <v>57</v>
      </c>
      <c r="C42" s="6" t="str">
        <f>INDEX('Path Scorecard'!$AB$5:$AB$80,MATCH($A42,'Path Scorecard'!$A$5:$A$80,0))</f>
        <v>Recommended</v>
      </c>
      <c r="D42" s="8" t="s">
        <v>1312</v>
      </c>
      <c r="E42" s="19">
        <v>4</v>
      </c>
      <c r="F42" s="19">
        <v>5</v>
      </c>
      <c r="G42" s="19">
        <v>5</v>
      </c>
      <c r="H42" s="6">
        <v>3</v>
      </c>
      <c r="I42" s="6">
        <v>3</v>
      </c>
      <c r="J42" s="9">
        <f>(E42*'Competitor Criteria'!$F$11+F42*'Competitor Criteria'!$F$12+G42*'Competitor Criteria'!$F$13+H42*'Competitor Criteria'!$F$14+I42*'Competitor Criteria'!$F$15)/(5*'Competitor Criteria'!$F$16)*100+E42/1000</f>
        <v>82.004000000000005</v>
      </c>
      <c r="K42" s="6">
        <f t="shared" si="3"/>
        <v>2</v>
      </c>
      <c r="L42" s="8" t="str">
        <f t="shared" si="4"/>
        <v>Primary 2</v>
      </c>
      <c r="M42" s="10" t="str">
        <f t="shared" si="5"/>
        <v>P10|Primary 2</v>
      </c>
    </row>
    <row r="43" spans="1:13" ht="26.4" x14ac:dyDescent="0.3">
      <c r="A43" s="6" t="s">
        <v>949</v>
      </c>
      <c r="B43" s="10" t="s">
        <v>57</v>
      </c>
      <c r="C43" s="6" t="str">
        <f>INDEX('Path Scorecard'!$AB$5:$AB$80,MATCH($A43,'Path Scorecard'!$A$5:$A$80,0))</f>
        <v>Recommended</v>
      </c>
      <c r="D43" s="8" t="s">
        <v>669</v>
      </c>
      <c r="E43" s="19">
        <v>5</v>
      </c>
      <c r="F43" s="19">
        <v>3</v>
      </c>
      <c r="G43" s="19">
        <v>4</v>
      </c>
      <c r="H43" s="6">
        <v>5</v>
      </c>
      <c r="I43" s="6">
        <v>3</v>
      </c>
      <c r="J43" s="9">
        <f>(E43*'Competitor Criteria'!$F$11+F43*'Competitor Criteria'!$F$12+G43*'Competitor Criteria'!$F$13+H43*'Competitor Criteria'!$F$14+I43*'Competitor Criteria'!$F$15)/(5*'Competitor Criteria'!$F$16)*100+E43/1000</f>
        <v>81.004999999999995</v>
      </c>
      <c r="K43" s="6">
        <f t="shared" si="3"/>
        <v>3</v>
      </c>
      <c r="L43" s="8" t="str">
        <f t="shared" si="4"/>
        <v>Alternate</v>
      </c>
      <c r="M43" s="10" t="str">
        <f t="shared" si="5"/>
        <v>P10|Alternate</v>
      </c>
    </row>
    <row r="44" spans="1:13" ht="26.4" x14ac:dyDescent="0.3">
      <c r="A44" s="6" t="s">
        <v>758</v>
      </c>
      <c r="B44" s="10" t="s">
        <v>60</v>
      </c>
      <c r="C44" s="6" t="str">
        <f>INDEX('Path Scorecard'!$AB$5:$AB$80,MATCH($A44,'Path Scorecard'!$A$5:$A$80,0))</f>
        <v>Recommended</v>
      </c>
      <c r="D44" s="8" t="s">
        <v>669</v>
      </c>
      <c r="E44" s="19">
        <v>5</v>
      </c>
      <c r="F44" s="19">
        <v>4</v>
      </c>
      <c r="G44" s="19">
        <v>4</v>
      </c>
      <c r="H44" s="6">
        <v>5</v>
      </c>
      <c r="I44" s="6">
        <v>3</v>
      </c>
      <c r="J44" s="9">
        <f>(E44*'Competitor Criteria'!$F$11+F44*'Competitor Criteria'!$F$12+G44*'Competitor Criteria'!$F$13+H44*'Competitor Criteria'!$F$14+I44*'Competitor Criteria'!$F$15)/(5*'Competitor Criteria'!$F$16)*100+E44/1000</f>
        <v>86.004999999999995</v>
      </c>
      <c r="K44" s="6">
        <f t="shared" si="3"/>
        <v>1</v>
      </c>
      <c r="L44" s="8" t="str">
        <f t="shared" si="4"/>
        <v>Primary 1</v>
      </c>
      <c r="M44" s="10" t="str">
        <f t="shared" si="5"/>
        <v>P11|Primary 1</v>
      </c>
    </row>
    <row r="45" spans="1:13" ht="26.4" x14ac:dyDescent="0.3">
      <c r="A45" s="6" t="s">
        <v>758</v>
      </c>
      <c r="B45" s="10" t="s">
        <v>60</v>
      </c>
      <c r="C45" s="6" t="str">
        <f>INDEX('Path Scorecard'!$AB$5:$AB$80,MATCH($A45,'Path Scorecard'!$A$5:$A$80,0))</f>
        <v>Recommended</v>
      </c>
      <c r="D45" s="8" t="s">
        <v>1312</v>
      </c>
      <c r="E45" s="19">
        <v>3</v>
      </c>
      <c r="F45" s="19">
        <v>4</v>
      </c>
      <c r="G45" s="19">
        <v>5</v>
      </c>
      <c r="H45" s="6">
        <v>3</v>
      </c>
      <c r="I45" s="6">
        <v>3</v>
      </c>
      <c r="J45" s="9">
        <f>(E45*'Competitor Criteria'!$F$11+F45*'Competitor Criteria'!$F$12+G45*'Competitor Criteria'!$F$13+H45*'Competitor Criteria'!$F$14+I45*'Competitor Criteria'!$F$15)/(5*'Competitor Criteria'!$F$16)*100+E45/1000</f>
        <v>71.003</v>
      </c>
      <c r="K45" s="6">
        <f t="shared" si="3"/>
        <v>2</v>
      </c>
      <c r="L45" s="8" t="str">
        <f t="shared" si="4"/>
        <v>Primary 2</v>
      </c>
      <c r="M45" s="10" t="str">
        <f t="shared" si="5"/>
        <v>P11|Primary 2</v>
      </c>
    </row>
    <row r="46" spans="1:13" ht="26.4" x14ac:dyDescent="0.3">
      <c r="A46" s="6" t="s">
        <v>758</v>
      </c>
      <c r="B46" s="10" t="s">
        <v>60</v>
      </c>
      <c r="C46" s="6" t="str">
        <f>INDEX('Path Scorecard'!$AB$5:$AB$80,MATCH($A46,'Path Scorecard'!$A$5:$A$80,0))</f>
        <v>Recommended</v>
      </c>
      <c r="D46" s="8" t="s">
        <v>1315</v>
      </c>
      <c r="E46" s="19">
        <v>3</v>
      </c>
      <c r="F46" s="19">
        <v>3</v>
      </c>
      <c r="G46" s="19">
        <v>4</v>
      </c>
      <c r="H46" s="6">
        <v>3</v>
      </c>
      <c r="I46" s="6">
        <v>4</v>
      </c>
      <c r="J46" s="9">
        <f>(E46*'Competitor Criteria'!$F$11+F46*'Competitor Criteria'!$F$12+G46*'Competitor Criteria'!$F$13+H46*'Competitor Criteria'!$F$14+I46*'Competitor Criteria'!$F$15)/(5*'Competitor Criteria'!$F$16)*100+E46/1000</f>
        <v>66.003</v>
      </c>
      <c r="K46" s="6">
        <f t="shared" si="3"/>
        <v>3</v>
      </c>
      <c r="L46" s="8" t="str">
        <f t="shared" si="4"/>
        <v>Alternate</v>
      </c>
      <c r="M46" s="10" t="str">
        <f t="shared" si="5"/>
        <v>P11|Alternate</v>
      </c>
    </row>
    <row r="47" spans="1:13" ht="26.4" x14ac:dyDescent="0.3">
      <c r="A47" s="6" t="s">
        <v>987</v>
      </c>
      <c r="B47" s="10" t="s">
        <v>63</v>
      </c>
      <c r="C47" s="6" t="str">
        <f>INDEX('Path Scorecard'!$AB$5:$AB$80,MATCH($A47,'Path Scorecard'!$A$5:$A$80,0))</f>
        <v>Recommended</v>
      </c>
      <c r="D47" s="8" t="s">
        <v>640</v>
      </c>
      <c r="E47" s="19">
        <v>5</v>
      </c>
      <c r="F47" s="19">
        <v>5</v>
      </c>
      <c r="G47" s="19">
        <v>4</v>
      </c>
      <c r="H47" s="6">
        <v>3</v>
      </c>
      <c r="I47" s="6">
        <v>4</v>
      </c>
      <c r="J47" s="9">
        <f>(E47*'Competitor Criteria'!$F$11+F47*'Competitor Criteria'!$F$12+G47*'Competitor Criteria'!$F$13+H47*'Competitor Criteria'!$F$14+I47*'Competitor Criteria'!$F$15)/(5*'Competitor Criteria'!$F$16)*100+E47/1000</f>
        <v>88.004999999999995</v>
      </c>
      <c r="K47" s="6">
        <f t="shared" si="3"/>
        <v>1</v>
      </c>
      <c r="L47" s="8" t="str">
        <f t="shared" si="4"/>
        <v>Primary 1</v>
      </c>
      <c r="M47" s="10" t="str">
        <f t="shared" si="5"/>
        <v>P20|Primary 1</v>
      </c>
    </row>
    <row r="48" spans="1:13" ht="26.4" x14ac:dyDescent="0.3">
      <c r="A48" s="6" t="s">
        <v>987</v>
      </c>
      <c r="B48" s="10" t="s">
        <v>63</v>
      </c>
      <c r="C48" s="6" t="str">
        <f>INDEX('Path Scorecard'!$AB$5:$AB$80,MATCH($A48,'Path Scorecard'!$A$5:$A$80,0))</f>
        <v>Recommended</v>
      </c>
      <c r="D48" s="8" t="s">
        <v>669</v>
      </c>
      <c r="E48" s="19">
        <v>5</v>
      </c>
      <c r="F48" s="19">
        <v>3</v>
      </c>
      <c r="G48" s="19">
        <v>3</v>
      </c>
      <c r="H48" s="6">
        <v>5</v>
      </c>
      <c r="I48" s="6">
        <v>3</v>
      </c>
      <c r="J48" s="9">
        <f>(E48*'Competitor Criteria'!$F$11+F48*'Competitor Criteria'!$F$12+G48*'Competitor Criteria'!$F$13+H48*'Competitor Criteria'!$F$14+I48*'Competitor Criteria'!$F$15)/(5*'Competitor Criteria'!$F$16)*100+E48/1000</f>
        <v>78.004999999999995</v>
      </c>
      <c r="K48" s="6">
        <f t="shared" si="3"/>
        <v>2</v>
      </c>
      <c r="L48" s="8" t="str">
        <f t="shared" si="4"/>
        <v>Primary 2</v>
      </c>
      <c r="M48" s="10" t="str">
        <f t="shared" si="5"/>
        <v>P20|Primary 2</v>
      </c>
    </row>
    <row r="49" spans="1:13" ht="26.4" x14ac:dyDescent="0.3">
      <c r="A49" s="6" t="s">
        <v>987</v>
      </c>
      <c r="B49" s="10" t="s">
        <v>63</v>
      </c>
      <c r="C49" s="6" t="str">
        <f>INDEX('Path Scorecard'!$AB$5:$AB$80,MATCH($A49,'Path Scorecard'!$A$5:$A$80,0))</f>
        <v>Recommended</v>
      </c>
      <c r="D49" s="8" t="s">
        <v>1312</v>
      </c>
      <c r="E49" s="19">
        <v>3</v>
      </c>
      <c r="F49" s="19">
        <v>5</v>
      </c>
      <c r="G49" s="19">
        <v>4</v>
      </c>
      <c r="H49" s="6">
        <v>3</v>
      </c>
      <c r="I49" s="6">
        <v>3</v>
      </c>
      <c r="J49" s="9">
        <f>(E49*'Competitor Criteria'!$F$11+F49*'Competitor Criteria'!$F$12+G49*'Competitor Criteria'!$F$13+H49*'Competitor Criteria'!$F$14+I49*'Competitor Criteria'!$F$15)/(5*'Competitor Criteria'!$F$16)*100+E49/1000</f>
        <v>73.003</v>
      </c>
      <c r="K49" s="6">
        <f t="shared" si="3"/>
        <v>3</v>
      </c>
      <c r="L49" s="8" t="str">
        <f t="shared" si="4"/>
        <v>Alternate</v>
      </c>
      <c r="M49" s="10" t="str">
        <f t="shared" si="5"/>
        <v>P20|Alternate</v>
      </c>
    </row>
    <row r="50" spans="1:13" ht="26.4" x14ac:dyDescent="0.3">
      <c r="A50" s="6" t="s">
        <v>1000</v>
      </c>
      <c r="B50" s="10" t="s">
        <v>65</v>
      </c>
      <c r="C50" s="6" t="str">
        <f>INDEX('Path Scorecard'!$AB$5:$AB$80,MATCH($A50,'Path Scorecard'!$A$5:$A$80,0))</f>
        <v>Recommended</v>
      </c>
      <c r="D50" s="8" t="s">
        <v>669</v>
      </c>
      <c r="E50" s="19">
        <v>5</v>
      </c>
      <c r="F50" s="19">
        <v>4</v>
      </c>
      <c r="G50" s="19">
        <v>4</v>
      </c>
      <c r="H50" s="6">
        <v>5</v>
      </c>
      <c r="I50" s="6">
        <v>3</v>
      </c>
      <c r="J50" s="9">
        <f>(E50*'Competitor Criteria'!$F$11+F50*'Competitor Criteria'!$F$12+G50*'Competitor Criteria'!$F$13+H50*'Competitor Criteria'!$F$14+I50*'Competitor Criteria'!$F$15)/(5*'Competitor Criteria'!$F$16)*100+E50/1000</f>
        <v>86.004999999999995</v>
      </c>
      <c r="K50" s="6">
        <f t="shared" si="3"/>
        <v>1</v>
      </c>
      <c r="L50" s="8" t="str">
        <f t="shared" si="4"/>
        <v>Primary 1</v>
      </c>
      <c r="M50" s="10" t="str">
        <f t="shared" si="5"/>
        <v>P23|Primary 1</v>
      </c>
    </row>
    <row r="51" spans="1:13" ht="26.4" x14ac:dyDescent="0.3">
      <c r="A51" s="6" t="s">
        <v>1000</v>
      </c>
      <c r="B51" s="10" t="s">
        <v>65</v>
      </c>
      <c r="C51" s="6" t="str">
        <f>INDEX('Path Scorecard'!$AB$5:$AB$80,MATCH($A51,'Path Scorecard'!$A$5:$A$80,0))</f>
        <v>Recommended</v>
      </c>
      <c r="D51" s="8" t="s">
        <v>640</v>
      </c>
      <c r="E51" s="19">
        <v>4</v>
      </c>
      <c r="F51" s="19">
        <v>4</v>
      </c>
      <c r="G51" s="19">
        <v>4</v>
      </c>
      <c r="H51" s="6">
        <v>3</v>
      </c>
      <c r="I51" s="6">
        <v>4</v>
      </c>
      <c r="J51" s="9">
        <f>(E51*'Competitor Criteria'!$F$11+F51*'Competitor Criteria'!$F$12+G51*'Competitor Criteria'!$F$13+H51*'Competitor Criteria'!$F$14+I51*'Competitor Criteria'!$F$15)/(5*'Competitor Criteria'!$F$16)*100+E51/1000</f>
        <v>77.004000000000005</v>
      </c>
      <c r="K51" s="6">
        <f t="shared" si="3"/>
        <v>2</v>
      </c>
      <c r="L51" s="8" t="str">
        <f t="shared" si="4"/>
        <v>Primary 2</v>
      </c>
      <c r="M51" s="10" t="str">
        <f t="shared" si="5"/>
        <v>P23|Primary 2</v>
      </c>
    </row>
    <row r="52" spans="1:13" ht="26.4" x14ac:dyDescent="0.3">
      <c r="A52" s="6" t="s">
        <v>1000</v>
      </c>
      <c r="B52" s="10" t="s">
        <v>65</v>
      </c>
      <c r="C52" s="6" t="str">
        <f>INDEX('Path Scorecard'!$AB$5:$AB$80,MATCH($A52,'Path Scorecard'!$A$5:$A$80,0))</f>
        <v>Recommended</v>
      </c>
      <c r="D52" s="8" t="s">
        <v>1312</v>
      </c>
      <c r="E52" s="19">
        <v>2</v>
      </c>
      <c r="F52" s="19">
        <v>4</v>
      </c>
      <c r="G52" s="19">
        <v>4</v>
      </c>
      <c r="H52" s="6">
        <v>3</v>
      </c>
      <c r="I52" s="6">
        <v>3</v>
      </c>
      <c r="J52" s="9">
        <f>(E52*'Competitor Criteria'!$F$11+F52*'Competitor Criteria'!$F$12+G52*'Competitor Criteria'!$F$13+H52*'Competitor Criteria'!$F$14+I52*'Competitor Criteria'!$F$15)/(5*'Competitor Criteria'!$F$16)*100+E52/1000</f>
        <v>62.002000000000002</v>
      </c>
      <c r="K52" s="6">
        <f t="shared" si="3"/>
        <v>3</v>
      </c>
      <c r="L52" s="8" t="str">
        <f t="shared" si="4"/>
        <v>Alternate</v>
      </c>
      <c r="M52" s="10" t="str">
        <f t="shared" si="5"/>
        <v>P23|Alternate</v>
      </c>
    </row>
    <row r="53" spans="1:13" ht="26.4" x14ac:dyDescent="0.3">
      <c r="A53" s="6" t="s">
        <v>1037</v>
      </c>
      <c r="B53" s="10" t="s">
        <v>68</v>
      </c>
      <c r="C53" s="6" t="str">
        <f>INDEX('Path Scorecard'!$AB$5:$AB$80,MATCH($A53,'Path Scorecard'!$A$5:$A$80,0))</f>
        <v>Recommended</v>
      </c>
      <c r="D53" s="8" t="s">
        <v>669</v>
      </c>
      <c r="E53" s="19">
        <v>5</v>
      </c>
      <c r="F53" s="19">
        <v>3</v>
      </c>
      <c r="G53" s="19">
        <v>4</v>
      </c>
      <c r="H53" s="6">
        <v>5</v>
      </c>
      <c r="I53" s="6">
        <v>3</v>
      </c>
      <c r="J53" s="9">
        <f>(E53*'Competitor Criteria'!$F$11+F53*'Competitor Criteria'!$F$12+G53*'Competitor Criteria'!$F$13+H53*'Competitor Criteria'!$F$14+I53*'Competitor Criteria'!$F$15)/(5*'Competitor Criteria'!$F$16)*100+E53/1000</f>
        <v>81.004999999999995</v>
      </c>
      <c r="K53" s="6">
        <f t="shared" si="3"/>
        <v>1</v>
      </c>
      <c r="L53" s="8" t="str">
        <f t="shared" si="4"/>
        <v>Primary 1</v>
      </c>
      <c r="M53" s="10" t="str">
        <f t="shared" si="5"/>
        <v>P36|Primary 1</v>
      </c>
    </row>
    <row r="54" spans="1:13" ht="26.4" x14ac:dyDescent="0.3">
      <c r="A54" s="6" t="s">
        <v>1037</v>
      </c>
      <c r="B54" s="10" t="s">
        <v>68</v>
      </c>
      <c r="C54" s="6" t="str">
        <f>INDEX('Path Scorecard'!$AB$5:$AB$80,MATCH($A54,'Path Scorecard'!$A$5:$A$80,0))</f>
        <v>Recommended</v>
      </c>
      <c r="D54" s="8" t="s">
        <v>640</v>
      </c>
      <c r="E54" s="19">
        <v>4</v>
      </c>
      <c r="F54" s="19">
        <v>4</v>
      </c>
      <c r="G54" s="19">
        <v>3</v>
      </c>
      <c r="H54" s="6">
        <v>3</v>
      </c>
      <c r="I54" s="6">
        <v>4</v>
      </c>
      <c r="J54" s="9">
        <f>(E54*'Competitor Criteria'!$F$11+F54*'Competitor Criteria'!$F$12+G54*'Competitor Criteria'!$F$13+H54*'Competitor Criteria'!$F$14+I54*'Competitor Criteria'!$F$15)/(5*'Competitor Criteria'!$F$16)*100+E54/1000</f>
        <v>74.004000000000005</v>
      </c>
      <c r="K54" s="6">
        <f t="shared" si="3"/>
        <v>2</v>
      </c>
      <c r="L54" s="8" t="str">
        <f t="shared" si="4"/>
        <v>Primary 2</v>
      </c>
      <c r="M54" s="10" t="str">
        <f t="shared" si="5"/>
        <v>P36|Primary 2</v>
      </c>
    </row>
    <row r="55" spans="1:13" ht="26.4" x14ac:dyDescent="0.3">
      <c r="A55" s="6" t="s">
        <v>1037</v>
      </c>
      <c r="B55" s="10" t="s">
        <v>68</v>
      </c>
      <c r="C55" s="6" t="str">
        <f>INDEX('Path Scorecard'!$AB$5:$AB$80,MATCH($A55,'Path Scorecard'!$A$5:$A$80,0))</f>
        <v>Recommended</v>
      </c>
      <c r="D55" s="8" t="s">
        <v>1312</v>
      </c>
      <c r="E55" s="19">
        <v>3</v>
      </c>
      <c r="F55" s="19">
        <v>4</v>
      </c>
      <c r="G55" s="19">
        <v>4</v>
      </c>
      <c r="H55" s="6">
        <v>3</v>
      </c>
      <c r="I55" s="6">
        <v>3</v>
      </c>
      <c r="J55" s="9">
        <f>(E55*'Competitor Criteria'!$F$11+F55*'Competitor Criteria'!$F$12+G55*'Competitor Criteria'!$F$13+H55*'Competitor Criteria'!$F$14+I55*'Competitor Criteria'!$F$15)/(5*'Competitor Criteria'!$F$16)*100+E55/1000</f>
        <v>68.003</v>
      </c>
      <c r="K55" s="6">
        <f t="shared" si="3"/>
        <v>3</v>
      </c>
      <c r="L55" s="8" t="str">
        <f t="shared" si="4"/>
        <v>Alternate</v>
      </c>
      <c r="M55" s="10" t="str">
        <f t="shared" si="5"/>
        <v>P36|Alternate</v>
      </c>
    </row>
    <row r="56" spans="1:13" ht="26.4" x14ac:dyDescent="0.3">
      <c r="A56" s="6" t="s">
        <v>1048</v>
      </c>
      <c r="B56" s="10" t="s">
        <v>71</v>
      </c>
      <c r="C56" s="6" t="str">
        <f>INDEX('Path Scorecard'!$AB$5:$AB$80,MATCH($A56,'Path Scorecard'!$A$5:$A$80,0))</f>
        <v>Recommended</v>
      </c>
      <c r="D56" s="8" t="s">
        <v>669</v>
      </c>
      <c r="E56" s="19">
        <v>5</v>
      </c>
      <c r="F56" s="19">
        <v>3</v>
      </c>
      <c r="G56" s="19">
        <v>4</v>
      </c>
      <c r="H56" s="6">
        <v>5</v>
      </c>
      <c r="I56" s="6">
        <v>3</v>
      </c>
      <c r="J56" s="9">
        <f>(E56*'Competitor Criteria'!$F$11+F56*'Competitor Criteria'!$F$12+G56*'Competitor Criteria'!$F$13+H56*'Competitor Criteria'!$F$14+I56*'Competitor Criteria'!$F$15)/(5*'Competitor Criteria'!$F$16)*100+E56/1000</f>
        <v>81.004999999999995</v>
      </c>
      <c r="K56" s="6">
        <f t="shared" si="3"/>
        <v>1</v>
      </c>
      <c r="L56" s="8" t="str">
        <f t="shared" si="4"/>
        <v>Primary 1</v>
      </c>
      <c r="M56" s="10" t="str">
        <f t="shared" si="5"/>
        <v>P39|Primary 1</v>
      </c>
    </row>
    <row r="57" spans="1:13" ht="26.4" x14ac:dyDescent="0.3">
      <c r="A57" s="6" t="s">
        <v>1048</v>
      </c>
      <c r="B57" s="10" t="s">
        <v>71</v>
      </c>
      <c r="C57" s="6" t="str">
        <f>INDEX('Path Scorecard'!$AB$5:$AB$80,MATCH($A57,'Path Scorecard'!$A$5:$A$80,0))</f>
        <v>Recommended</v>
      </c>
      <c r="D57" s="8" t="s">
        <v>640</v>
      </c>
      <c r="E57" s="19">
        <v>4</v>
      </c>
      <c r="F57" s="19">
        <v>3</v>
      </c>
      <c r="G57" s="19">
        <v>4</v>
      </c>
      <c r="H57" s="6">
        <v>3</v>
      </c>
      <c r="I57" s="6">
        <v>4</v>
      </c>
      <c r="J57" s="9">
        <f>(E57*'Competitor Criteria'!$F$11+F57*'Competitor Criteria'!$F$12+G57*'Competitor Criteria'!$F$13+H57*'Competitor Criteria'!$F$14+I57*'Competitor Criteria'!$F$15)/(5*'Competitor Criteria'!$F$16)*100+E57/1000</f>
        <v>72.004000000000005</v>
      </c>
      <c r="K57" s="6">
        <f t="shared" si="3"/>
        <v>2</v>
      </c>
      <c r="L57" s="8" t="str">
        <f t="shared" si="4"/>
        <v>Primary 2</v>
      </c>
      <c r="M57" s="10" t="str">
        <f t="shared" si="5"/>
        <v>P39|Primary 2</v>
      </c>
    </row>
    <row r="58" spans="1:13" ht="26.4" x14ac:dyDescent="0.3">
      <c r="A58" s="6" t="s">
        <v>1048</v>
      </c>
      <c r="B58" s="10" t="s">
        <v>71</v>
      </c>
      <c r="C58" s="6" t="str">
        <f>INDEX('Path Scorecard'!$AB$5:$AB$80,MATCH($A58,'Path Scorecard'!$A$5:$A$80,0))</f>
        <v>Recommended</v>
      </c>
      <c r="D58" s="8" t="s">
        <v>1313</v>
      </c>
      <c r="E58" s="19">
        <v>3</v>
      </c>
      <c r="F58" s="19">
        <v>2</v>
      </c>
      <c r="G58" s="19">
        <v>3</v>
      </c>
      <c r="H58" s="6">
        <v>5</v>
      </c>
      <c r="I58" s="6">
        <v>2</v>
      </c>
      <c r="J58" s="9">
        <f>(E58*'Competitor Criteria'!$F$11+F58*'Competitor Criteria'!$F$12+G58*'Competitor Criteria'!$F$13+H58*'Competitor Criteria'!$F$14+I58*'Competitor Criteria'!$F$15)/(5*'Competitor Criteria'!$F$16)*100+E58/1000</f>
        <v>58.002999999999993</v>
      </c>
      <c r="K58" s="6">
        <f t="shared" si="3"/>
        <v>3</v>
      </c>
      <c r="L58" s="8" t="str">
        <f t="shared" si="4"/>
        <v>Alternate</v>
      </c>
      <c r="M58" s="10" t="str">
        <f t="shared" si="5"/>
        <v>P39|Alternate</v>
      </c>
    </row>
    <row r="59" spans="1:13" ht="26.4" x14ac:dyDescent="0.3">
      <c r="A59" s="6" t="s">
        <v>1074</v>
      </c>
      <c r="B59" s="10" t="s">
        <v>74</v>
      </c>
      <c r="C59" s="6" t="str">
        <f>INDEX('Path Scorecard'!$AB$5:$AB$80,MATCH($A59,'Path Scorecard'!$A$5:$A$80,0))</f>
        <v>Recommended</v>
      </c>
      <c r="D59" s="8" t="s">
        <v>640</v>
      </c>
      <c r="E59" s="19">
        <v>5</v>
      </c>
      <c r="F59" s="19">
        <v>5</v>
      </c>
      <c r="G59" s="19">
        <v>4</v>
      </c>
      <c r="H59" s="6">
        <v>3</v>
      </c>
      <c r="I59" s="6">
        <v>4</v>
      </c>
      <c r="J59" s="9">
        <f>(E59*'Competitor Criteria'!$F$11+F59*'Competitor Criteria'!$F$12+G59*'Competitor Criteria'!$F$13+H59*'Competitor Criteria'!$F$14+I59*'Competitor Criteria'!$F$15)/(5*'Competitor Criteria'!$F$16)*100+E59/1000</f>
        <v>88.004999999999995</v>
      </c>
      <c r="K59" s="6">
        <f t="shared" si="3"/>
        <v>1</v>
      </c>
      <c r="L59" s="8" t="str">
        <f t="shared" si="4"/>
        <v>Primary 1</v>
      </c>
      <c r="M59" s="10" t="str">
        <f t="shared" si="5"/>
        <v>P44|Primary 1</v>
      </c>
    </row>
    <row r="60" spans="1:13" ht="26.4" x14ac:dyDescent="0.3">
      <c r="A60" s="6" t="s">
        <v>1074</v>
      </c>
      <c r="B60" s="10" t="s">
        <v>74</v>
      </c>
      <c r="C60" s="6" t="str">
        <f>INDEX('Path Scorecard'!$AB$5:$AB$80,MATCH($A60,'Path Scorecard'!$A$5:$A$80,0))</f>
        <v>Recommended</v>
      </c>
      <c r="D60" s="8" t="s">
        <v>669</v>
      </c>
      <c r="E60" s="19">
        <v>5</v>
      </c>
      <c r="F60" s="19">
        <v>3</v>
      </c>
      <c r="G60" s="19">
        <v>3</v>
      </c>
      <c r="H60" s="6">
        <v>5</v>
      </c>
      <c r="I60" s="6">
        <v>3</v>
      </c>
      <c r="J60" s="9">
        <f>(E60*'Competitor Criteria'!$F$11+F60*'Competitor Criteria'!$F$12+G60*'Competitor Criteria'!$F$13+H60*'Competitor Criteria'!$F$14+I60*'Competitor Criteria'!$F$15)/(5*'Competitor Criteria'!$F$16)*100+E60/1000</f>
        <v>78.004999999999995</v>
      </c>
      <c r="K60" s="6">
        <f t="shared" si="3"/>
        <v>2</v>
      </c>
      <c r="L60" s="8" t="str">
        <f t="shared" si="4"/>
        <v>Primary 2</v>
      </c>
      <c r="M60" s="10" t="str">
        <f t="shared" si="5"/>
        <v>P44|Primary 2</v>
      </c>
    </row>
    <row r="61" spans="1:13" ht="26.4" x14ac:dyDescent="0.3">
      <c r="A61" s="6" t="s">
        <v>1074</v>
      </c>
      <c r="B61" s="10" t="s">
        <v>74</v>
      </c>
      <c r="C61" s="6" t="str">
        <f>INDEX('Path Scorecard'!$AB$5:$AB$80,MATCH($A61,'Path Scorecard'!$A$5:$A$80,0))</f>
        <v>Recommended</v>
      </c>
      <c r="D61" s="8" t="s">
        <v>1312</v>
      </c>
      <c r="E61" s="19">
        <v>2</v>
      </c>
      <c r="F61" s="19">
        <v>4</v>
      </c>
      <c r="G61" s="19">
        <v>3</v>
      </c>
      <c r="H61" s="6">
        <v>3</v>
      </c>
      <c r="I61" s="6">
        <v>3</v>
      </c>
      <c r="J61" s="9">
        <f>(E61*'Competitor Criteria'!$F$11+F61*'Competitor Criteria'!$F$12+G61*'Competitor Criteria'!$F$13+H61*'Competitor Criteria'!$F$14+I61*'Competitor Criteria'!$F$15)/(5*'Competitor Criteria'!$F$16)*100+E61/1000</f>
        <v>59.002000000000002</v>
      </c>
      <c r="K61" s="6">
        <f t="shared" si="3"/>
        <v>3</v>
      </c>
      <c r="L61" s="8" t="str">
        <f t="shared" si="4"/>
        <v>Alternate</v>
      </c>
      <c r="M61" s="10" t="str">
        <f t="shared" si="5"/>
        <v>P44|Alternate</v>
      </c>
    </row>
    <row r="62" spans="1:13" ht="26.4" x14ac:dyDescent="0.3">
      <c r="A62" s="6" t="s">
        <v>1093</v>
      </c>
      <c r="B62" s="10" t="s">
        <v>77</v>
      </c>
      <c r="C62" s="6" t="str">
        <f>INDEX('Path Scorecard'!$AB$5:$AB$80,MATCH($A62,'Path Scorecard'!$A$5:$A$80,0))</f>
        <v>Recommended</v>
      </c>
      <c r="D62" s="8" t="s">
        <v>669</v>
      </c>
      <c r="E62" s="19">
        <v>5</v>
      </c>
      <c r="F62" s="19">
        <v>4</v>
      </c>
      <c r="G62" s="19">
        <v>3</v>
      </c>
      <c r="H62" s="6">
        <v>5</v>
      </c>
      <c r="I62" s="6">
        <v>3</v>
      </c>
      <c r="J62" s="9">
        <f>(E62*'Competitor Criteria'!$F$11+F62*'Competitor Criteria'!$F$12+G62*'Competitor Criteria'!$F$13+H62*'Competitor Criteria'!$F$14+I62*'Competitor Criteria'!$F$15)/(5*'Competitor Criteria'!$F$16)*100+E62/1000</f>
        <v>83.004999999999995</v>
      </c>
      <c r="K62" s="6">
        <f t="shared" si="3"/>
        <v>1</v>
      </c>
      <c r="L62" s="8" t="str">
        <f t="shared" si="4"/>
        <v>Primary 1</v>
      </c>
      <c r="M62" s="10" t="str">
        <f t="shared" si="5"/>
        <v>P48|Primary 1</v>
      </c>
    </row>
    <row r="63" spans="1:13" ht="26.4" x14ac:dyDescent="0.3">
      <c r="A63" s="6" t="s">
        <v>1093</v>
      </c>
      <c r="B63" s="10" t="s">
        <v>77</v>
      </c>
      <c r="C63" s="6" t="str">
        <f>INDEX('Path Scorecard'!$AB$5:$AB$80,MATCH($A63,'Path Scorecard'!$A$5:$A$80,0))</f>
        <v>Recommended</v>
      </c>
      <c r="D63" s="8" t="s">
        <v>1312</v>
      </c>
      <c r="E63" s="19">
        <v>4</v>
      </c>
      <c r="F63" s="19">
        <v>5</v>
      </c>
      <c r="G63" s="19">
        <v>4</v>
      </c>
      <c r="H63" s="6">
        <v>3</v>
      </c>
      <c r="I63" s="6">
        <v>3</v>
      </c>
      <c r="J63" s="9">
        <f>(E63*'Competitor Criteria'!$F$11+F63*'Competitor Criteria'!$F$12+G63*'Competitor Criteria'!$F$13+H63*'Competitor Criteria'!$F$14+I63*'Competitor Criteria'!$F$15)/(5*'Competitor Criteria'!$F$16)*100+E63/1000</f>
        <v>79.004000000000005</v>
      </c>
      <c r="K63" s="6">
        <f t="shared" si="3"/>
        <v>2</v>
      </c>
      <c r="L63" s="8" t="str">
        <f t="shared" si="4"/>
        <v>Primary 2</v>
      </c>
      <c r="M63" s="10" t="str">
        <f t="shared" si="5"/>
        <v>P48|Primary 2</v>
      </c>
    </row>
    <row r="64" spans="1:13" ht="26.4" x14ac:dyDescent="0.3">
      <c r="A64" s="6" t="s">
        <v>1093</v>
      </c>
      <c r="B64" s="10" t="s">
        <v>77</v>
      </c>
      <c r="C64" s="6" t="str">
        <f>INDEX('Path Scorecard'!$AB$5:$AB$80,MATCH($A64,'Path Scorecard'!$A$5:$A$80,0))</f>
        <v>Recommended</v>
      </c>
      <c r="D64" s="8" t="s">
        <v>1313</v>
      </c>
      <c r="E64" s="19">
        <v>4</v>
      </c>
      <c r="F64" s="19">
        <v>2</v>
      </c>
      <c r="G64" s="19">
        <v>3</v>
      </c>
      <c r="H64" s="6">
        <v>5</v>
      </c>
      <c r="I64" s="6">
        <v>2</v>
      </c>
      <c r="J64" s="9">
        <f>(E64*'Competitor Criteria'!$F$11+F64*'Competitor Criteria'!$F$12+G64*'Competitor Criteria'!$F$13+H64*'Competitor Criteria'!$F$14+I64*'Competitor Criteria'!$F$15)/(5*'Competitor Criteria'!$F$16)*100+E64/1000</f>
        <v>64.004000000000005</v>
      </c>
      <c r="K64" s="6">
        <f t="shared" si="3"/>
        <v>3</v>
      </c>
      <c r="L64" s="8" t="str">
        <f t="shared" si="4"/>
        <v>Alternate</v>
      </c>
      <c r="M64" s="10" t="str">
        <f t="shared" si="5"/>
        <v>P48|Alternate</v>
      </c>
    </row>
    <row r="65" spans="1:13" x14ac:dyDescent="0.3">
      <c r="A65" s="6" t="s">
        <v>788</v>
      </c>
      <c r="B65" s="10" t="s">
        <v>284</v>
      </c>
      <c r="C65" s="6" t="str">
        <f>INDEX('Path Scorecard'!$AB$5:$AB$80,MATCH($A65,'Path Scorecard'!$A$5:$A$80,0))</f>
        <v>Reserve</v>
      </c>
      <c r="D65" s="8" t="s">
        <v>669</v>
      </c>
      <c r="E65" s="19">
        <v>5</v>
      </c>
      <c r="F65" s="19">
        <v>4</v>
      </c>
      <c r="G65" s="19">
        <v>4</v>
      </c>
      <c r="H65" s="6">
        <v>5</v>
      </c>
      <c r="I65" s="6">
        <v>3</v>
      </c>
      <c r="J65" s="9">
        <f>(E65*'Competitor Criteria'!$F$11+F65*'Competitor Criteria'!$F$12+G65*'Competitor Criteria'!$F$13+H65*'Competitor Criteria'!$F$14+I65*'Competitor Criteria'!$F$15)/(5*'Competitor Criteria'!$F$16)*100+E65/1000</f>
        <v>86.004999999999995</v>
      </c>
      <c r="K65" s="6">
        <f t="shared" si="3"/>
        <v>1</v>
      </c>
      <c r="L65" s="8" t="str">
        <f t="shared" si="4"/>
        <v>Primary 1</v>
      </c>
      <c r="M65" s="10" t="str">
        <f t="shared" si="5"/>
        <v>P29|Primary 1</v>
      </c>
    </row>
    <row r="66" spans="1:13" x14ac:dyDescent="0.3">
      <c r="A66" s="6" t="s">
        <v>788</v>
      </c>
      <c r="B66" s="10" t="s">
        <v>284</v>
      </c>
      <c r="C66" s="6" t="str">
        <f>INDEX('Path Scorecard'!$AB$5:$AB$80,MATCH($A66,'Path Scorecard'!$A$5:$A$80,0))</f>
        <v>Reserve</v>
      </c>
      <c r="D66" s="8" t="s">
        <v>1312</v>
      </c>
      <c r="E66" s="19">
        <v>3</v>
      </c>
      <c r="F66" s="19">
        <v>5</v>
      </c>
      <c r="G66" s="19">
        <v>4</v>
      </c>
      <c r="H66" s="6">
        <v>3</v>
      </c>
      <c r="I66" s="6">
        <v>3</v>
      </c>
      <c r="J66" s="9">
        <f>(E66*'Competitor Criteria'!$F$11+F66*'Competitor Criteria'!$F$12+G66*'Competitor Criteria'!$F$13+H66*'Competitor Criteria'!$F$14+I66*'Competitor Criteria'!$F$15)/(5*'Competitor Criteria'!$F$16)*100+E66/1000</f>
        <v>73.003</v>
      </c>
      <c r="K66" s="6">
        <f t="shared" si="3"/>
        <v>2</v>
      </c>
      <c r="L66" s="8" t="str">
        <f t="shared" si="4"/>
        <v>Primary 2</v>
      </c>
      <c r="M66" s="10" t="str">
        <f t="shared" si="5"/>
        <v>P29|Primary 2</v>
      </c>
    </row>
    <row r="67" spans="1:13" x14ac:dyDescent="0.3">
      <c r="A67" s="6" t="s">
        <v>788</v>
      </c>
      <c r="B67" s="10" t="s">
        <v>284</v>
      </c>
      <c r="C67" s="6" t="str">
        <f>INDEX('Path Scorecard'!$AB$5:$AB$80,MATCH($A67,'Path Scorecard'!$A$5:$A$80,0))</f>
        <v>Reserve</v>
      </c>
      <c r="D67" s="8" t="s">
        <v>1313</v>
      </c>
      <c r="E67" s="19">
        <v>4</v>
      </c>
      <c r="F67" s="19">
        <v>3</v>
      </c>
      <c r="G67" s="19">
        <v>4</v>
      </c>
      <c r="H67" s="6">
        <v>5</v>
      </c>
      <c r="I67" s="6">
        <v>2</v>
      </c>
      <c r="J67" s="9">
        <f>(E67*'Competitor Criteria'!$F$11+F67*'Competitor Criteria'!$F$12+G67*'Competitor Criteria'!$F$13+H67*'Competitor Criteria'!$F$14+I67*'Competitor Criteria'!$F$15)/(5*'Competitor Criteria'!$F$16)*100+E67/1000</f>
        <v>72.004000000000005</v>
      </c>
      <c r="K67" s="6">
        <f t="shared" si="3"/>
        <v>3</v>
      </c>
      <c r="L67" s="8" t="str">
        <f t="shared" si="4"/>
        <v>Alternate</v>
      </c>
      <c r="M67" s="10" t="str">
        <f t="shared" si="5"/>
        <v>P29|Alternate</v>
      </c>
    </row>
    <row r="68" spans="1:13" x14ac:dyDescent="0.3">
      <c r="A68" s="6" t="s">
        <v>770</v>
      </c>
      <c r="B68" s="10" t="s">
        <v>295</v>
      </c>
      <c r="C68" s="6" t="str">
        <f>INDEX('Path Scorecard'!$AB$5:$AB$80,MATCH($A68,'Path Scorecard'!$A$5:$A$80,0))</f>
        <v>Reserve</v>
      </c>
      <c r="D68" s="8" t="s">
        <v>669</v>
      </c>
      <c r="E68" s="19">
        <v>5</v>
      </c>
      <c r="F68" s="19">
        <v>4</v>
      </c>
      <c r="G68" s="19">
        <v>4</v>
      </c>
      <c r="H68" s="6">
        <v>5</v>
      </c>
      <c r="I68" s="6">
        <v>3</v>
      </c>
      <c r="J68" s="9">
        <f>(E68*'Competitor Criteria'!$F$11+F68*'Competitor Criteria'!$F$12+G68*'Competitor Criteria'!$F$13+H68*'Competitor Criteria'!$F$14+I68*'Competitor Criteria'!$F$15)/(5*'Competitor Criteria'!$F$16)*100+E68/1000</f>
        <v>86.004999999999995</v>
      </c>
      <c r="K68" s="6">
        <f t="shared" si="3"/>
        <v>1</v>
      </c>
      <c r="L68" s="8" t="str">
        <f t="shared" si="4"/>
        <v>Primary 1</v>
      </c>
      <c r="M68" s="10" t="str">
        <f t="shared" si="5"/>
        <v>P32|Primary 1</v>
      </c>
    </row>
    <row r="69" spans="1:13" x14ac:dyDescent="0.3">
      <c r="A69" s="6" t="s">
        <v>770</v>
      </c>
      <c r="B69" s="10" t="s">
        <v>295</v>
      </c>
      <c r="C69" s="6" t="str">
        <f>INDEX('Path Scorecard'!$AB$5:$AB$80,MATCH($A69,'Path Scorecard'!$A$5:$A$80,0))</f>
        <v>Reserve</v>
      </c>
      <c r="D69" s="8" t="s">
        <v>1313</v>
      </c>
      <c r="E69" s="19">
        <v>4</v>
      </c>
      <c r="F69" s="19">
        <v>3</v>
      </c>
      <c r="G69" s="19">
        <v>4</v>
      </c>
      <c r="H69" s="6">
        <v>5</v>
      </c>
      <c r="I69" s="6">
        <v>2</v>
      </c>
      <c r="J69" s="9">
        <f>(E69*'Competitor Criteria'!$F$11+F69*'Competitor Criteria'!$F$12+G69*'Competitor Criteria'!$F$13+H69*'Competitor Criteria'!$F$14+I69*'Competitor Criteria'!$F$15)/(5*'Competitor Criteria'!$F$16)*100+E69/1000</f>
        <v>72.004000000000005</v>
      </c>
      <c r="K69" s="6">
        <f t="shared" ref="K69:K91" si="6">COUNTIFS($A$5:$A$91,A69,$J$5:$J$91,"&gt;"&amp;J69)+1</f>
        <v>2</v>
      </c>
      <c r="L69" s="8" t="str">
        <f t="shared" ref="L69:L91" si="7">IF(K69=1,"Primary 1",IF(K69=2,"Primary 2","Alternate"))</f>
        <v>Primary 2</v>
      </c>
      <c r="M69" s="10" t="str">
        <f t="shared" ref="M69:M91" si="8">A69&amp;"|"&amp;L69</f>
        <v>P32|Primary 2</v>
      </c>
    </row>
    <row r="70" spans="1:13" x14ac:dyDescent="0.3">
      <c r="A70" s="6" t="s">
        <v>770</v>
      </c>
      <c r="B70" s="10" t="s">
        <v>295</v>
      </c>
      <c r="C70" s="6" t="str">
        <f>INDEX('Path Scorecard'!$AB$5:$AB$80,MATCH($A70,'Path Scorecard'!$A$5:$A$80,0))</f>
        <v>Reserve</v>
      </c>
      <c r="D70" s="8" t="s">
        <v>1315</v>
      </c>
      <c r="E70" s="19">
        <v>2</v>
      </c>
      <c r="F70" s="19">
        <v>3</v>
      </c>
      <c r="G70" s="19">
        <v>3</v>
      </c>
      <c r="H70" s="6">
        <v>3</v>
      </c>
      <c r="I70" s="6">
        <v>4</v>
      </c>
      <c r="J70" s="9">
        <f>(E70*'Competitor Criteria'!$F$11+F70*'Competitor Criteria'!$F$12+G70*'Competitor Criteria'!$F$13+H70*'Competitor Criteria'!$F$14+I70*'Competitor Criteria'!$F$15)/(5*'Competitor Criteria'!$F$16)*100+E70/1000</f>
        <v>57.001999999999995</v>
      </c>
      <c r="K70" s="6">
        <f t="shared" si="6"/>
        <v>3</v>
      </c>
      <c r="L70" s="8" t="str">
        <f t="shared" si="7"/>
        <v>Alternate</v>
      </c>
      <c r="M70" s="10" t="str">
        <f t="shared" si="8"/>
        <v>P32|Alternate</v>
      </c>
    </row>
    <row r="71" spans="1:13" x14ac:dyDescent="0.3">
      <c r="A71" s="6" t="s">
        <v>771</v>
      </c>
      <c r="B71" s="10" t="s">
        <v>306</v>
      </c>
      <c r="C71" s="6" t="str">
        <f>INDEX('Path Scorecard'!$AB$5:$AB$80,MATCH($A71,'Path Scorecard'!$A$5:$A$80,0))</f>
        <v>Reserve</v>
      </c>
      <c r="D71" s="8" t="s">
        <v>669</v>
      </c>
      <c r="E71" s="19">
        <v>5</v>
      </c>
      <c r="F71" s="19">
        <v>4</v>
      </c>
      <c r="G71" s="19">
        <v>4</v>
      </c>
      <c r="H71" s="6">
        <v>5</v>
      </c>
      <c r="I71" s="6">
        <v>3</v>
      </c>
      <c r="J71" s="9">
        <f>(E71*'Competitor Criteria'!$F$11+F71*'Competitor Criteria'!$F$12+G71*'Competitor Criteria'!$F$13+H71*'Competitor Criteria'!$F$14+I71*'Competitor Criteria'!$F$15)/(5*'Competitor Criteria'!$F$16)*100+E71/1000</f>
        <v>86.004999999999995</v>
      </c>
      <c r="K71" s="6">
        <f t="shared" si="6"/>
        <v>1</v>
      </c>
      <c r="L71" s="8" t="str">
        <f t="shared" si="7"/>
        <v>Primary 1</v>
      </c>
      <c r="M71" s="10" t="str">
        <f t="shared" si="8"/>
        <v>P33|Primary 1</v>
      </c>
    </row>
    <row r="72" spans="1:13" x14ac:dyDescent="0.3">
      <c r="A72" s="6" t="s">
        <v>771</v>
      </c>
      <c r="B72" s="10" t="s">
        <v>306</v>
      </c>
      <c r="C72" s="6" t="str">
        <f>INDEX('Path Scorecard'!$AB$5:$AB$80,MATCH($A72,'Path Scorecard'!$A$5:$A$80,0))</f>
        <v>Reserve</v>
      </c>
      <c r="D72" s="8" t="s">
        <v>1316</v>
      </c>
      <c r="E72" s="19">
        <v>5</v>
      </c>
      <c r="F72" s="19">
        <v>3</v>
      </c>
      <c r="G72" s="19">
        <v>5</v>
      </c>
      <c r="H72" s="6">
        <v>2</v>
      </c>
      <c r="I72" s="6">
        <v>4</v>
      </c>
      <c r="J72" s="9">
        <f>(E72*'Competitor Criteria'!$F$11+F72*'Competitor Criteria'!$F$12+G72*'Competitor Criteria'!$F$13+H72*'Competitor Criteria'!$F$14+I72*'Competitor Criteria'!$F$15)/(5*'Competitor Criteria'!$F$16)*100+E72/1000</f>
        <v>78.004999999999995</v>
      </c>
      <c r="K72" s="6">
        <f t="shared" si="6"/>
        <v>2</v>
      </c>
      <c r="L72" s="8" t="str">
        <f t="shared" si="7"/>
        <v>Primary 2</v>
      </c>
      <c r="M72" s="10" t="str">
        <f t="shared" si="8"/>
        <v>P33|Primary 2</v>
      </c>
    </row>
    <row r="73" spans="1:13" x14ac:dyDescent="0.3">
      <c r="A73" s="6" t="s">
        <v>771</v>
      </c>
      <c r="B73" s="10" t="s">
        <v>306</v>
      </c>
      <c r="C73" s="6" t="str">
        <f>INDEX('Path Scorecard'!$AB$5:$AB$80,MATCH($A73,'Path Scorecard'!$A$5:$A$80,0))</f>
        <v>Reserve</v>
      </c>
      <c r="D73" s="8" t="s">
        <v>1313</v>
      </c>
      <c r="E73" s="19">
        <v>4</v>
      </c>
      <c r="F73" s="19">
        <v>2</v>
      </c>
      <c r="G73" s="19">
        <v>3</v>
      </c>
      <c r="H73" s="6">
        <v>5</v>
      </c>
      <c r="I73" s="6">
        <v>2</v>
      </c>
      <c r="J73" s="9">
        <f>(E73*'Competitor Criteria'!$F$11+F73*'Competitor Criteria'!$F$12+G73*'Competitor Criteria'!$F$13+H73*'Competitor Criteria'!$F$14+I73*'Competitor Criteria'!$F$15)/(5*'Competitor Criteria'!$F$16)*100+E73/1000</f>
        <v>64.004000000000005</v>
      </c>
      <c r="K73" s="6">
        <f t="shared" si="6"/>
        <v>3</v>
      </c>
      <c r="L73" s="8" t="str">
        <f t="shared" si="7"/>
        <v>Alternate</v>
      </c>
      <c r="M73" s="10" t="str">
        <f t="shared" si="8"/>
        <v>P33|Alternate</v>
      </c>
    </row>
    <row r="74" spans="1:13" ht="26.4" x14ac:dyDescent="0.3">
      <c r="A74" s="6" t="s">
        <v>759</v>
      </c>
      <c r="B74" s="10" t="s">
        <v>317</v>
      </c>
      <c r="C74" s="6" t="str">
        <f>INDEX('Path Scorecard'!$AB$5:$AB$80,MATCH($A74,'Path Scorecard'!$A$5:$A$80,0))</f>
        <v>Reserve</v>
      </c>
      <c r="D74" s="8" t="s">
        <v>669</v>
      </c>
      <c r="E74" s="19">
        <v>5</v>
      </c>
      <c r="F74" s="19">
        <v>4</v>
      </c>
      <c r="G74" s="19">
        <v>4</v>
      </c>
      <c r="H74" s="6">
        <v>5</v>
      </c>
      <c r="I74" s="6">
        <v>3</v>
      </c>
      <c r="J74" s="9">
        <f>(E74*'Competitor Criteria'!$F$11+F74*'Competitor Criteria'!$F$12+G74*'Competitor Criteria'!$F$13+H74*'Competitor Criteria'!$F$14+I74*'Competitor Criteria'!$F$15)/(5*'Competitor Criteria'!$F$16)*100+E74/1000</f>
        <v>86.004999999999995</v>
      </c>
      <c r="K74" s="6">
        <f t="shared" si="6"/>
        <v>1</v>
      </c>
      <c r="L74" s="8" t="str">
        <f t="shared" si="7"/>
        <v>Primary 1</v>
      </c>
      <c r="M74" s="10" t="str">
        <f t="shared" si="8"/>
        <v>P12|Primary 1</v>
      </c>
    </row>
    <row r="75" spans="1:13" ht="26.4" x14ac:dyDescent="0.3">
      <c r="A75" s="6" t="s">
        <v>759</v>
      </c>
      <c r="B75" s="10" t="s">
        <v>317</v>
      </c>
      <c r="C75" s="6" t="str">
        <f>INDEX('Path Scorecard'!$AB$5:$AB$80,MATCH($A75,'Path Scorecard'!$A$5:$A$80,0))</f>
        <v>Reserve</v>
      </c>
      <c r="D75" s="8" t="s">
        <v>1312</v>
      </c>
      <c r="E75" s="19">
        <v>3</v>
      </c>
      <c r="F75" s="19">
        <v>4</v>
      </c>
      <c r="G75" s="19">
        <v>4</v>
      </c>
      <c r="H75" s="6">
        <v>3</v>
      </c>
      <c r="I75" s="6">
        <v>3</v>
      </c>
      <c r="J75" s="9">
        <f>(E75*'Competitor Criteria'!$F$11+F75*'Competitor Criteria'!$F$12+G75*'Competitor Criteria'!$F$13+H75*'Competitor Criteria'!$F$14+I75*'Competitor Criteria'!$F$15)/(5*'Competitor Criteria'!$F$16)*100+E75/1000</f>
        <v>68.003</v>
      </c>
      <c r="K75" s="6">
        <f t="shared" si="6"/>
        <v>2</v>
      </c>
      <c r="L75" s="8" t="str">
        <f t="shared" si="7"/>
        <v>Primary 2</v>
      </c>
      <c r="M75" s="10" t="str">
        <f t="shared" si="8"/>
        <v>P12|Primary 2</v>
      </c>
    </row>
    <row r="76" spans="1:13" ht="26.4" x14ac:dyDescent="0.3">
      <c r="A76" s="6" t="s">
        <v>759</v>
      </c>
      <c r="B76" s="10" t="s">
        <v>317</v>
      </c>
      <c r="C76" s="6" t="str">
        <f>INDEX('Path Scorecard'!$AB$5:$AB$80,MATCH($A76,'Path Scorecard'!$A$5:$A$80,0))</f>
        <v>Reserve</v>
      </c>
      <c r="D76" s="8" t="s">
        <v>1313</v>
      </c>
      <c r="E76" s="19">
        <v>4</v>
      </c>
      <c r="F76" s="19">
        <v>2</v>
      </c>
      <c r="G76" s="19">
        <v>3</v>
      </c>
      <c r="H76" s="6">
        <v>5</v>
      </c>
      <c r="I76" s="6">
        <v>2</v>
      </c>
      <c r="J76" s="9">
        <f>(E76*'Competitor Criteria'!$F$11+F76*'Competitor Criteria'!$F$12+G76*'Competitor Criteria'!$F$13+H76*'Competitor Criteria'!$F$14+I76*'Competitor Criteria'!$F$15)/(5*'Competitor Criteria'!$F$16)*100+E76/1000</f>
        <v>64.004000000000005</v>
      </c>
      <c r="K76" s="6">
        <f t="shared" si="6"/>
        <v>3</v>
      </c>
      <c r="L76" s="8" t="str">
        <f t="shared" si="7"/>
        <v>Alternate</v>
      </c>
      <c r="M76" s="10" t="str">
        <f t="shared" si="8"/>
        <v>P12|Alternate</v>
      </c>
    </row>
    <row r="77" spans="1:13" x14ac:dyDescent="0.3">
      <c r="A77" s="6" t="s">
        <v>787</v>
      </c>
      <c r="B77" s="10" t="s">
        <v>328</v>
      </c>
      <c r="C77" s="6" t="str">
        <f>INDEX('Path Scorecard'!$AB$5:$AB$80,MATCH($A77,'Path Scorecard'!$A$5:$A$80,0))</f>
        <v>Reserve</v>
      </c>
      <c r="D77" s="8" t="s">
        <v>669</v>
      </c>
      <c r="E77" s="19">
        <v>5</v>
      </c>
      <c r="F77" s="19">
        <v>4</v>
      </c>
      <c r="G77" s="19">
        <v>4</v>
      </c>
      <c r="H77" s="6">
        <v>5</v>
      </c>
      <c r="I77" s="6">
        <v>3</v>
      </c>
      <c r="J77" s="9">
        <f>(E77*'Competitor Criteria'!$F$11+F77*'Competitor Criteria'!$F$12+G77*'Competitor Criteria'!$F$13+H77*'Competitor Criteria'!$F$14+I77*'Competitor Criteria'!$F$15)/(5*'Competitor Criteria'!$F$16)*100+E77/1000</f>
        <v>86.004999999999995</v>
      </c>
      <c r="K77" s="6">
        <f t="shared" si="6"/>
        <v>1</v>
      </c>
      <c r="L77" s="8" t="str">
        <f t="shared" si="7"/>
        <v>Primary 1</v>
      </c>
      <c r="M77" s="10" t="str">
        <f t="shared" si="8"/>
        <v>P14|Primary 1</v>
      </c>
    </row>
    <row r="78" spans="1:13" x14ac:dyDescent="0.3">
      <c r="A78" s="6" t="s">
        <v>787</v>
      </c>
      <c r="B78" s="10" t="s">
        <v>328</v>
      </c>
      <c r="C78" s="6" t="str">
        <f>INDEX('Path Scorecard'!$AB$5:$AB$80,MATCH($A78,'Path Scorecard'!$A$5:$A$80,0))</f>
        <v>Reserve</v>
      </c>
      <c r="D78" s="8" t="s">
        <v>1312</v>
      </c>
      <c r="E78" s="19">
        <v>3</v>
      </c>
      <c r="F78" s="19">
        <v>5</v>
      </c>
      <c r="G78" s="19">
        <v>4</v>
      </c>
      <c r="H78" s="6">
        <v>3</v>
      </c>
      <c r="I78" s="6">
        <v>3</v>
      </c>
      <c r="J78" s="9">
        <f>(E78*'Competitor Criteria'!$F$11+F78*'Competitor Criteria'!$F$12+G78*'Competitor Criteria'!$F$13+H78*'Competitor Criteria'!$F$14+I78*'Competitor Criteria'!$F$15)/(5*'Competitor Criteria'!$F$16)*100+E78/1000</f>
        <v>73.003</v>
      </c>
      <c r="K78" s="6">
        <f t="shared" si="6"/>
        <v>2</v>
      </c>
      <c r="L78" s="8" t="str">
        <f t="shared" si="7"/>
        <v>Primary 2</v>
      </c>
      <c r="M78" s="10" t="str">
        <f t="shared" si="8"/>
        <v>P14|Primary 2</v>
      </c>
    </row>
    <row r="79" spans="1:13" x14ac:dyDescent="0.3">
      <c r="A79" s="6" t="s">
        <v>787</v>
      </c>
      <c r="B79" s="10" t="s">
        <v>328</v>
      </c>
      <c r="C79" s="6" t="str">
        <f>INDEX('Path Scorecard'!$AB$5:$AB$80,MATCH($A79,'Path Scorecard'!$A$5:$A$80,0))</f>
        <v>Reserve</v>
      </c>
      <c r="D79" s="8" t="s">
        <v>1313</v>
      </c>
      <c r="E79" s="19">
        <v>3</v>
      </c>
      <c r="F79" s="19">
        <v>3</v>
      </c>
      <c r="G79" s="19">
        <v>3</v>
      </c>
      <c r="H79" s="6">
        <v>5</v>
      </c>
      <c r="I79" s="6">
        <v>2</v>
      </c>
      <c r="J79" s="9">
        <f>(E79*'Competitor Criteria'!$F$11+F79*'Competitor Criteria'!$F$12+G79*'Competitor Criteria'!$F$13+H79*'Competitor Criteria'!$F$14+I79*'Competitor Criteria'!$F$15)/(5*'Competitor Criteria'!$F$16)*100+E79/1000</f>
        <v>63.003</v>
      </c>
      <c r="K79" s="6">
        <f t="shared" si="6"/>
        <v>3</v>
      </c>
      <c r="L79" s="8" t="str">
        <f t="shared" si="7"/>
        <v>Alternate</v>
      </c>
      <c r="M79" s="10" t="str">
        <f t="shared" si="8"/>
        <v>P14|Alternate</v>
      </c>
    </row>
    <row r="80" spans="1:13" x14ac:dyDescent="0.3">
      <c r="A80" s="6" t="s">
        <v>963</v>
      </c>
      <c r="B80" s="10" t="s">
        <v>339</v>
      </c>
      <c r="C80" s="6" t="str">
        <f>INDEX('Path Scorecard'!$AB$5:$AB$80,MATCH($A80,'Path Scorecard'!$A$5:$A$80,0))</f>
        <v>Reserve</v>
      </c>
      <c r="D80" s="8" t="s">
        <v>640</v>
      </c>
      <c r="E80" s="19">
        <v>5</v>
      </c>
      <c r="F80" s="19">
        <v>5</v>
      </c>
      <c r="G80" s="19">
        <v>4</v>
      </c>
      <c r="H80" s="6">
        <v>3</v>
      </c>
      <c r="I80" s="6">
        <v>4</v>
      </c>
      <c r="J80" s="9">
        <f>(E80*'Competitor Criteria'!$F$11+F80*'Competitor Criteria'!$F$12+G80*'Competitor Criteria'!$F$13+H80*'Competitor Criteria'!$F$14+I80*'Competitor Criteria'!$F$15)/(5*'Competitor Criteria'!$F$16)*100+E80/1000</f>
        <v>88.004999999999995</v>
      </c>
      <c r="K80" s="6">
        <f t="shared" si="6"/>
        <v>1</v>
      </c>
      <c r="L80" s="8" t="str">
        <f t="shared" si="7"/>
        <v>Primary 1</v>
      </c>
      <c r="M80" s="10" t="str">
        <f t="shared" si="8"/>
        <v>P15|Primary 1</v>
      </c>
    </row>
    <row r="81" spans="1:13" x14ac:dyDescent="0.3">
      <c r="A81" s="6" t="s">
        <v>963</v>
      </c>
      <c r="B81" s="10" t="s">
        <v>339</v>
      </c>
      <c r="C81" s="6" t="str">
        <f>INDEX('Path Scorecard'!$AB$5:$AB$80,MATCH($A81,'Path Scorecard'!$A$5:$A$80,0))</f>
        <v>Reserve</v>
      </c>
      <c r="D81" s="8" t="s">
        <v>669</v>
      </c>
      <c r="E81" s="19">
        <v>5</v>
      </c>
      <c r="F81" s="19">
        <v>3</v>
      </c>
      <c r="G81" s="19">
        <v>3</v>
      </c>
      <c r="H81" s="6">
        <v>5</v>
      </c>
      <c r="I81" s="6">
        <v>3</v>
      </c>
      <c r="J81" s="9">
        <f>(E81*'Competitor Criteria'!$F$11+F81*'Competitor Criteria'!$F$12+G81*'Competitor Criteria'!$F$13+H81*'Competitor Criteria'!$F$14+I81*'Competitor Criteria'!$F$15)/(5*'Competitor Criteria'!$F$16)*100+E81/1000</f>
        <v>78.004999999999995</v>
      </c>
      <c r="K81" s="6">
        <f t="shared" si="6"/>
        <v>2</v>
      </c>
      <c r="L81" s="8" t="str">
        <f t="shared" si="7"/>
        <v>Primary 2</v>
      </c>
      <c r="M81" s="10" t="str">
        <f t="shared" si="8"/>
        <v>P15|Primary 2</v>
      </c>
    </row>
    <row r="82" spans="1:13" x14ac:dyDescent="0.3">
      <c r="A82" s="6" t="s">
        <v>963</v>
      </c>
      <c r="B82" s="10" t="s">
        <v>339</v>
      </c>
      <c r="C82" s="6" t="str">
        <f>INDEX('Path Scorecard'!$AB$5:$AB$80,MATCH($A82,'Path Scorecard'!$A$5:$A$80,0))</f>
        <v>Reserve</v>
      </c>
      <c r="D82" s="8" t="s">
        <v>1312</v>
      </c>
      <c r="E82" s="19">
        <v>3</v>
      </c>
      <c r="F82" s="19">
        <v>5</v>
      </c>
      <c r="G82" s="19">
        <v>4</v>
      </c>
      <c r="H82" s="6">
        <v>3</v>
      </c>
      <c r="I82" s="6">
        <v>3</v>
      </c>
      <c r="J82" s="9">
        <f>(E82*'Competitor Criteria'!$F$11+F82*'Competitor Criteria'!$F$12+G82*'Competitor Criteria'!$F$13+H82*'Competitor Criteria'!$F$14+I82*'Competitor Criteria'!$F$15)/(5*'Competitor Criteria'!$F$16)*100+E82/1000</f>
        <v>73.003</v>
      </c>
      <c r="K82" s="6">
        <f t="shared" si="6"/>
        <v>3</v>
      </c>
      <c r="L82" s="8" t="str">
        <f t="shared" si="7"/>
        <v>Alternate</v>
      </c>
      <c r="M82" s="10" t="str">
        <f t="shared" si="8"/>
        <v>P15|Alternate</v>
      </c>
    </row>
    <row r="83" spans="1:13" x14ac:dyDescent="0.3">
      <c r="A83" s="6" t="s">
        <v>1096</v>
      </c>
      <c r="B83" s="10" t="s">
        <v>350</v>
      </c>
      <c r="C83" s="6" t="str">
        <f>INDEX('Path Scorecard'!$AB$5:$AB$80,MATCH($A83,'Path Scorecard'!$A$5:$A$80,0))</f>
        <v>Reserve</v>
      </c>
      <c r="D83" s="8" t="s">
        <v>669</v>
      </c>
      <c r="E83" s="19">
        <v>5</v>
      </c>
      <c r="F83" s="19">
        <v>3</v>
      </c>
      <c r="G83" s="19">
        <v>3</v>
      </c>
      <c r="H83" s="6">
        <v>5</v>
      </c>
      <c r="I83" s="6">
        <v>3</v>
      </c>
      <c r="J83" s="9">
        <f>(E83*'Competitor Criteria'!$F$11+F83*'Competitor Criteria'!$F$12+G83*'Competitor Criteria'!$F$13+H83*'Competitor Criteria'!$F$14+I83*'Competitor Criteria'!$F$15)/(5*'Competitor Criteria'!$F$16)*100+E83/1000</f>
        <v>78.004999999999995</v>
      </c>
      <c r="K83" s="6">
        <f t="shared" si="6"/>
        <v>2</v>
      </c>
      <c r="L83" s="8" t="str">
        <f t="shared" si="7"/>
        <v>Primary 2</v>
      </c>
      <c r="M83" s="10" t="str">
        <f t="shared" si="8"/>
        <v>P49|Primary 2</v>
      </c>
    </row>
    <row r="84" spans="1:13" x14ac:dyDescent="0.3">
      <c r="A84" s="6" t="s">
        <v>1096</v>
      </c>
      <c r="B84" s="10" t="s">
        <v>350</v>
      </c>
      <c r="C84" s="6" t="str">
        <f>INDEX('Path Scorecard'!$AB$5:$AB$80,MATCH($A84,'Path Scorecard'!$A$5:$A$80,0))</f>
        <v>Reserve</v>
      </c>
      <c r="D84" s="8" t="s">
        <v>1312</v>
      </c>
      <c r="E84" s="19">
        <v>4</v>
      </c>
      <c r="F84" s="19">
        <v>5</v>
      </c>
      <c r="G84" s="19">
        <v>4</v>
      </c>
      <c r="H84" s="6">
        <v>3</v>
      </c>
      <c r="I84" s="6">
        <v>3</v>
      </c>
      <c r="J84" s="9">
        <f>(E84*'Competitor Criteria'!$F$11+F84*'Competitor Criteria'!$F$12+G84*'Competitor Criteria'!$F$13+H84*'Competitor Criteria'!$F$14+I84*'Competitor Criteria'!$F$15)/(5*'Competitor Criteria'!$F$16)*100+E84/1000</f>
        <v>79.004000000000005</v>
      </c>
      <c r="K84" s="6">
        <f t="shared" si="6"/>
        <v>1</v>
      </c>
      <c r="L84" s="8" t="str">
        <f t="shared" si="7"/>
        <v>Primary 1</v>
      </c>
      <c r="M84" s="10" t="str">
        <f t="shared" si="8"/>
        <v>P49|Primary 1</v>
      </c>
    </row>
    <row r="85" spans="1:13" x14ac:dyDescent="0.3">
      <c r="A85" s="6" t="s">
        <v>1096</v>
      </c>
      <c r="B85" s="10" t="s">
        <v>350</v>
      </c>
      <c r="C85" s="6" t="str">
        <f>INDEX('Path Scorecard'!$AB$5:$AB$80,MATCH($A85,'Path Scorecard'!$A$5:$A$80,0))</f>
        <v>Reserve</v>
      </c>
      <c r="D85" s="8" t="s">
        <v>1313</v>
      </c>
      <c r="E85" s="19">
        <v>4</v>
      </c>
      <c r="F85" s="19">
        <v>2</v>
      </c>
      <c r="G85" s="19">
        <v>3</v>
      </c>
      <c r="H85" s="6">
        <v>5</v>
      </c>
      <c r="I85" s="6">
        <v>2</v>
      </c>
      <c r="J85" s="9">
        <f>(E85*'Competitor Criteria'!$F$11+F85*'Competitor Criteria'!$F$12+G85*'Competitor Criteria'!$F$13+H85*'Competitor Criteria'!$F$14+I85*'Competitor Criteria'!$F$15)/(5*'Competitor Criteria'!$F$16)*100+E85/1000</f>
        <v>64.004000000000005</v>
      </c>
      <c r="K85" s="6">
        <f t="shared" si="6"/>
        <v>3</v>
      </c>
      <c r="L85" s="8" t="str">
        <f t="shared" si="7"/>
        <v>Alternate</v>
      </c>
      <c r="M85" s="10" t="str">
        <f t="shared" si="8"/>
        <v>P49|Alternate</v>
      </c>
    </row>
    <row r="86" spans="1:13" ht="26.4" x14ac:dyDescent="0.3">
      <c r="A86" s="6" t="s">
        <v>1108</v>
      </c>
      <c r="B86" s="10" t="s">
        <v>361</v>
      </c>
      <c r="C86" s="6" t="str">
        <f>INDEX('Path Scorecard'!$AB$5:$AB$80,MATCH($A86,'Path Scorecard'!$A$5:$A$80,0))</f>
        <v>Reserve</v>
      </c>
      <c r="D86" s="8" t="s">
        <v>669</v>
      </c>
      <c r="E86" s="19">
        <v>5</v>
      </c>
      <c r="F86" s="19">
        <v>3</v>
      </c>
      <c r="G86" s="19">
        <v>3</v>
      </c>
      <c r="H86" s="6">
        <v>5</v>
      </c>
      <c r="I86" s="6">
        <v>3</v>
      </c>
      <c r="J86" s="9">
        <f>(E86*'Competitor Criteria'!$F$11+F86*'Competitor Criteria'!$F$12+G86*'Competitor Criteria'!$F$13+H86*'Competitor Criteria'!$F$14+I86*'Competitor Criteria'!$F$15)/(5*'Competitor Criteria'!$F$16)*100+E86/1000</f>
        <v>78.004999999999995</v>
      </c>
      <c r="K86" s="6">
        <f t="shared" si="6"/>
        <v>1</v>
      </c>
      <c r="L86" s="8" t="str">
        <f t="shared" si="7"/>
        <v>Primary 1</v>
      </c>
      <c r="M86" s="10" t="str">
        <f t="shared" si="8"/>
        <v>P52|Primary 1</v>
      </c>
    </row>
    <row r="87" spans="1:13" ht="26.4" x14ac:dyDescent="0.3">
      <c r="A87" s="6" t="s">
        <v>1108</v>
      </c>
      <c r="B87" s="10" t="s">
        <v>361</v>
      </c>
      <c r="C87" s="6" t="str">
        <f>INDEX('Path Scorecard'!$AB$5:$AB$80,MATCH($A87,'Path Scorecard'!$A$5:$A$80,0))</f>
        <v>Reserve</v>
      </c>
      <c r="D87" s="8" t="s">
        <v>1313</v>
      </c>
      <c r="E87" s="19">
        <v>4</v>
      </c>
      <c r="F87" s="19">
        <v>3</v>
      </c>
      <c r="G87" s="19">
        <v>3</v>
      </c>
      <c r="H87" s="6">
        <v>5</v>
      </c>
      <c r="I87" s="6">
        <v>2</v>
      </c>
      <c r="J87" s="9">
        <f>(E87*'Competitor Criteria'!$F$11+F87*'Competitor Criteria'!$F$12+G87*'Competitor Criteria'!$F$13+H87*'Competitor Criteria'!$F$14+I87*'Competitor Criteria'!$F$15)/(5*'Competitor Criteria'!$F$16)*100+E87/1000</f>
        <v>69.004000000000005</v>
      </c>
      <c r="K87" s="6">
        <f t="shared" si="6"/>
        <v>3</v>
      </c>
      <c r="L87" s="8" t="str">
        <f t="shared" si="7"/>
        <v>Alternate</v>
      </c>
      <c r="M87" s="10" t="str">
        <f t="shared" si="8"/>
        <v>P52|Alternate</v>
      </c>
    </row>
    <row r="88" spans="1:13" ht="26.4" x14ac:dyDescent="0.3">
      <c r="A88" s="6" t="s">
        <v>1108</v>
      </c>
      <c r="B88" s="10" t="s">
        <v>361</v>
      </c>
      <c r="C88" s="6" t="str">
        <f>INDEX('Path Scorecard'!$AB$5:$AB$80,MATCH($A88,'Path Scorecard'!$A$5:$A$80,0))</f>
        <v>Reserve</v>
      </c>
      <c r="D88" s="8" t="s">
        <v>1314</v>
      </c>
      <c r="E88" s="19">
        <v>4</v>
      </c>
      <c r="F88" s="19">
        <v>4</v>
      </c>
      <c r="G88" s="19">
        <v>3</v>
      </c>
      <c r="H88" s="6">
        <v>4</v>
      </c>
      <c r="I88" s="6">
        <v>2</v>
      </c>
      <c r="J88" s="9">
        <f>(E88*'Competitor Criteria'!$F$11+F88*'Competitor Criteria'!$F$12+G88*'Competitor Criteria'!$F$13+H88*'Competitor Criteria'!$F$14+I88*'Competitor Criteria'!$F$15)/(5*'Competitor Criteria'!$F$16)*100+E88/1000</f>
        <v>71.004000000000005</v>
      </c>
      <c r="K88" s="6">
        <f t="shared" si="6"/>
        <v>2</v>
      </c>
      <c r="L88" s="8" t="str">
        <f t="shared" si="7"/>
        <v>Primary 2</v>
      </c>
      <c r="M88" s="10" t="str">
        <f t="shared" si="8"/>
        <v>P52|Primary 2</v>
      </c>
    </row>
    <row r="89" spans="1:13" x14ac:dyDescent="0.3">
      <c r="A89" s="6" t="s">
        <v>1133</v>
      </c>
      <c r="B89" s="10" t="s">
        <v>372</v>
      </c>
      <c r="C89" s="6" t="str">
        <f>INDEX('Path Scorecard'!$AB$5:$AB$80,MATCH($A89,'Path Scorecard'!$A$5:$A$80,0))</f>
        <v>Reserve</v>
      </c>
      <c r="D89" s="8" t="s">
        <v>640</v>
      </c>
      <c r="E89" s="19">
        <v>5</v>
      </c>
      <c r="F89" s="19">
        <v>5</v>
      </c>
      <c r="G89" s="19">
        <v>4</v>
      </c>
      <c r="H89" s="6">
        <v>3</v>
      </c>
      <c r="I89" s="6">
        <v>4</v>
      </c>
      <c r="J89" s="9">
        <f>(E89*'Competitor Criteria'!$F$11+F89*'Competitor Criteria'!$F$12+G89*'Competitor Criteria'!$F$13+H89*'Competitor Criteria'!$F$14+I89*'Competitor Criteria'!$F$15)/(5*'Competitor Criteria'!$F$16)*100+E89/1000</f>
        <v>88.004999999999995</v>
      </c>
      <c r="K89" s="6">
        <f t="shared" si="6"/>
        <v>1</v>
      </c>
      <c r="L89" s="8" t="str">
        <f t="shared" si="7"/>
        <v>Primary 1</v>
      </c>
      <c r="M89" s="10" t="str">
        <f t="shared" si="8"/>
        <v>P57|Primary 1</v>
      </c>
    </row>
    <row r="90" spans="1:13" x14ac:dyDescent="0.3">
      <c r="A90" s="6" t="s">
        <v>1133</v>
      </c>
      <c r="B90" s="10" t="s">
        <v>372</v>
      </c>
      <c r="C90" s="6" t="str">
        <f>INDEX('Path Scorecard'!$AB$5:$AB$80,MATCH($A90,'Path Scorecard'!$A$5:$A$80,0))</f>
        <v>Reserve</v>
      </c>
      <c r="D90" s="8" t="s">
        <v>669</v>
      </c>
      <c r="E90" s="19">
        <v>5</v>
      </c>
      <c r="F90" s="19">
        <v>3</v>
      </c>
      <c r="G90" s="19">
        <v>3</v>
      </c>
      <c r="H90" s="6">
        <v>5</v>
      </c>
      <c r="I90" s="6">
        <v>3</v>
      </c>
      <c r="J90" s="9">
        <f>(E90*'Competitor Criteria'!$F$11+F90*'Competitor Criteria'!$F$12+G90*'Competitor Criteria'!$F$13+H90*'Competitor Criteria'!$F$14+I90*'Competitor Criteria'!$F$15)/(5*'Competitor Criteria'!$F$16)*100+E90/1000</f>
        <v>78.004999999999995</v>
      </c>
      <c r="K90" s="6">
        <f t="shared" si="6"/>
        <v>2</v>
      </c>
      <c r="L90" s="8" t="str">
        <f t="shared" si="7"/>
        <v>Primary 2</v>
      </c>
      <c r="M90" s="10" t="str">
        <f t="shared" si="8"/>
        <v>P57|Primary 2</v>
      </c>
    </row>
    <row r="91" spans="1:13" x14ac:dyDescent="0.3">
      <c r="A91" s="6" t="s">
        <v>1133</v>
      </c>
      <c r="B91" s="10" t="s">
        <v>372</v>
      </c>
      <c r="C91" s="6" t="str">
        <f>INDEX('Path Scorecard'!$AB$5:$AB$80,MATCH($A91,'Path Scorecard'!$A$5:$A$80,0))</f>
        <v>Reserve</v>
      </c>
      <c r="D91" s="8" t="s">
        <v>1312</v>
      </c>
      <c r="E91" s="19">
        <v>3</v>
      </c>
      <c r="F91" s="19">
        <v>5</v>
      </c>
      <c r="G91" s="19">
        <v>4</v>
      </c>
      <c r="H91" s="6">
        <v>3</v>
      </c>
      <c r="I91" s="6">
        <v>3</v>
      </c>
      <c r="J91" s="9">
        <f>(E91*'Competitor Criteria'!$F$11+F91*'Competitor Criteria'!$F$12+G91*'Competitor Criteria'!$F$13+H91*'Competitor Criteria'!$F$14+I91*'Competitor Criteria'!$F$15)/(5*'Competitor Criteria'!$F$16)*100+E91/1000</f>
        <v>73.003</v>
      </c>
      <c r="K91" s="6">
        <f t="shared" si="6"/>
        <v>3</v>
      </c>
      <c r="L91" s="8" t="str">
        <f t="shared" si="7"/>
        <v>Alternate</v>
      </c>
      <c r="M91" s="10" t="str">
        <f t="shared" si="8"/>
        <v>P57|Alternate</v>
      </c>
    </row>
  </sheetData>
  <autoFilter ref="A4:N91" xr:uid="{00000000-0009-0000-0000-000009000000}"/>
  <conditionalFormatting sqref="A5:N91">
    <cfRule type="expression" dxfId="11" priority="1">
      <formula>LEFT($L5,7)="Primary"</formula>
    </cfRule>
    <cfRule type="expression" dxfId="10" priority="2">
      <formula>LEFT($L5,9)="Secondary"</formula>
    </cfRule>
  </conditionalFormatting>
  <dataValidations count="1">
    <dataValidation type="whole" showErrorMessage="1" sqref="E5:E91 F5:F91 G5:G91" xr:uid="{00000000-0002-0000-0900-000000000000}">
      <formula1>1</formula1>
      <formula2>5</formula2>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6A6A6"/>
  </sheetPr>
  <dimension ref="A1:N98"/>
  <sheetViews>
    <sheetView showGridLines="0" workbookViewId="0">
      <pane xSplit="4" ySplit="4" topLeftCell="E5" activePane="bottomRight" state="frozen"/>
      <selection pane="topRight"/>
      <selection pane="bottomLeft"/>
      <selection pane="bottomRight"/>
    </sheetView>
  </sheetViews>
  <sheetFormatPr defaultRowHeight="14.4" x14ac:dyDescent="0.3"/>
  <cols>
    <col min="1" max="1" width="8" customWidth="1"/>
    <col min="2" max="2" width="56" customWidth="1"/>
    <col min="3" max="3" width="13" customWidth="1"/>
    <col min="4" max="4" width="22" customWidth="1"/>
    <col min="5" max="9" width="10" customWidth="1"/>
    <col min="10" max="10" width="9" customWidth="1"/>
    <col min="11" max="11" width="8" customWidth="1"/>
    <col min="12" max="12" width="13" customWidth="1"/>
    <col min="13" max="13" width="16" customWidth="1"/>
    <col min="14" max="14" width="60" customWidth="1"/>
  </cols>
  <sheetData>
    <row r="1" spans="1:14" ht="21" x14ac:dyDescent="0.4">
      <c r="A1" s="1" t="s">
        <v>1317</v>
      </c>
    </row>
    <row r="2" spans="1:14" x14ac:dyDescent="0.3">
      <c r="A2" s="2" t="s">
        <v>1301</v>
      </c>
    </row>
    <row r="4" spans="1:14" ht="30" customHeight="1" x14ac:dyDescent="0.3">
      <c r="A4" s="5" t="s">
        <v>705</v>
      </c>
      <c r="B4" s="5" t="s">
        <v>128</v>
      </c>
      <c r="C4" s="5" t="s">
        <v>125</v>
      </c>
      <c r="D4" s="5" t="s">
        <v>1302</v>
      </c>
      <c r="E4" s="5" t="s">
        <v>1318</v>
      </c>
      <c r="F4" s="5" t="s">
        <v>1319</v>
      </c>
      <c r="G4" s="5" t="s">
        <v>1320</v>
      </c>
      <c r="H4" s="5" t="s">
        <v>1321</v>
      </c>
      <c r="I4" s="5" t="s">
        <v>1322</v>
      </c>
      <c r="J4" s="5" t="s">
        <v>1308</v>
      </c>
      <c r="K4" s="5" t="s">
        <v>1309</v>
      </c>
      <c r="L4" s="5" t="s">
        <v>1310</v>
      </c>
      <c r="M4" s="5" t="s">
        <v>1311</v>
      </c>
      <c r="N4" s="5" t="s">
        <v>1323</v>
      </c>
    </row>
    <row r="5" spans="1:14" ht="39.6" x14ac:dyDescent="0.3">
      <c r="A5" s="6" t="s">
        <v>786</v>
      </c>
      <c r="B5" s="10" t="s">
        <v>21</v>
      </c>
      <c r="C5" s="6" t="str">
        <f>INDEX('Path Scorecard'!$AB$5:$AB$80,MATCH($A5,'Path Scorecard'!$A$5:$A$80,0))</f>
        <v>Recommended</v>
      </c>
      <c r="D5" s="8" t="s">
        <v>1324</v>
      </c>
      <c r="E5" s="19">
        <v>5</v>
      </c>
      <c r="F5" s="19">
        <v>5</v>
      </c>
      <c r="G5" s="6">
        <v>4</v>
      </c>
      <c r="H5" s="19">
        <v>5</v>
      </c>
      <c r="I5" s="6">
        <v>5</v>
      </c>
      <c r="J5" s="9">
        <f>(E5*'Competitor Criteria'!$F$20+F5*'Competitor Criteria'!$F$21+G5*'Competitor Criteria'!$F$22+H5*'Competitor Criteria'!$F$23+I5*'Competitor Criteria'!$F$24)/(5*'Competitor Criteria'!$F$25)*100+E5/1000</f>
        <v>97.004999999999995</v>
      </c>
      <c r="K5" s="6">
        <f t="shared" ref="K5:K36" si="0">COUNTIFS($A$5:$A$98,A5,$J$5:$J$98,"&gt;"&amp;J5)+1</f>
        <v>1</v>
      </c>
      <c r="L5" s="8" t="str">
        <f t="shared" ref="L5:L36" si="1">IF(K5=1,"Secondary 1",IF(K5=2,"Secondary 2","Alternate"))</f>
        <v>Secondary 1</v>
      </c>
      <c r="M5" s="10" t="str">
        <f t="shared" ref="M5:M36" si="2">A5&amp;"|"&amp;L5</f>
        <v>P01|Secondary 1</v>
      </c>
      <c r="N5" s="10" t="s">
        <v>143</v>
      </c>
    </row>
    <row r="6" spans="1:14" ht="26.4" x14ac:dyDescent="0.3">
      <c r="A6" s="6" t="s">
        <v>786</v>
      </c>
      <c r="B6" s="10" t="s">
        <v>21</v>
      </c>
      <c r="C6" s="6" t="str">
        <f>INDEX('Path Scorecard'!$AB$5:$AB$80,MATCH($A6,'Path Scorecard'!$A$5:$A$80,0))</f>
        <v>Recommended</v>
      </c>
      <c r="D6" s="8" t="s">
        <v>691</v>
      </c>
      <c r="E6" s="19">
        <v>5</v>
      </c>
      <c r="F6" s="19">
        <v>5</v>
      </c>
      <c r="G6" s="6">
        <v>4</v>
      </c>
      <c r="H6" s="19">
        <v>5</v>
      </c>
      <c r="I6" s="6">
        <v>3</v>
      </c>
      <c r="J6" s="9">
        <f>(E6*'Competitor Criteria'!$F$20+F6*'Competitor Criteria'!$F$21+G6*'Competitor Criteria'!$F$22+H6*'Competitor Criteria'!$F$23+I6*'Competitor Criteria'!$F$24)/(5*'Competitor Criteria'!$F$25)*100+E6/1000</f>
        <v>91.004999999999995</v>
      </c>
      <c r="K6" s="6">
        <f t="shared" si="0"/>
        <v>2</v>
      </c>
      <c r="L6" s="8" t="str">
        <f t="shared" si="1"/>
        <v>Secondary 2</v>
      </c>
      <c r="M6" s="10" t="str">
        <f t="shared" si="2"/>
        <v>P01|Secondary 2</v>
      </c>
    </row>
    <row r="7" spans="1:14" ht="26.4" x14ac:dyDescent="0.3">
      <c r="A7" s="6" t="s">
        <v>786</v>
      </c>
      <c r="B7" s="10" t="s">
        <v>21</v>
      </c>
      <c r="C7" s="6" t="str">
        <f>INDEX('Path Scorecard'!$AB$5:$AB$80,MATCH($A7,'Path Scorecard'!$A$5:$A$80,0))</f>
        <v>Recommended</v>
      </c>
      <c r="D7" s="8" t="s">
        <v>1325</v>
      </c>
      <c r="E7" s="19">
        <v>5</v>
      </c>
      <c r="F7" s="19">
        <v>4</v>
      </c>
      <c r="G7" s="6">
        <v>4</v>
      </c>
      <c r="H7" s="19">
        <v>3</v>
      </c>
      <c r="I7" s="6">
        <v>4</v>
      </c>
      <c r="J7" s="9">
        <f>(E7*'Competitor Criteria'!$F$20+F7*'Competitor Criteria'!$F$21+G7*'Competitor Criteria'!$F$22+H7*'Competitor Criteria'!$F$23+I7*'Competitor Criteria'!$F$24)/(5*'Competitor Criteria'!$F$25)*100+E7/1000</f>
        <v>81.004999999999995</v>
      </c>
      <c r="K7" s="6">
        <f t="shared" si="0"/>
        <v>3</v>
      </c>
      <c r="L7" s="8" t="str">
        <f t="shared" si="1"/>
        <v>Alternate</v>
      </c>
      <c r="M7" s="10" t="str">
        <f t="shared" si="2"/>
        <v>P01|Alternate</v>
      </c>
    </row>
    <row r="8" spans="1:14" ht="26.4" x14ac:dyDescent="0.3">
      <c r="A8" s="6" t="s">
        <v>786</v>
      </c>
      <c r="B8" s="10" t="s">
        <v>21</v>
      </c>
      <c r="C8" s="6" t="str">
        <f>INDEX('Path Scorecard'!$AB$5:$AB$80,MATCH($A8,'Path Scorecard'!$A$5:$A$80,0))</f>
        <v>Recommended</v>
      </c>
      <c r="D8" s="8" t="s">
        <v>1326</v>
      </c>
      <c r="E8" s="19">
        <v>3</v>
      </c>
      <c r="F8" s="19">
        <v>5</v>
      </c>
      <c r="G8" s="6">
        <v>4</v>
      </c>
      <c r="H8" s="19">
        <v>4</v>
      </c>
      <c r="I8" s="6">
        <v>3</v>
      </c>
      <c r="J8" s="9">
        <f>(E8*'Competitor Criteria'!$F$20+F8*'Competitor Criteria'!$F$21+G8*'Competitor Criteria'!$F$22+H8*'Competitor Criteria'!$F$23+I8*'Competitor Criteria'!$F$24)/(5*'Competitor Criteria'!$F$25)*100+E8/1000</f>
        <v>77.003</v>
      </c>
      <c r="K8" s="6">
        <f t="shared" si="0"/>
        <v>4</v>
      </c>
      <c r="L8" s="8" t="str">
        <f t="shared" si="1"/>
        <v>Alternate</v>
      </c>
      <c r="M8" s="10" t="str">
        <f t="shared" si="2"/>
        <v>P01|Alternate</v>
      </c>
    </row>
    <row r="9" spans="1:14" ht="39.6" x14ac:dyDescent="0.3">
      <c r="A9" s="6" t="s">
        <v>913</v>
      </c>
      <c r="B9" s="10" t="s">
        <v>24</v>
      </c>
      <c r="C9" s="6" t="str">
        <f>INDEX('Path Scorecard'!$AB$5:$AB$80,MATCH($A9,'Path Scorecard'!$A$5:$A$80,0))</f>
        <v>Recommended</v>
      </c>
      <c r="D9" s="8" t="s">
        <v>1327</v>
      </c>
      <c r="E9" s="19">
        <v>4</v>
      </c>
      <c r="F9" s="19">
        <v>5</v>
      </c>
      <c r="G9" s="6">
        <v>5</v>
      </c>
      <c r="H9" s="19">
        <v>4</v>
      </c>
      <c r="I9" s="6">
        <v>5</v>
      </c>
      <c r="J9" s="9">
        <f>(E9*'Competitor Criteria'!$F$20+F9*'Competitor Criteria'!$F$21+G9*'Competitor Criteria'!$F$22+H9*'Competitor Criteria'!$F$23+I9*'Competitor Criteria'!$F$24)/(5*'Competitor Criteria'!$F$25)*100+E9/1000</f>
        <v>91.004000000000005</v>
      </c>
      <c r="K9" s="6">
        <f t="shared" si="0"/>
        <v>1</v>
      </c>
      <c r="L9" s="8" t="str">
        <f t="shared" si="1"/>
        <v>Secondary 1</v>
      </c>
      <c r="M9" s="10" t="str">
        <f t="shared" si="2"/>
        <v>P02|Secondary 1</v>
      </c>
      <c r="N9" s="10" t="s">
        <v>150</v>
      </c>
    </row>
    <row r="10" spans="1:14" ht="26.4" x14ac:dyDescent="0.3">
      <c r="A10" s="6" t="s">
        <v>913</v>
      </c>
      <c r="B10" s="10" t="s">
        <v>24</v>
      </c>
      <c r="C10" s="6" t="str">
        <f>INDEX('Path Scorecard'!$AB$5:$AB$80,MATCH($A10,'Path Scorecard'!$A$5:$A$80,0))</f>
        <v>Recommended</v>
      </c>
      <c r="D10" s="8" t="s">
        <v>1328</v>
      </c>
      <c r="E10" s="19">
        <v>5</v>
      </c>
      <c r="F10" s="19">
        <v>5</v>
      </c>
      <c r="G10" s="6">
        <v>3</v>
      </c>
      <c r="H10" s="19">
        <v>5</v>
      </c>
      <c r="I10" s="6">
        <v>2</v>
      </c>
      <c r="J10" s="9">
        <f>(E10*'Competitor Criteria'!$F$20+F10*'Competitor Criteria'!$F$21+G10*'Competitor Criteria'!$F$22+H10*'Competitor Criteria'!$F$23+I10*'Competitor Criteria'!$F$24)/(5*'Competitor Criteria'!$F$25)*100+E10/1000</f>
        <v>85.004999999999995</v>
      </c>
      <c r="K10" s="6">
        <f t="shared" si="0"/>
        <v>2</v>
      </c>
      <c r="L10" s="8" t="str">
        <f t="shared" si="1"/>
        <v>Secondary 2</v>
      </c>
      <c r="M10" s="10" t="str">
        <f t="shared" si="2"/>
        <v>P02|Secondary 2</v>
      </c>
    </row>
    <row r="11" spans="1:14" ht="26.4" x14ac:dyDescent="0.3">
      <c r="A11" s="6" t="s">
        <v>913</v>
      </c>
      <c r="B11" s="10" t="s">
        <v>24</v>
      </c>
      <c r="C11" s="6" t="str">
        <f>INDEX('Path Scorecard'!$AB$5:$AB$80,MATCH($A11,'Path Scorecard'!$A$5:$A$80,0))</f>
        <v>Recommended</v>
      </c>
      <c r="D11" s="8" t="s">
        <v>1329</v>
      </c>
      <c r="E11" s="19">
        <v>4</v>
      </c>
      <c r="F11" s="19">
        <v>5</v>
      </c>
      <c r="G11" s="6">
        <v>5</v>
      </c>
      <c r="H11" s="19">
        <v>3</v>
      </c>
      <c r="I11" s="6">
        <v>1</v>
      </c>
      <c r="J11" s="9">
        <f>(E11*'Competitor Criteria'!$F$20+F11*'Competitor Criteria'!$F$21+G11*'Competitor Criteria'!$F$22+H11*'Competitor Criteria'!$F$23+I11*'Competitor Criteria'!$F$24)/(5*'Competitor Criteria'!$F$25)*100+E11/1000</f>
        <v>75.004000000000005</v>
      </c>
      <c r="K11" s="6">
        <f t="shared" si="0"/>
        <v>4</v>
      </c>
      <c r="L11" s="8" t="str">
        <f t="shared" si="1"/>
        <v>Alternate</v>
      </c>
      <c r="M11" s="10" t="str">
        <f t="shared" si="2"/>
        <v>P02|Alternate</v>
      </c>
    </row>
    <row r="12" spans="1:14" ht="26.4" x14ac:dyDescent="0.3">
      <c r="A12" s="6" t="s">
        <v>913</v>
      </c>
      <c r="B12" s="10" t="s">
        <v>24</v>
      </c>
      <c r="C12" s="6" t="str">
        <f>INDEX('Path Scorecard'!$AB$5:$AB$80,MATCH($A12,'Path Scorecard'!$A$5:$A$80,0))</f>
        <v>Recommended</v>
      </c>
      <c r="D12" s="8" t="s">
        <v>1325</v>
      </c>
      <c r="E12" s="19">
        <v>4</v>
      </c>
      <c r="F12" s="19">
        <v>4</v>
      </c>
      <c r="G12" s="6">
        <v>4</v>
      </c>
      <c r="H12" s="19">
        <v>3</v>
      </c>
      <c r="I12" s="6">
        <v>4</v>
      </c>
      <c r="J12" s="9">
        <f>(E12*'Competitor Criteria'!$F$20+F12*'Competitor Criteria'!$F$21+G12*'Competitor Criteria'!$F$22+H12*'Competitor Criteria'!$F$23+I12*'Competitor Criteria'!$F$24)/(5*'Competitor Criteria'!$F$25)*100+E12/1000</f>
        <v>76.004000000000005</v>
      </c>
      <c r="K12" s="6">
        <f t="shared" si="0"/>
        <v>3</v>
      </c>
      <c r="L12" s="8" t="str">
        <f t="shared" si="1"/>
        <v>Alternate</v>
      </c>
      <c r="M12" s="10" t="str">
        <f t="shared" si="2"/>
        <v>P02|Alternate</v>
      </c>
    </row>
    <row r="13" spans="1:14" ht="26.4" x14ac:dyDescent="0.3">
      <c r="A13" s="6" t="s">
        <v>943</v>
      </c>
      <c r="B13" s="10" t="s">
        <v>27</v>
      </c>
      <c r="C13" s="6" t="str">
        <f>INDEX('Path Scorecard'!$AB$5:$AB$80,MATCH($A13,'Path Scorecard'!$A$5:$A$80,0))</f>
        <v>Recommended</v>
      </c>
      <c r="D13" s="8" t="s">
        <v>1330</v>
      </c>
      <c r="E13" s="19">
        <v>4</v>
      </c>
      <c r="F13" s="19">
        <v>5</v>
      </c>
      <c r="G13" s="6">
        <v>4</v>
      </c>
      <c r="H13" s="19">
        <v>4</v>
      </c>
      <c r="I13" s="6">
        <v>3</v>
      </c>
      <c r="J13" s="9">
        <f>(E13*'Competitor Criteria'!$F$20+F13*'Competitor Criteria'!$F$21+G13*'Competitor Criteria'!$F$22+H13*'Competitor Criteria'!$F$23+I13*'Competitor Criteria'!$F$24)/(5*'Competitor Criteria'!$F$25)*100+E13/1000</f>
        <v>82.004000000000005</v>
      </c>
      <c r="K13" s="6">
        <f t="shared" si="0"/>
        <v>1</v>
      </c>
      <c r="L13" s="8" t="str">
        <f t="shared" si="1"/>
        <v>Secondary 1</v>
      </c>
      <c r="M13" s="10" t="str">
        <f t="shared" si="2"/>
        <v>P09|Secondary 1</v>
      </c>
      <c r="N13" s="10" t="s">
        <v>157</v>
      </c>
    </row>
    <row r="14" spans="1:14" ht="26.4" x14ac:dyDescent="0.3">
      <c r="A14" s="6" t="s">
        <v>943</v>
      </c>
      <c r="B14" s="10" t="s">
        <v>27</v>
      </c>
      <c r="C14" s="6" t="str">
        <f>INDEX('Path Scorecard'!$AB$5:$AB$80,MATCH($A14,'Path Scorecard'!$A$5:$A$80,0))</f>
        <v>Recommended</v>
      </c>
      <c r="D14" s="8" t="s">
        <v>1331</v>
      </c>
      <c r="E14" s="19">
        <v>5</v>
      </c>
      <c r="F14" s="19">
        <v>4</v>
      </c>
      <c r="G14" s="6">
        <v>3</v>
      </c>
      <c r="H14" s="19">
        <v>5</v>
      </c>
      <c r="I14" s="6">
        <v>2</v>
      </c>
      <c r="J14" s="9">
        <f>(E14*'Competitor Criteria'!$F$20+F14*'Competitor Criteria'!$F$21+G14*'Competitor Criteria'!$F$22+H14*'Competitor Criteria'!$F$23+I14*'Competitor Criteria'!$F$24)/(5*'Competitor Criteria'!$F$25)*100+E14/1000</f>
        <v>80.004999999999995</v>
      </c>
      <c r="K14" s="6">
        <f t="shared" si="0"/>
        <v>2</v>
      </c>
      <c r="L14" s="8" t="str">
        <f t="shared" si="1"/>
        <v>Secondary 2</v>
      </c>
      <c r="M14" s="10" t="str">
        <f t="shared" si="2"/>
        <v>P09|Secondary 2</v>
      </c>
    </row>
    <row r="15" spans="1:14" ht="26.4" x14ac:dyDescent="0.3">
      <c r="A15" s="6" t="s">
        <v>943</v>
      </c>
      <c r="B15" s="10" t="s">
        <v>27</v>
      </c>
      <c r="C15" s="6" t="str">
        <f>INDEX('Path Scorecard'!$AB$5:$AB$80,MATCH($A15,'Path Scorecard'!$A$5:$A$80,0))</f>
        <v>Recommended</v>
      </c>
      <c r="D15" s="8" t="s">
        <v>1332</v>
      </c>
      <c r="E15" s="19">
        <v>4</v>
      </c>
      <c r="F15" s="19">
        <v>4</v>
      </c>
      <c r="G15" s="6">
        <v>3</v>
      </c>
      <c r="H15" s="19">
        <v>5</v>
      </c>
      <c r="I15" s="6">
        <v>2</v>
      </c>
      <c r="J15" s="9">
        <f>(E15*'Competitor Criteria'!$F$20+F15*'Competitor Criteria'!$F$21+G15*'Competitor Criteria'!$F$22+H15*'Competitor Criteria'!$F$23+I15*'Competitor Criteria'!$F$24)/(5*'Competitor Criteria'!$F$25)*100+E15/1000</f>
        <v>75.004000000000005</v>
      </c>
      <c r="K15" s="6">
        <f t="shared" si="0"/>
        <v>3</v>
      </c>
      <c r="L15" s="8" t="str">
        <f t="shared" si="1"/>
        <v>Alternate</v>
      </c>
      <c r="M15" s="10" t="str">
        <f t="shared" si="2"/>
        <v>P09|Alternate</v>
      </c>
    </row>
    <row r="16" spans="1:14" ht="26.4" x14ac:dyDescent="0.3">
      <c r="A16" s="6" t="s">
        <v>943</v>
      </c>
      <c r="B16" s="10" t="s">
        <v>27</v>
      </c>
      <c r="C16" s="6" t="str">
        <f>INDEX('Path Scorecard'!$AB$5:$AB$80,MATCH($A16,'Path Scorecard'!$A$5:$A$80,0))</f>
        <v>Recommended</v>
      </c>
      <c r="D16" s="8" t="s">
        <v>691</v>
      </c>
      <c r="E16" s="19">
        <v>3</v>
      </c>
      <c r="F16" s="19">
        <v>4</v>
      </c>
      <c r="G16" s="6">
        <v>4</v>
      </c>
      <c r="H16" s="19">
        <v>4</v>
      </c>
      <c r="I16" s="6">
        <v>3</v>
      </c>
      <c r="J16" s="9">
        <f>(E16*'Competitor Criteria'!$F$20+F16*'Competitor Criteria'!$F$21+G16*'Competitor Criteria'!$F$22+H16*'Competitor Criteria'!$F$23+I16*'Competitor Criteria'!$F$24)/(5*'Competitor Criteria'!$F$25)*100+E16/1000</f>
        <v>72.003</v>
      </c>
      <c r="K16" s="6">
        <f t="shared" si="0"/>
        <v>4</v>
      </c>
      <c r="L16" s="8" t="str">
        <f t="shared" si="1"/>
        <v>Alternate</v>
      </c>
      <c r="M16" s="10" t="str">
        <f t="shared" si="2"/>
        <v>P09|Alternate</v>
      </c>
    </row>
    <row r="17" spans="1:14" ht="39.6" x14ac:dyDescent="0.3">
      <c r="A17" s="6" t="s">
        <v>756</v>
      </c>
      <c r="B17" s="10" t="s">
        <v>30</v>
      </c>
      <c r="C17" s="6" t="str">
        <f>INDEX('Path Scorecard'!$AB$5:$AB$80,MATCH($A17,'Path Scorecard'!$A$5:$A$80,0))</f>
        <v>Recommended</v>
      </c>
      <c r="D17" s="8" t="s">
        <v>1333</v>
      </c>
      <c r="E17" s="19">
        <v>4</v>
      </c>
      <c r="F17" s="19">
        <v>5</v>
      </c>
      <c r="G17" s="6">
        <v>5</v>
      </c>
      <c r="H17" s="19">
        <v>4</v>
      </c>
      <c r="I17" s="6">
        <v>5</v>
      </c>
      <c r="J17" s="9">
        <f>(E17*'Competitor Criteria'!$F$20+F17*'Competitor Criteria'!$F$21+G17*'Competitor Criteria'!$F$22+H17*'Competitor Criteria'!$F$23+I17*'Competitor Criteria'!$F$24)/(5*'Competitor Criteria'!$F$25)*100+E17/1000</f>
        <v>91.004000000000005</v>
      </c>
      <c r="K17" s="6">
        <f t="shared" si="0"/>
        <v>1</v>
      </c>
      <c r="L17" s="8" t="str">
        <f t="shared" si="1"/>
        <v>Secondary 1</v>
      </c>
      <c r="M17" s="10" t="str">
        <f t="shared" si="2"/>
        <v>P07|Secondary 1</v>
      </c>
      <c r="N17" s="10" t="s">
        <v>164</v>
      </c>
    </row>
    <row r="18" spans="1:14" ht="26.4" x14ac:dyDescent="0.3">
      <c r="A18" s="6" t="s">
        <v>756</v>
      </c>
      <c r="B18" s="10" t="s">
        <v>30</v>
      </c>
      <c r="C18" s="6" t="str">
        <f>INDEX('Path Scorecard'!$AB$5:$AB$80,MATCH($A18,'Path Scorecard'!$A$5:$A$80,0))</f>
        <v>Recommended</v>
      </c>
      <c r="D18" s="8" t="s">
        <v>1334</v>
      </c>
      <c r="E18" s="19">
        <v>4</v>
      </c>
      <c r="F18" s="19">
        <v>5</v>
      </c>
      <c r="G18" s="6">
        <v>5</v>
      </c>
      <c r="H18" s="19">
        <v>4</v>
      </c>
      <c r="I18" s="6">
        <v>3</v>
      </c>
      <c r="J18" s="9">
        <f>(E18*'Competitor Criteria'!$F$20+F18*'Competitor Criteria'!$F$21+G18*'Competitor Criteria'!$F$22+H18*'Competitor Criteria'!$F$23+I18*'Competitor Criteria'!$F$24)/(5*'Competitor Criteria'!$F$25)*100+E18/1000</f>
        <v>85.004000000000005</v>
      </c>
      <c r="K18" s="6">
        <f t="shared" si="0"/>
        <v>2</v>
      </c>
      <c r="L18" s="8" t="str">
        <f t="shared" si="1"/>
        <v>Secondary 2</v>
      </c>
      <c r="M18" s="10" t="str">
        <f t="shared" si="2"/>
        <v>P07|Secondary 2</v>
      </c>
    </row>
    <row r="19" spans="1:14" ht="26.4" x14ac:dyDescent="0.3">
      <c r="A19" s="6" t="s">
        <v>756</v>
      </c>
      <c r="B19" s="10" t="s">
        <v>30</v>
      </c>
      <c r="C19" s="6" t="str">
        <f>INDEX('Path Scorecard'!$AB$5:$AB$80,MATCH($A19,'Path Scorecard'!$A$5:$A$80,0))</f>
        <v>Recommended</v>
      </c>
      <c r="D19" s="8" t="s">
        <v>677</v>
      </c>
      <c r="E19" s="19">
        <v>5</v>
      </c>
      <c r="F19" s="19">
        <v>4</v>
      </c>
      <c r="G19" s="6">
        <v>5</v>
      </c>
      <c r="H19" s="19">
        <v>3</v>
      </c>
      <c r="I19" s="6">
        <v>4</v>
      </c>
      <c r="J19" s="9">
        <f>(E19*'Competitor Criteria'!$F$20+F19*'Competitor Criteria'!$F$21+G19*'Competitor Criteria'!$F$22+H19*'Competitor Criteria'!$F$23+I19*'Competitor Criteria'!$F$24)/(5*'Competitor Criteria'!$F$25)*100+E19/1000</f>
        <v>84.004999999999995</v>
      </c>
      <c r="K19" s="6">
        <f t="shared" si="0"/>
        <v>3</v>
      </c>
      <c r="L19" s="8" t="str">
        <f t="shared" si="1"/>
        <v>Alternate</v>
      </c>
      <c r="M19" s="10" t="str">
        <f t="shared" si="2"/>
        <v>P07|Alternate</v>
      </c>
    </row>
    <row r="20" spans="1:14" ht="26.4" x14ac:dyDescent="0.3">
      <c r="A20" s="6" t="s">
        <v>756</v>
      </c>
      <c r="B20" s="10" t="s">
        <v>30</v>
      </c>
      <c r="C20" s="6" t="str">
        <f>INDEX('Path Scorecard'!$AB$5:$AB$80,MATCH($A20,'Path Scorecard'!$A$5:$A$80,0))</f>
        <v>Recommended</v>
      </c>
      <c r="D20" s="8" t="s">
        <v>1335</v>
      </c>
      <c r="E20" s="19">
        <v>5</v>
      </c>
      <c r="F20" s="19">
        <v>4</v>
      </c>
      <c r="G20" s="6">
        <v>5</v>
      </c>
      <c r="H20" s="19">
        <v>3</v>
      </c>
      <c r="I20" s="6">
        <v>4</v>
      </c>
      <c r="J20" s="9">
        <f>(E20*'Competitor Criteria'!$F$20+F20*'Competitor Criteria'!$F$21+G20*'Competitor Criteria'!$F$22+H20*'Competitor Criteria'!$F$23+I20*'Competitor Criteria'!$F$24)/(5*'Competitor Criteria'!$F$25)*100+E20/1000</f>
        <v>84.004999999999995</v>
      </c>
      <c r="K20" s="6">
        <f t="shared" si="0"/>
        <v>3</v>
      </c>
      <c r="L20" s="8" t="str">
        <f t="shared" si="1"/>
        <v>Alternate</v>
      </c>
      <c r="M20" s="10" t="str">
        <f t="shared" si="2"/>
        <v>P07|Alternate</v>
      </c>
    </row>
    <row r="21" spans="1:14" ht="26.4" x14ac:dyDescent="0.3">
      <c r="A21" s="6" t="s">
        <v>734</v>
      </c>
      <c r="B21" s="10" t="s">
        <v>33</v>
      </c>
      <c r="C21" s="6" t="str">
        <f>INDEX('Path Scorecard'!$AB$5:$AB$80,MATCH($A21,'Path Scorecard'!$A$5:$A$80,0))</f>
        <v>Recommended</v>
      </c>
      <c r="D21" s="8" t="s">
        <v>1336</v>
      </c>
      <c r="E21" s="19">
        <v>5</v>
      </c>
      <c r="F21" s="19">
        <v>5</v>
      </c>
      <c r="G21" s="6">
        <v>5</v>
      </c>
      <c r="H21" s="19">
        <v>3</v>
      </c>
      <c r="I21" s="6">
        <v>2</v>
      </c>
      <c r="J21" s="9">
        <f>(E21*'Competitor Criteria'!$F$20+F21*'Competitor Criteria'!$F$21+G21*'Competitor Criteria'!$F$22+H21*'Competitor Criteria'!$F$23+I21*'Competitor Criteria'!$F$24)/(5*'Competitor Criteria'!$F$25)*100+E21/1000</f>
        <v>83.004999999999995</v>
      </c>
      <c r="K21" s="6">
        <f t="shared" si="0"/>
        <v>1</v>
      </c>
      <c r="L21" s="8" t="str">
        <f t="shared" si="1"/>
        <v>Secondary 1</v>
      </c>
      <c r="M21" s="10" t="str">
        <f t="shared" si="2"/>
        <v>P13|Secondary 1</v>
      </c>
      <c r="N21" s="10" t="s">
        <v>171</v>
      </c>
    </row>
    <row r="22" spans="1:14" x14ac:dyDescent="0.3">
      <c r="A22" s="6" t="s">
        <v>734</v>
      </c>
      <c r="B22" s="10" t="s">
        <v>33</v>
      </c>
      <c r="C22" s="6" t="str">
        <f>INDEX('Path Scorecard'!$AB$5:$AB$80,MATCH($A22,'Path Scorecard'!$A$5:$A$80,0))</f>
        <v>Recommended</v>
      </c>
      <c r="D22" s="8" t="s">
        <v>1337</v>
      </c>
      <c r="E22" s="19">
        <v>4</v>
      </c>
      <c r="F22" s="19">
        <v>5</v>
      </c>
      <c r="G22" s="6">
        <v>5</v>
      </c>
      <c r="H22" s="19">
        <v>4</v>
      </c>
      <c r="I22" s="6">
        <v>1</v>
      </c>
      <c r="J22" s="9">
        <f>(E22*'Competitor Criteria'!$F$20+F22*'Competitor Criteria'!$F$21+G22*'Competitor Criteria'!$F$22+H22*'Competitor Criteria'!$F$23+I22*'Competitor Criteria'!$F$24)/(5*'Competitor Criteria'!$F$25)*100+E22/1000</f>
        <v>79.004000000000005</v>
      </c>
      <c r="K22" s="6">
        <f t="shared" si="0"/>
        <v>2</v>
      </c>
      <c r="L22" s="8" t="str">
        <f t="shared" si="1"/>
        <v>Secondary 2</v>
      </c>
      <c r="M22" s="10" t="str">
        <f t="shared" si="2"/>
        <v>P13|Secondary 2</v>
      </c>
    </row>
    <row r="23" spans="1:14" x14ac:dyDescent="0.3">
      <c r="A23" s="6" t="s">
        <v>734</v>
      </c>
      <c r="B23" s="10" t="s">
        <v>33</v>
      </c>
      <c r="C23" s="6" t="str">
        <f>INDEX('Path Scorecard'!$AB$5:$AB$80,MATCH($A23,'Path Scorecard'!$A$5:$A$80,0))</f>
        <v>Recommended</v>
      </c>
      <c r="D23" s="8" t="s">
        <v>1338</v>
      </c>
      <c r="E23" s="19">
        <v>3</v>
      </c>
      <c r="F23" s="19">
        <v>5</v>
      </c>
      <c r="G23" s="6">
        <v>5</v>
      </c>
      <c r="H23" s="19">
        <v>4</v>
      </c>
      <c r="I23" s="6">
        <v>2</v>
      </c>
      <c r="J23" s="9">
        <f>(E23*'Competitor Criteria'!$F$20+F23*'Competitor Criteria'!$F$21+G23*'Competitor Criteria'!$F$22+H23*'Competitor Criteria'!$F$23+I23*'Competitor Criteria'!$F$24)/(5*'Competitor Criteria'!$F$25)*100+E23/1000</f>
        <v>77.003</v>
      </c>
      <c r="K23" s="6">
        <f t="shared" si="0"/>
        <v>3</v>
      </c>
      <c r="L23" s="8" t="str">
        <f t="shared" si="1"/>
        <v>Alternate</v>
      </c>
      <c r="M23" s="10" t="str">
        <f t="shared" si="2"/>
        <v>P13|Alternate</v>
      </c>
    </row>
    <row r="24" spans="1:14" x14ac:dyDescent="0.3">
      <c r="A24" s="6" t="s">
        <v>734</v>
      </c>
      <c r="B24" s="10" t="s">
        <v>33</v>
      </c>
      <c r="C24" s="6" t="str">
        <f>INDEX('Path Scorecard'!$AB$5:$AB$80,MATCH($A24,'Path Scorecard'!$A$5:$A$80,0))</f>
        <v>Recommended</v>
      </c>
      <c r="D24" s="8" t="s">
        <v>1339</v>
      </c>
      <c r="E24" s="19">
        <v>3</v>
      </c>
      <c r="F24" s="19">
        <v>5</v>
      </c>
      <c r="G24" s="6">
        <v>5</v>
      </c>
      <c r="H24" s="19">
        <v>3</v>
      </c>
      <c r="I24" s="6">
        <v>1</v>
      </c>
      <c r="J24" s="9">
        <f>(E24*'Competitor Criteria'!$F$20+F24*'Competitor Criteria'!$F$21+G24*'Competitor Criteria'!$F$22+H24*'Competitor Criteria'!$F$23+I24*'Competitor Criteria'!$F$24)/(5*'Competitor Criteria'!$F$25)*100+E24/1000</f>
        <v>70.003</v>
      </c>
      <c r="K24" s="6">
        <f t="shared" si="0"/>
        <v>4</v>
      </c>
      <c r="L24" s="8" t="str">
        <f t="shared" si="1"/>
        <v>Alternate</v>
      </c>
      <c r="M24" s="10" t="str">
        <f t="shared" si="2"/>
        <v>P13|Alternate</v>
      </c>
    </row>
    <row r="25" spans="1:14" ht="26.4" x14ac:dyDescent="0.3">
      <c r="A25" s="6" t="s">
        <v>983</v>
      </c>
      <c r="B25" s="10" t="s">
        <v>36</v>
      </c>
      <c r="C25" s="6" t="str">
        <f>INDEX('Path Scorecard'!$AB$5:$AB$80,MATCH($A25,'Path Scorecard'!$A$5:$A$80,0))</f>
        <v>Recommended</v>
      </c>
      <c r="D25" s="8" t="s">
        <v>1330</v>
      </c>
      <c r="E25" s="19">
        <v>5</v>
      </c>
      <c r="F25" s="19">
        <v>5</v>
      </c>
      <c r="G25" s="6">
        <v>4</v>
      </c>
      <c r="H25" s="19">
        <v>4</v>
      </c>
      <c r="I25" s="6">
        <v>3</v>
      </c>
      <c r="J25" s="9">
        <f>(E25*'Competitor Criteria'!$F$20+F25*'Competitor Criteria'!$F$21+G25*'Competitor Criteria'!$F$22+H25*'Competitor Criteria'!$F$23+I25*'Competitor Criteria'!$F$24)/(5*'Competitor Criteria'!$F$25)*100+E25/1000</f>
        <v>87.004999999999995</v>
      </c>
      <c r="K25" s="6">
        <f t="shared" si="0"/>
        <v>1</v>
      </c>
      <c r="L25" s="8" t="str">
        <f t="shared" si="1"/>
        <v>Secondary 1</v>
      </c>
      <c r="M25" s="10" t="str">
        <f t="shared" si="2"/>
        <v>P19|Secondary 1</v>
      </c>
      <c r="N25" s="10" t="s">
        <v>178</v>
      </c>
    </row>
    <row r="26" spans="1:14" x14ac:dyDescent="0.3">
      <c r="A26" s="6" t="s">
        <v>983</v>
      </c>
      <c r="B26" s="10" t="s">
        <v>36</v>
      </c>
      <c r="C26" s="6" t="str">
        <f>INDEX('Path Scorecard'!$AB$5:$AB$80,MATCH($A26,'Path Scorecard'!$A$5:$A$80,0))</f>
        <v>Recommended</v>
      </c>
      <c r="D26" s="8" t="s">
        <v>1329</v>
      </c>
      <c r="E26" s="19">
        <v>4</v>
      </c>
      <c r="F26" s="19">
        <v>5</v>
      </c>
      <c r="G26" s="6">
        <v>5</v>
      </c>
      <c r="H26" s="19">
        <v>4</v>
      </c>
      <c r="I26" s="6">
        <v>1</v>
      </c>
      <c r="J26" s="9">
        <f>(E26*'Competitor Criteria'!$F$20+F26*'Competitor Criteria'!$F$21+G26*'Competitor Criteria'!$F$22+H26*'Competitor Criteria'!$F$23+I26*'Competitor Criteria'!$F$24)/(5*'Competitor Criteria'!$F$25)*100+E26/1000</f>
        <v>79.004000000000005</v>
      </c>
      <c r="K26" s="6">
        <f t="shared" si="0"/>
        <v>2</v>
      </c>
      <c r="L26" s="8" t="str">
        <f t="shared" si="1"/>
        <v>Secondary 2</v>
      </c>
      <c r="M26" s="10" t="str">
        <f t="shared" si="2"/>
        <v>P19|Secondary 2</v>
      </c>
    </row>
    <row r="27" spans="1:14" x14ac:dyDescent="0.3">
      <c r="A27" s="6" t="s">
        <v>983</v>
      </c>
      <c r="B27" s="10" t="s">
        <v>36</v>
      </c>
      <c r="C27" s="6" t="str">
        <f>INDEX('Path Scorecard'!$AB$5:$AB$80,MATCH($A27,'Path Scorecard'!$A$5:$A$80,0))</f>
        <v>Recommended</v>
      </c>
      <c r="D27" s="8" t="s">
        <v>1328</v>
      </c>
      <c r="E27" s="19">
        <v>3</v>
      </c>
      <c r="F27" s="19">
        <v>4</v>
      </c>
      <c r="G27" s="6">
        <v>3</v>
      </c>
      <c r="H27" s="19">
        <v>4</v>
      </c>
      <c r="I27" s="6">
        <v>2</v>
      </c>
      <c r="J27" s="9">
        <f>(E27*'Competitor Criteria'!$F$20+F27*'Competitor Criteria'!$F$21+G27*'Competitor Criteria'!$F$22+H27*'Competitor Criteria'!$F$23+I27*'Competitor Criteria'!$F$24)/(5*'Competitor Criteria'!$F$25)*100+E27/1000</f>
        <v>66.003</v>
      </c>
      <c r="K27" s="6">
        <f t="shared" si="0"/>
        <v>4</v>
      </c>
      <c r="L27" s="8" t="str">
        <f t="shared" si="1"/>
        <v>Alternate</v>
      </c>
      <c r="M27" s="10" t="str">
        <f t="shared" si="2"/>
        <v>P19|Alternate</v>
      </c>
    </row>
    <row r="28" spans="1:14" ht="26.4" x14ac:dyDescent="0.3">
      <c r="A28" s="6" t="s">
        <v>983</v>
      </c>
      <c r="B28" s="10" t="s">
        <v>36</v>
      </c>
      <c r="C28" s="6" t="str">
        <f>INDEX('Path Scorecard'!$AB$5:$AB$80,MATCH($A28,'Path Scorecard'!$A$5:$A$80,0))</f>
        <v>Recommended</v>
      </c>
      <c r="D28" s="8" t="s">
        <v>691</v>
      </c>
      <c r="E28" s="19">
        <v>3</v>
      </c>
      <c r="F28" s="19">
        <v>4</v>
      </c>
      <c r="G28" s="6">
        <v>4</v>
      </c>
      <c r="H28" s="19">
        <v>3</v>
      </c>
      <c r="I28" s="6">
        <v>3</v>
      </c>
      <c r="J28" s="9">
        <f>(E28*'Competitor Criteria'!$F$20+F28*'Competitor Criteria'!$F$21+G28*'Competitor Criteria'!$F$22+H28*'Competitor Criteria'!$F$23+I28*'Competitor Criteria'!$F$24)/(5*'Competitor Criteria'!$F$25)*100+E28/1000</f>
        <v>68.003</v>
      </c>
      <c r="K28" s="6">
        <f t="shared" si="0"/>
        <v>3</v>
      </c>
      <c r="L28" s="8" t="str">
        <f t="shared" si="1"/>
        <v>Alternate</v>
      </c>
      <c r="M28" s="10" t="str">
        <f t="shared" si="2"/>
        <v>P19|Alternate</v>
      </c>
    </row>
    <row r="29" spans="1:14" ht="26.4" x14ac:dyDescent="0.3">
      <c r="A29" s="6" t="s">
        <v>1014</v>
      </c>
      <c r="B29" s="10" t="s">
        <v>39</v>
      </c>
      <c r="C29" s="6" t="str">
        <f>INDEX('Path Scorecard'!$AB$5:$AB$80,MATCH($A29,'Path Scorecard'!$A$5:$A$80,0))</f>
        <v>Recommended</v>
      </c>
      <c r="D29" s="8" t="s">
        <v>1340</v>
      </c>
      <c r="E29" s="19">
        <v>5</v>
      </c>
      <c r="F29" s="19">
        <v>5</v>
      </c>
      <c r="G29" s="6">
        <v>5</v>
      </c>
      <c r="H29" s="19">
        <v>4</v>
      </c>
      <c r="I29" s="6">
        <v>5</v>
      </c>
      <c r="J29" s="9">
        <f>(E29*'Competitor Criteria'!$F$20+F29*'Competitor Criteria'!$F$21+G29*'Competitor Criteria'!$F$22+H29*'Competitor Criteria'!$F$23+I29*'Competitor Criteria'!$F$24)/(5*'Competitor Criteria'!$F$25)*100+E29/1000</f>
        <v>96.004999999999995</v>
      </c>
      <c r="K29" s="6">
        <f t="shared" si="0"/>
        <v>1</v>
      </c>
      <c r="L29" s="8" t="str">
        <f t="shared" si="1"/>
        <v>Secondary 1</v>
      </c>
      <c r="M29" s="10" t="str">
        <f t="shared" si="2"/>
        <v>P27|Secondary 1</v>
      </c>
      <c r="N29" s="10" t="s">
        <v>185</v>
      </c>
    </row>
    <row r="30" spans="1:14" ht="26.4" x14ac:dyDescent="0.3">
      <c r="A30" s="6" t="s">
        <v>1014</v>
      </c>
      <c r="B30" s="10" t="s">
        <v>39</v>
      </c>
      <c r="C30" s="6" t="str">
        <f>INDEX('Path Scorecard'!$AB$5:$AB$80,MATCH($A30,'Path Scorecard'!$A$5:$A$80,0))</f>
        <v>Recommended</v>
      </c>
      <c r="D30" s="8" t="s">
        <v>1341</v>
      </c>
      <c r="E30" s="19">
        <v>5</v>
      </c>
      <c r="F30" s="19">
        <v>4</v>
      </c>
      <c r="G30" s="6">
        <v>5</v>
      </c>
      <c r="H30" s="19">
        <v>3</v>
      </c>
      <c r="I30" s="6">
        <v>3</v>
      </c>
      <c r="J30" s="9">
        <f>(E30*'Competitor Criteria'!$F$20+F30*'Competitor Criteria'!$F$21+G30*'Competitor Criteria'!$F$22+H30*'Competitor Criteria'!$F$23+I30*'Competitor Criteria'!$F$24)/(5*'Competitor Criteria'!$F$25)*100+E30/1000</f>
        <v>81.004999999999995</v>
      </c>
      <c r="K30" s="6">
        <f t="shared" si="0"/>
        <v>2</v>
      </c>
      <c r="L30" s="8" t="str">
        <f t="shared" si="1"/>
        <v>Secondary 2</v>
      </c>
      <c r="M30" s="10" t="str">
        <f t="shared" si="2"/>
        <v>P27|Secondary 2</v>
      </c>
    </row>
    <row r="31" spans="1:14" ht="26.4" x14ac:dyDescent="0.3">
      <c r="A31" s="6" t="s">
        <v>1014</v>
      </c>
      <c r="B31" s="10" t="s">
        <v>39</v>
      </c>
      <c r="C31" s="6" t="str">
        <f>INDEX('Path Scorecard'!$AB$5:$AB$80,MATCH($A31,'Path Scorecard'!$A$5:$A$80,0))</f>
        <v>Recommended</v>
      </c>
      <c r="D31" s="8" t="s">
        <v>1342</v>
      </c>
      <c r="E31" s="19">
        <v>4</v>
      </c>
      <c r="F31" s="19">
        <v>3</v>
      </c>
      <c r="G31" s="6">
        <v>3</v>
      </c>
      <c r="H31" s="19">
        <v>3</v>
      </c>
      <c r="I31" s="6">
        <v>4</v>
      </c>
      <c r="J31" s="9">
        <f>(E31*'Competitor Criteria'!$F$20+F31*'Competitor Criteria'!$F$21+G31*'Competitor Criteria'!$F$22+H31*'Competitor Criteria'!$F$23+I31*'Competitor Criteria'!$F$24)/(5*'Competitor Criteria'!$F$25)*100+E31/1000</f>
        <v>68.004000000000005</v>
      </c>
      <c r="K31" s="6">
        <f t="shared" si="0"/>
        <v>3</v>
      </c>
      <c r="L31" s="8" t="str">
        <f t="shared" si="1"/>
        <v>Alternate</v>
      </c>
      <c r="M31" s="10" t="str">
        <f t="shared" si="2"/>
        <v>P27|Alternate</v>
      </c>
    </row>
    <row r="32" spans="1:14" ht="26.4" x14ac:dyDescent="0.3">
      <c r="A32" s="6" t="s">
        <v>765</v>
      </c>
      <c r="B32" s="10" t="s">
        <v>42</v>
      </c>
      <c r="C32" s="6" t="str">
        <f>INDEX('Path Scorecard'!$AB$5:$AB$80,MATCH($A32,'Path Scorecard'!$A$5:$A$80,0))</f>
        <v>Recommended</v>
      </c>
      <c r="D32" s="8" t="s">
        <v>677</v>
      </c>
      <c r="E32" s="19">
        <v>5</v>
      </c>
      <c r="F32" s="19">
        <v>5</v>
      </c>
      <c r="G32" s="6">
        <v>5</v>
      </c>
      <c r="H32" s="19">
        <v>4</v>
      </c>
      <c r="I32" s="6">
        <v>4</v>
      </c>
      <c r="J32" s="9">
        <f>(E32*'Competitor Criteria'!$F$20+F32*'Competitor Criteria'!$F$21+G32*'Competitor Criteria'!$F$22+H32*'Competitor Criteria'!$F$23+I32*'Competitor Criteria'!$F$24)/(5*'Competitor Criteria'!$F$25)*100+E32/1000</f>
        <v>93.004999999999995</v>
      </c>
      <c r="K32" s="6">
        <f t="shared" si="0"/>
        <v>1</v>
      </c>
      <c r="L32" s="8" t="str">
        <f t="shared" si="1"/>
        <v>Secondary 1</v>
      </c>
      <c r="M32" s="10" t="str">
        <f t="shared" si="2"/>
        <v>P03|Secondary 1</v>
      </c>
      <c r="N32" s="10" t="s">
        <v>192</v>
      </c>
    </row>
    <row r="33" spans="1:14" ht="26.4" x14ac:dyDescent="0.3">
      <c r="A33" s="6" t="s">
        <v>765</v>
      </c>
      <c r="B33" s="10" t="s">
        <v>42</v>
      </c>
      <c r="C33" s="6" t="str">
        <f>INDEX('Path Scorecard'!$AB$5:$AB$80,MATCH($A33,'Path Scorecard'!$A$5:$A$80,0))</f>
        <v>Recommended</v>
      </c>
      <c r="D33" s="8" t="s">
        <v>1343</v>
      </c>
      <c r="E33" s="19">
        <v>4</v>
      </c>
      <c r="F33" s="19">
        <v>5</v>
      </c>
      <c r="G33" s="6">
        <v>4</v>
      </c>
      <c r="H33" s="19">
        <v>4</v>
      </c>
      <c r="I33" s="6">
        <v>5</v>
      </c>
      <c r="J33" s="9">
        <f>(E33*'Competitor Criteria'!$F$20+F33*'Competitor Criteria'!$F$21+G33*'Competitor Criteria'!$F$22+H33*'Competitor Criteria'!$F$23+I33*'Competitor Criteria'!$F$24)/(5*'Competitor Criteria'!$F$25)*100+E33/1000</f>
        <v>88.004000000000005</v>
      </c>
      <c r="K33" s="6">
        <f t="shared" si="0"/>
        <v>2</v>
      </c>
      <c r="L33" s="8" t="str">
        <f t="shared" si="1"/>
        <v>Secondary 2</v>
      </c>
      <c r="M33" s="10" t="str">
        <f t="shared" si="2"/>
        <v>P03|Secondary 2</v>
      </c>
    </row>
    <row r="34" spans="1:14" ht="26.4" x14ac:dyDescent="0.3">
      <c r="A34" s="6" t="s">
        <v>765</v>
      </c>
      <c r="B34" s="10" t="s">
        <v>42</v>
      </c>
      <c r="C34" s="6" t="str">
        <f>INDEX('Path Scorecard'!$AB$5:$AB$80,MATCH($A34,'Path Scorecard'!$A$5:$A$80,0))</f>
        <v>Recommended</v>
      </c>
      <c r="D34" s="8" t="s">
        <v>1335</v>
      </c>
      <c r="E34" s="19">
        <v>4</v>
      </c>
      <c r="F34" s="19">
        <v>4</v>
      </c>
      <c r="G34" s="6">
        <v>5</v>
      </c>
      <c r="H34" s="19">
        <v>4</v>
      </c>
      <c r="I34" s="6">
        <v>4</v>
      </c>
      <c r="J34" s="9">
        <f>(E34*'Competitor Criteria'!$F$20+F34*'Competitor Criteria'!$F$21+G34*'Competitor Criteria'!$F$22+H34*'Competitor Criteria'!$F$23+I34*'Competitor Criteria'!$F$24)/(5*'Competitor Criteria'!$F$25)*100+E34/1000</f>
        <v>83.004000000000005</v>
      </c>
      <c r="K34" s="6">
        <f t="shared" si="0"/>
        <v>3</v>
      </c>
      <c r="L34" s="8" t="str">
        <f t="shared" si="1"/>
        <v>Alternate</v>
      </c>
      <c r="M34" s="10" t="str">
        <f t="shared" si="2"/>
        <v>P03|Alternate</v>
      </c>
    </row>
    <row r="35" spans="1:14" ht="26.4" x14ac:dyDescent="0.3">
      <c r="A35" s="6" t="s">
        <v>710</v>
      </c>
      <c r="B35" s="10" t="s">
        <v>45</v>
      </c>
      <c r="C35" s="6" t="str">
        <f>INDEX('Path Scorecard'!$AB$5:$AB$80,MATCH($A35,'Path Scorecard'!$A$5:$A$80,0))</f>
        <v>Recommended</v>
      </c>
      <c r="D35" s="8" t="s">
        <v>1338</v>
      </c>
      <c r="E35" s="19">
        <v>4</v>
      </c>
      <c r="F35" s="19">
        <v>5</v>
      </c>
      <c r="G35" s="6">
        <v>5</v>
      </c>
      <c r="H35" s="19">
        <v>4</v>
      </c>
      <c r="I35" s="6">
        <v>2</v>
      </c>
      <c r="J35" s="9">
        <f>(E35*'Competitor Criteria'!$F$20+F35*'Competitor Criteria'!$F$21+G35*'Competitor Criteria'!$F$22+H35*'Competitor Criteria'!$F$23+I35*'Competitor Criteria'!$F$24)/(5*'Competitor Criteria'!$F$25)*100+E35/1000</f>
        <v>82.004000000000005</v>
      </c>
      <c r="K35" s="6">
        <f t="shared" si="0"/>
        <v>1</v>
      </c>
      <c r="L35" s="8" t="str">
        <f t="shared" si="1"/>
        <v>Secondary 1</v>
      </c>
      <c r="M35" s="10" t="str">
        <f t="shared" si="2"/>
        <v>P04|Secondary 1</v>
      </c>
      <c r="N35" s="10" t="s">
        <v>199</v>
      </c>
    </row>
    <row r="36" spans="1:14" ht="26.4" x14ac:dyDescent="0.3">
      <c r="A36" s="6" t="s">
        <v>710</v>
      </c>
      <c r="B36" s="10" t="s">
        <v>45</v>
      </c>
      <c r="C36" s="6" t="str">
        <f>INDEX('Path Scorecard'!$AB$5:$AB$80,MATCH($A36,'Path Scorecard'!$A$5:$A$80,0))</f>
        <v>Recommended</v>
      </c>
      <c r="D36" s="8" t="s">
        <v>1337</v>
      </c>
      <c r="E36" s="19">
        <v>4</v>
      </c>
      <c r="F36" s="19">
        <v>5</v>
      </c>
      <c r="G36" s="6">
        <v>5</v>
      </c>
      <c r="H36" s="19">
        <v>4</v>
      </c>
      <c r="I36" s="6">
        <v>1</v>
      </c>
      <c r="J36" s="9">
        <f>(E36*'Competitor Criteria'!$F$20+F36*'Competitor Criteria'!$F$21+G36*'Competitor Criteria'!$F$22+H36*'Competitor Criteria'!$F$23+I36*'Competitor Criteria'!$F$24)/(5*'Competitor Criteria'!$F$25)*100+E36/1000</f>
        <v>79.004000000000005</v>
      </c>
      <c r="K36" s="6">
        <f t="shared" si="0"/>
        <v>2</v>
      </c>
      <c r="L36" s="8" t="str">
        <f t="shared" si="1"/>
        <v>Secondary 2</v>
      </c>
      <c r="M36" s="10" t="str">
        <f t="shared" si="2"/>
        <v>P04|Secondary 2</v>
      </c>
    </row>
    <row r="37" spans="1:14" ht="26.4" x14ac:dyDescent="0.3">
      <c r="A37" s="6" t="s">
        <v>710</v>
      </c>
      <c r="B37" s="10" t="s">
        <v>45</v>
      </c>
      <c r="C37" s="6" t="str">
        <f>INDEX('Path Scorecard'!$AB$5:$AB$80,MATCH($A37,'Path Scorecard'!$A$5:$A$80,0))</f>
        <v>Recommended</v>
      </c>
      <c r="D37" s="8" t="s">
        <v>1344</v>
      </c>
      <c r="E37" s="19">
        <v>3</v>
      </c>
      <c r="F37" s="19">
        <v>5</v>
      </c>
      <c r="G37" s="6">
        <v>5</v>
      </c>
      <c r="H37" s="19">
        <v>3</v>
      </c>
      <c r="I37" s="6">
        <v>3</v>
      </c>
      <c r="J37" s="9">
        <f>(E37*'Competitor Criteria'!$F$20+F37*'Competitor Criteria'!$F$21+G37*'Competitor Criteria'!$F$22+H37*'Competitor Criteria'!$F$23+I37*'Competitor Criteria'!$F$24)/(5*'Competitor Criteria'!$F$25)*100+E37/1000</f>
        <v>76.003</v>
      </c>
      <c r="K37" s="6">
        <f t="shared" ref="K37:K68" si="3">COUNTIFS($A$5:$A$98,A37,$J$5:$J$98,"&gt;"&amp;J37)+1</f>
        <v>3</v>
      </c>
      <c r="L37" s="8" t="str">
        <f t="shared" ref="L37:L68" si="4">IF(K37=1,"Secondary 1",IF(K37=2,"Secondary 2","Alternate"))</f>
        <v>Alternate</v>
      </c>
      <c r="M37" s="10" t="str">
        <f t="shared" ref="M37:M68" si="5">A37&amp;"|"&amp;L37</f>
        <v>P04|Alternate</v>
      </c>
    </row>
    <row r="38" spans="1:14" ht="26.4" x14ac:dyDescent="0.3">
      <c r="A38" s="6" t="s">
        <v>710</v>
      </c>
      <c r="B38" s="10" t="s">
        <v>45</v>
      </c>
      <c r="C38" s="6" t="str">
        <f>INDEX('Path Scorecard'!$AB$5:$AB$80,MATCH($A38,'Path Scorecard'!$A$5:$A$80,0))</f>
        <v>Recommended</v>
      </c>
      <c r="D38" s="8" t="s">
        <v>1339</v>
      </c>
      <c r="E38" s="19">
        <v>4</v>
      </c>
      <c r="F38" s="19">
        <v>5</v>
      </c>
      <c r="G38" s="6">
        <v>5</v>
      </c>
      <c r="H38" s="19">
        <v>3</v>
      </c>
      <c r="I38" s="6">
        <v>1</v>
      </c>
      <c r="J38" s="9">
        <f>(E38*'Competitor Criteria'!$F$20+F38*'Competitor Criteria'!$F$21+G38*'Competitor Criteria'!$F$22+H38*'Competitor Criteria'!$F$23+I38*'Competitor Criteria'!$F$24)/(5*'Competitor Criteria'!$F$25)*100+E38/1000</f>
        <v>75.004000000000005</v>
      </c>
      <c r="K38" s="6">
        <f t="shared" si="3"/>
        <v>4</v>
      </c>
      <c r="L38" s="8" t="str">
        <f t="shared" si="4"/>
        <v>Alternate</v>
      </c>
      <c r="M38" s="10" t="str">
        <f t="shared" si="5"/>
        <v>P04|Alternate</v>
      </c>
    </row>
    <row r="39" spans="1:14" ht="26.4" x14ac:dyDescent="0.3">
      <c r="A39" s="6" t="s">
        <v>742</v>
      </c>
      <c r="B39" s="10" t="s">
        <v>48</v>
      </c>
      <c r="C39" s="6" t="str">
        <f>INDEX('Path Scorecard'!$AB$5:$AB$80,MATCH($A39,'Path Scorecard'!$A$5:$A$80,0))</f>
        <v>Recommended</v>
      </c>
      <c r="D39" s="8" t="s">
        <v>1345</v>
      </c>
      <c r="E39" s="19">
        <v>5</v>
      </c>
      <c r="F39" s="19">
        <v>4</v>
      </c>
      <c r="G39" s="6">
        <v>4</v>
      </c>
      <c r="H39" s="19">
        <v>4</v>
      </c>
      <c r="I39" s="6">
        <v>3</v>
      </c>
      <c r="J39" s="9">
        <f>(E39*'Competitor Criteria'!$F$20+F39*'Competitor Criteria'!$F$21+G39*'Competitor Criteria'!$F$22+H39*'Competitor Criteria'!$F$23+I39*'Competitor Criteria'!$F$24)/(5*'Competitor Criteria'!$F$25)*100+E39/1000</f>
        <v>82.004999999999995</v>
      </c>
      <c r="K39" s="6">
        <f t="shared" si="3"/>
        <v>1</v>
      </c>
      <c r="L39" s="8" t="str">
        <f t="shared" si="4"/>
        <v>Secondary 1</v>
      </c>
      <c r="M39" s="10" t="str">
        <f t="shared" si="5"/>
        <v>P05|Secondary 1</v>
      </c>
      <c r="N39" s="10" t="s">
        <v>206</v>
      </c>
    </row>
    <row r="40" spans="1:14" ht="26.4" x14ac:dyDescent="0.3">
      <c r="A40" s="6" t="s">
        <v>742</v>
      </c>
      <c r="B40" s="10" t="s">
        <v>48</v>
      </c>
      <c r="C40" s="6" t="str">
        <f>INDEX('Path Scorecard'!$AB$5:$AB$80,MATCH($A40,'Path Scorecard'!$A$5:$A$80,0))</f>
        <v>Recommended</v>
      </c>
      <c r="D40" s="8" t="s">
        <v>1334</v>
      </c>
      <c r="E40" s="19">
        <v>3</v>
      </c>
      <c r="F40" s="19">
        <v>5</v>
      </c>
      <c r="G40" s="6">
        <v>5</v>
      </c>
      <c r="H40" s="19">
        <v>4</v>
      </c>
      <c r="I40" s="6">
        <v>3</v>
      </c>
      <c r="J40" s="9">
        <f>(E40*'Competitor Criteria'!$F$20+F40*'Competitor Criteria'!$F$21+G40*'Competitor Criteria'!$F$22+H40*'Competitor Criteria'!$F$23+I40*'Competitor Criteria'!$F$24)/(5*'Competitor Criteria'!$F$25)*100+E40/1000</f>
        <v>80.003</v>
      </c>
      <c r="K40" s="6">
        <f t="shared" si="3"/>
        <v>2</v>
      </c>
      <c r="L40" s="8" t="str">
        <f t="shared" si="4"/>
        <v>Secondary 2</v>
      </c>
      <c r="M40" s="10" t="str">
        <f t="shared" si="5"/>
        <v>P05|Secondary 2</v>
      </c>
    </row>
    <row r="41" spans="1:14" ht="26.4" x14ac:dyDescent="0.3">
      <c r="A41" s="6" t="s">
        <v>742</v>
      </c>
      <c r="B41" s="10" t="s">
        <v>48</v>
      </c>
      <c r="C41" s="6" t="str">
        <f>INDEX('Path Scorecard'!$AB$5:$AB$80,MATCH($A41,'Path Scorecard'!$A$5:$A$80,0))</f>
        <v>Recommended</v>
      </c>
      <c r="D41" s="8" t="s">
        <v>1337</v>
      </c>
      <c r="E41" s="19">
        <v>3</v>
      </c>
      <c r="F41" s="19">
        <v>5</v>
      </c>
      <c r="G41" s="6">
        <v>5</v>
      </c>
      <c r="H41" s="19">
        <v>4</v>
      </c>
      <c r="I41" s="6">
        <v>1</v>
      </c>
      <c r="J41" s="9">
        <f>(E41*'Competitor Criteria'!$F$20+F41*'Competitor Criteria'!$F$21+G41*'Competitor Criteria'!$F$22+H41*'Competitor Criteria'!$F$23+I41*'Competitor Criteria'!$F$24)/(5*'Competitor Criteria'!$F$25)*100+E41/1000</f>
        <v>74.003</v>
      </c>
      <c r="K41" s="6">
        <f t="shared" si="3"/>
        <v>3</v>
      </c>
      <c r="L41" s="8" t="str">
        <f t="shared" si="4"/>
        <v>Alternate</v>
      </c>
      <c r="M41" s="10" t="str">
        <f t="shared" si="5"/>
        <v>P05|Alternate</v>
      </c>
    </row>
    <row r="42" spans="1:14" ht="26.4" x14ac:dyDescent="0.3">
      <c r="A42" s="6" t="s">
        <v>742</v>
      </c>
      <c r="B42" s="10" t="s">
        <v>48</v>
      </c>
      <c r="C42" s="6" t="str">
        <f>INDEX('Path Scorecard'!$AB$5:$AB$80,MATCH($A42,'Path Scorecard'!$A$5:$A$80,0))</f>
        <v>Recommended</v>
      </c>
      <c r="D42" s="8" t="s">
        <v>1346</v>
      </c>
      <c r="E42" s="19">
        <v>3</v>
      </c>
      <c r="F42" s="19">
        <v>5</v>
      </c>
      <c r="G42" s="6">
        <v>5</v>
      </c>
      <c r="H42" s="19">
        <v>3</v>
      </c>
      <c r="I42" s="6">
        <v>2</v>
      </c>
      <c r="J42" s="9">
        <f>(E42*'Competitor Criteria'!$F$20+F42*'Competitor Criteria'!$F$21+G42*'Competitor Criteria'!$F$22+H42*'Competitor Criteria'!$F$23+I42*'Competitor Criteria'!$F$24)/(5*'Competitor Criteria'!$F$25)*100+E42/1000</f>
        <v>73.003</v>
      </c>
      <c r="K42" s="6">
        <f t="shared" si="3"/>
        <v>4</v>
      </c>
      <c r="L42" s="8" t="str">
        <f t="shared" si="4"/>
        <v>Alternate</v>
      </c>
      <c r="M42" s="10" t="str">
        <f t="shared" si="5"/>
        <v>P05|Alternate</v>
      </c>
    </row>
    <row r="43" spans="1:14" ht="26.4" x14ac:dyDescent="0.3">
      <c r="A43" s="6" t="s">
        <v>930</v>
      </c>
      <c r="B43" s="10" t="s">
        <v>51</v>
      </c>
      <c r="C43" s="6" t="str">
        <f>INDEX('Path Scorecard'!$AB$5:$AB$80,MATCH($A43,'Path Scorecard'!$A$5:$A$80,0))</f>
        <v>Recommended</v>
      </c>
      <c r="D43" s="8" t="s">
        <v>1325</v>
      </c>
      <c r="E43" s="19">
        <v>5</v>
      </c>
      <c r="F43" s="19">
        <v>5</v>
      </c>
      <c r="G43" s="6">
        <v>4</v>
      </c>
      <c r="H43" s="19">
        <v>4</v>
      </c>
      <c r="I43" s="6">
        <v>4</v>
      </c>
      <c r="J43" s="9">
        <f>(E43*'Competitor Criteria'!$F$20+F43*'Competitor Criteria'!$F$21+G43*'Competitor Criteria'!$F$22+H43*'Competitor Criteria'!$F$23+I43*'Competitor Criteria'!$F$24)/(5*'Competitor Criteria'!$F$25)*100+E43/1000</f>
        <v>90.004999999999995</v>
      </c>
      <c r="K43" s="6">
        <f t="shared" si="3"/>
        <v>1</v>
      </c>
      <c r="L43" s="8" t="str">
        <f t="shared" si="4"/>
        <v>Secondary 1</v>
      </c>
      <c r="M43" s="10" t="str">
        <f t="shared" si="5"/>
        <v>P06|Secondary 1</v>
      </c>
      <c r="N43" s="10" t="s">
        <v>213</v>
      </c>
    </row>
    <row r="44" spans="1:14" ht="26.4" x14ac:dyDescent="0.3">
      <c r="A44" s="6" t="s">
        <v>930</v>
      </c>
      <c r="B44" s="10" t="s">
        <v>51</v>
      </c>
      <c r="C44" s="6" t="str">
        <f>INDEX('Path Scorecard'!$AB$5:$AB$80,MATCH($A44,'Path Scorecard'!$A$5:$A$80,0))</f>
        <v>Recommended</v>
      </c>
      <c r="D44" s="8" t="s">
        <v>1347</v>
      </c>
      <c r="E44" s="19">
        <v>4</v>
      </c>
      <c r="F44" s="19">
        <v>5</v>
      </c>
      <c r="G44" s="6">
        <v>5</v>
      </c>
      <c r="H44" s="19">
        <v>4</v>
      </c>
      <c r="I44" s="6">
        <v>3</v>
      </c>
      <c r="J44" s="9">
        <f>(E44*'Competitor Criteria'!$F$20+F44*'Competitor Criteria'!$F$21+G44*'Competitor Criteria'!$F$22+H44*'Competitor Criteria'!$F$23+I44*'Competitor Criteria'!$F$24)/(5*'Competitor Criteria'!$F$25)*100+E44/1000</f>
        <v>85.004000000000005</v>
      </c>
      <c r="K44" s="6">
        <f t="shared" si="3"/>
        <v>2</v>
      </c>
      <c r="L44" s="8" t="str">
        <f t="shared" si="4"/>
        <v>Secondary 2</v>
      </c>
      <c r="M44" s="10" t="str">
        <f t="shared" si="5"/>
        <v>P06|Secondary 2</v>
      </c>
    </row>
    <row r="45" spans="1:14" ht="26.4" x14ac:dyDescent="0.3">
      <c r="A45" s="6" t="s">
        <v>930</v>
      </c>
      <c r="B45" s="10" t="s">
        <v>51</v>
      </c>
      <c r="C45" s="6" t="str">
        <f>INDEX('Path Scorecard'!$AB$5:$AB$80,MATCH($A45,'Path Scorecard'!$A$5:$A$80,0))</f>
        <v>Recommended</v>
      </c>
      <c r="D45" s="8" t="s">
        <v>1326</v>
      </c>
      <c r="E45" s="19">
        <v>2</v>
      </c>
      <c r="F45" s="19">
        <v>4</v>
      </c>
      <c r="G45" s="6">
        <v>4</v>
      </c>
      <c r="H45" s="19">
        <v>3</v>
      </c>
      <c r="I45" s="6">
        <v>3</v>
      </c>
      <c r="J45" s="9">
        <f>(E45*'Competitor Criteria'!$F$20+F45*'Competitor Criteria'!$F$21+G45*'Competitor Criteria'!$F$22+H45*'Competitor Criteria'!$F$23+I45*'Competitor Criteria'!$F$24)/(5*'Competitor Criteria'!$F$25)*100+E45/1000</f>
        <v>63.002000000000002</v>
      </c>
      <c r="K45" s="6">
        <f t="shared" si="3"/>
        <v>3</v>
      </c>
      <c r="L45" s="8" t="str">
        <f t="shared" si="4"/>
        <v>Alternate</v>
      </c>
      <c r="M45" s="10" t="str">
        <f t="shared" si="5"/>
        <v>P06|Alternate</v>
      </c>
    </row>
    <row r="46" spans="1:14" ht="26.4" x14ac:dyDescent="0.3">
      <c r="A46" s="6" t="s">
        <v>757</v>
      </c>
      <c r="B46" s="10" t="s">
        <v>54</v>
      </c>
      <c r="C46" s="6" t="str">
        <f>INDEX('Path Scorecard'!$AB$5:$AB$80,MATCH($A46,'Path Scorecard'!$A$5:$A$80,0))</f>
        <v>Recommended</v>
      </c>
      <c r="D46" s="8" t="s">
        <v>1348</v>
      </c>
      <c r="E46" s="19">
        <v>4</v>
      </c>
      <c r="F46" s="19">
        <v>4</v>
      </c>
      <c r="G46" s="6">
        <v>4</v>
      </c>
      <c r="H46" s="19">
        <v>5</v>
      </c>
      <c r="I46" s="6">
        <v>5</v>
      </c>
      <c r="J46" s="9">
        <f>(E46*'Competitor Criteria'!$F$20+F46*'Competitor Criteria'!$F$21+G46*'Competitor Criteria'!$F$22+H46*'Competitor Criteria'!$F$23+I46*'Competitor Criteria'!$F$24)/(5*'Competitor Criteria'!$F$25)*100+E46/1000</f>
        <v>87.004000000000005</v>
      </c>
      <c r="K46" s="6">
        <f t="shared" si="3"/>
        <v>1</v>
      </c>
      <c r="L46" s="8" t="str">
        <f t="shared" si="4"/>
        <v>Secondary 1</v>
      </c>
      <c r="M46" s="10" t="str">
        <f t="shared" si="5"/>
        <v>P08|Secondary 1</v>
      </c>
      <c r="N46" s="10" t="s">
        <v>220</v>
      </c>
    </row>
    <row r="47" spans="1:14" ht="26.4" x14ac:dyDescent="0.3">
      <c r="A47" s="6" t="s">
        <v>757</v>
      </c>
      <c r="B47" s="10" t="s">
        <v>54</v>
      </c>
      <c r="C47" s="6" t="str">
        <f>INDEX('Path Scorecard'!$AB$5:$AB$80,MATCH($A47,'Path Scorecard'!$A$5:$A$80,0))</f>
        <v>Recommended</v>
      </c>
      <c r="D47" s="8" t="s">
        <v>1349</v>
      </c>
      <c r="E47" s="19">
        <v>4</v>
      </c>
      <c r="F47" s="19">
        <v>5</v>
      </c>
      <c r="G47" s="6">
        <v>5</v>
      </c>
      <c r="H47" s="19">
        <v>4</v>
      </c>
      <c r="I47" s="6">
        <v>1</v>
      </c>
      <c r="J47" s="9">
        <f>(E47*'Competitor Criteria'!$F$20+F47*'Competitor Criteria'!$F$21+G47*'Competitor Criteria'!$F$22+H47*'Competitor Criteria'!$F$23+I47*'Competitor Criteria'!$F$24)/(5*'Competitor Criteria'!$F$25)*100+E47/1000</f>
        <v>79.004000000000005</v>
      </c>
      <c r="K47" s="6">
        <f t="shared" si="3"/>
        <v>2</v>
      </c>
      <c r="L47" s="8" t="str">
        <f t="shared" si="4"/>
        <v>Secondary 2</v>
      </c>
      <c r="M47" s="10" t="str">
        <f t="shared" si="5"/>
        <v>P08|Secondary 2</v>
      </c>
    </row>
    <row r="48" spans="1:14" ht="26.4" x14ac:dyDescent="0.3">
      <c r="A48" s="6" t="s">
        <v>757</v>
      </c>
      <c r="B48" s="10" t="s">
        <v>54</v>
      </c>
      <c r="C48" s="6" t="str">
        <f>INDEX('Path Scorecard'!$AB$5:$AB$80,MATCH($A48,'Path Scorecard'!$A$5:$A$80,0))</f>
        <v>Recommended</v>
      </c>
      <c r="D48" s="8" t="s">
        <v>1350</v>
      </c>
      <c r="E48" s="19">
        <v>3</v>
      </c>
      <c r="F48" s="19">
        <v>4</v>
      </c>
      <c r="G48" s="6">
        <v>5</v>
      </c>
      <c r="H48" s="19">
        <v>3</v>
      </c>
      <c r="I48" s="6">
        <v>2</v>
      </c>
      <c r="J48" s="9">
        <f>(E48*'Competitor Criteria'!$F$20+F48*'Competitor Criteria'!$F$21+G48*'Competitor Criteria'!$F$22+H48*'Competitor Criteria'!$F$23+I48*'Competitor Criteria'!$F$24)/(5*'Competitor Criteria'!$F$25)*100+E48/1000</f>
        <v>68.003</v>
      </c>
      <c r="K48" s="6">
        <f t="shared" si="3"/>
        <v>3</v>
      </c>
      <c r="L48" s="8" t="str">
        <f t="shared" si="4"/>
        <v>Alternate</v>
      </c>
      <c r="M48" s="10" t="str">
        <f t="shared" si="5"/>
        <v>P08|Alternate</v>
      </c>
    </row>
    <row r="49" spans="1:14" ht="26.4" x14ac:dyDescent="0.3">
      <c r="A49" s="6" t="s">
        <v>949</v>
      </c>
      <c r="B49" s="10" t="s">
        <v>57</v>
      </c>
      <c r="C49" s="6" t="str">
        <f>INDEX('Path Scorecard'!$AB$5:$AB$80,MATCH($A49,'Path Scorecard'!$A$5:$A$80,0))</f>
        <v>Recommended</v>
      </c>
      <c r="D49" s="8" t="s">
        <v>1328</v>
      </c>
      <c r="E49" s="19">
        <v>4</v>
      </c>
      <c r="F49" s="19">
        <v>5</v>
      </c>
      <c r="G49" s="6">
        <v>3</v>
      </c>
      <c r="H49" s="19">
        <v>5</v>
      </c>
      <c r="I49" s="6">
        <v>2</v>
      </c>
      <c r="J49" s="9">
        <f>(E49*'Competitor Criteria'!$F$20+F49*'Competitor Criteria'!$F$21+G49*'Competitor Criteria'!$F$22+H49*'Competitor Criteria'!$F$23+I49*'Competitor Criteria'!$F$24)/(5*'Competitor Criteria'!$F$25)*100+E49/1000</f>
        <v>80.004000000000005</v>
      </c>
      <c r="K49" s="6">
        <f t="shared" si="3"/>
        <v>1</v>
      </c>
      <c r="L49" s="8" t="str">
        <f t="shared" si="4"/>
        <v>Secondary 1</v>
      </c>
      <c r="M49" s="10" t="str">
        <f t="shared" si="5"/>
        <v>P10|Secondary 1</v>
      </c>
      <c r="N49" s="10" t="s">
        <v>227</v>
      </c>
    </row>
    <row r="50" spans="1:14" ht="26.4" x14ac:dyDescent="0.3">
      <c r="A50" s="6" t="s">
        <v>949</v>
      </c>
      <c r="B50" s="10" t="s">
        <v>57</v>
      </c>
      <c r="C50" s="6" t="str">
        <f>INDEX('Path Scorecard'!$AB$5:$AB$80,MATCH($A50,'Path Scorecard'!$A$5:$A$80,0))</f>
        <v>Recommended</v>
      </c>
      <c r="D50" s="8" t="s">
        <v>1351</v>
      </c>
      <c r="E50" s="19">
        <v>4</v>
      </c>
      <c r="F50" s="19">
        <v>5</v>
      </c>
      <c r="G50" s="6">
        <v>5</v>
      </c>
      <c r="H50" s="19">
        <v>4</v>
      </c>
      <c r="I50" s="6">
        <v>1</v>
      </c>
      <c r="J50" s="9">
        <f>(E50*'Competitor Criteria'!$F$20+F50*'Competitor Criteria'!$F$21+G50*'Competitor Criteria'!$F$22+H50*'Competitor Criteria'!$F$23+I50*'Competitor Criteria'!$F$24)/(5*'Competitor Criteria'!$F$25)*100+E50/1000</f>
        <v>79.004000000000005</v>
      </c>
      <c r="K50" s="6">
        <f t="shared" si="3"/>
        <v>2</v>
      </c>
      <c r="L50" s="8" t="str">
        <f t="shared" si="4"/>
        <v>Secondary 2</v>
      </c>
      <c r="M50" s="10" t="str">
        <f t="shared" si="5"/>
        <v>P10|Secondary 2</v>
      </c>
    </row>
    <row r="51" spans="1:14" ht="26.4" x14ac:dyDescent="0.3">
      <c r="A51" s="6" t="s">
        <v>949</v>
      </c>
      <c r="B51" s="10" t="s">
        <v>57</v>
      </c>
      <c r="C51" s="6" t="str">
        <f>INDEX('Path Scorecard'!$AB$5:$AB$80,MATCH($A51,'Path Scorecard'!$A$5:$A$80,0))</f>
        <v>Recommended</v>
      </c>
      <c r="D51" s="8" t="s">
        <v>1344</v>
      </c>
      <c r="E51" s="19">
        <v>3</v>
      </c>
      <c r="F51" s="19">
        <v>5</v>
      </c>
      <c r="G51" s="6">
        <v>5</v>
      </c>
      <c r="H51" s="19">
        <v>3</v>
      </c>
      <c r="I51" s="6">
        <v>3</v>
      </c>
      <c r="J51" s="9">
        <f>(E51*'Competitor Criteria'!$F$20+F51*'Competitor Criteria'!$F$21+G51*'Competitor Criteria'!$F$22+H51*'Competitor Criteria'!$F$23+I51*'Competitor Criteria'!$F$24)/(5*'Competitor Criteria'!$F$25)*100+E51/1000</f>
        <v>76.003</v>
      </c>
      <c r="K51" s="6">
        <f t="shared" si="3"/>
        <v>3</v>
      </c>
      <c r="L51" s="8" t="str">
        <f t="shared" si="4"/>
        <v>Alternate</v>
      </c>
      <c r="M51" s="10" t="str">
        <f t="shared" si="5"/>
        <v>P10|Alternate</v>
      </c>
    </row>
    <row r="52" spans="1:14" ht="26.4" x14ac:dyDescent="0.3">
      <c r="A52" s="6" t="s">
        <v>758</v>
      </c>
      <c r="B52" s="10" t="s">
        <v>60</v>
      </c>
      <c r="C52" s="6" t="str">
        <f>INDEX('Path Scorecard'!$AB$5:$AB$80,MATCH($A52,'Path Scorecard'!$A$5:$A$80,0))</f>
        <v>Recommended</v>
      </c>
      <c r="D52" s="8" t="s">
        <v>1333</v>
      </c>
      <c r="E52" s="19">
        <v>4</v>
      </c>
      <c r="F52" s="19">
        <v>5</v>
      </c>
      <c r="G52" s="6">
        <v>5</v>
      </c>
      <c r="H52" s="19">
        <v>5</v>
      </c>
      <c r="I52" s="6">
        <v>5</v>
      </c>
      <c r="J52" s="9">
        <f>(E52*'Competitor Criteria'!$F$20+F52*'Competitor Criteria'!$F$21+G52*'Competitor Criteria'!$F$22+H52*'Competitor Criteria'!$F$23+I52*'Competitor Criteria'!$F$24)/(5*'Competitor Criteria'!$F$25)*100+E52/1000</f>
        <v>95.004000000000005</v>
      </c>
      <c r="K52" s="6">
        <f t="shared" si="3"/>
        <v>1</v>
      </c>
      <c r="L52" s="8" t="str">
        <f t="shared" si="4"/>
        <v>Secondary 1</v>
      </c>
      <c r="M52" s="10" t="str">
        <f t="shared" si="5"/>
        <v>P11|Secondary 1</v>
      </c>
      <c r="N52" s="10" t="s">
        <v>234</v>
      </c>
    </row>
    <row r="53" spans="1:14" ht="26.4" x14ac:dyDescent="0.3">
      <c r="A53" s="6" t="s">
        <v>758</v>
      </c>
      <c r="B53" s="10" t="s">
        <v>60</v>
      </c>
      <c r="C53" s="6" t="str">
        <f>INDEX('Path Scorecard'!$AB$5:$AB$80,MATCH($A53,'Path Scorecard'!$A$5:$A$80,0))</f>
        <v>Recommended</v>
      </c>
      <c r="D53" s="8" t="s">
        <v>1334</v>
      </c>
      <c r="E53" s="19">
        <v>3</v>
      </c>
      <c r="F53" s="19">
        <v>4</v>
      </c>
      <c r="G53" s="6">
        <v>5</v>
      </c>
      <c r="H53" s="19">
        <v>4</v>
      </c>
      <c r="I53" s="6">
        <v>3</v>
      </c>
      <c r="J53" s="9">
        <f>(E53*'Competitor Criteria'!$F$20+F53*'Competitor Criteria'!$F$21+G53*'Competitor Criteria'!$F$22+H53*'Competitor Criteria'!$F$23+I53*'Competitor Criteria'!$F$24)/(5*'Competitor Criteria'!$F$25)*100+E53/1000</f>
        <v>75.003</v>
      </c>
      <c r="K53" s="6">
        <f t="shared" si="3"/>
        <v>2</v>
      </c>
      <c r="L53" s="8" t="str">
        <f t="shared" si="4"/>
        <v>Secondary 2</v>
      </c>
      <c r="M53" s="10" t="str">
        <f t="shared" si="5"/>
        <v>P11|Secondary 2</v>
      </c>
    </row>
    <row r="54" spans="1:14" ht="26.4" x14ac:dyDescent="0.3">
      <c r="A54" s="6" t="s">
        <v>758</v>
      </c>
      <c r="B54" s="10" t="s">
        <v>60</v>
      </c>
      <c r="C54" s="6" t="str">
        <f>INDEX('Path Scorecard'!$AB$5:$AB$80,MATCH($A54,'Path Scorecard'!$A$5:$A$80,0))</f>
        <v>Recommended</v>
      </c>
      <c r="D54" s="8" t="s">
        <v>1352</v>
      </c>
      <c r="E54" s="19">
        <v>3</v>
      </c>
      <c r="F54" s="19">
        <v>4</v>
      </c>
      <c r="G54" s="6">
        <v>5</v>
      </c>
      <c r="H54" s="19">
        <v>3</v>
      </c>
      <c r="I54" s="6">
        <v>3</v>
      </c>
      <c r="J54" s="9">
        <f>(E54*'Competitor Criteria'!$F$20+F54*'Competitor Criteria'!$F$21+G54*'Competitor Criteria'!$F$22+H54*'Competitor Criteria'!$F$23+I54*'Competitor Criteria'!$F$24)/(5*'Competitor Criteria'!$F$25)*100+E54/1000</f>
        <v>71.003</v>
      </c>
      <c r="K54" s="6">
        <f t="shared" si="3"/>
        <v>3</v>
      </c>
      <c r="L54" s="8" t="str">
        <f t="shared" si="4"/>
        <v>Alternate</v>
      </c>
      <c r="M54" s="10" t="str">
        <f t="shared" si="5"/>
        <v>P11|Alternate</v>
      </c>
    </row>
    <row r="55" spans="1:14" ht="26.4" x14ac:dyDescent="0.3">
      <c r="A55" s="6" t="s">
        <v>987</v>
      </c>
      <c r="B55" s="10" t="s">
        <v>63</v>
      </c>
      <c r="C55" s="6" t="str">
        <f>INDEX('Path Scorecard'!$AB$5:$AB$80,MATCH($A55,'Path Scorecard'!$A$5:$A$80,0))</f>
        <v>Recommended</v>
      </c>
      <c r="D55" s="8" t="s">
        <v>1346</v>
      </c>
      <c r="E55" s="19">
        <v>4</v>
      </c>
      <c r="F55" s="19">
        <v>5</v>
      </c>
      <c r="G55" s="6">
        <v>5</v>
      </c>
      <c r="H55" s="19">
        <v>4</v>
      </c>
      <c r="I55" s="6">
        <v>2</v>
      </c>
      <c r="J55" s="9">
        <f>(E55*'Competitor Criteria'!$F$20+F55*'Competitor Criteria'!$F$21+G55*'Competitor Criteria'!$F$22+H55*'Competitor Criteria'!$F$23+I55*'Competitor Criteria'!$F$24)/(5*'Competitor Criteria'!$F$25)*100+E55/1000</f>
        <v>82.004000000000005</v>
      </c>
      <c r="K55" s="6">
        <f t="shared" si="3"/>
        <v>1</v>
      </c>
      <c r="L55" s="8" t="str">
        <f t="shared" si="4"/>
        <v>Secondary 1</v>
      </c>
      <c r="M55" s="10" t="str">
        <f t="shared" si="5"/>
        <v>P20|Secondary 1</v>
      </c>
      <c r="N55" s="10" t="s">
        <v>241</v>
      </c>
    </row>
    <row r="56" spans="1:14" ht="26.4" x14ac:dyDescent="0.3">
      <c r="A56" s="6" t="s">
        <v>987</v>
      </c>
      <c r="B56" s="10" t="s">
        <v>63</v>
      </c>
      <c r="C56" s="6" t="str">
        <f>INDEX('Path Scorecard'!$AB$5:$AB$80,MATCH($A56,'Path Scorecard'!$A$5:$A$80,0))</f>
        <v>Recommended</v>
      </c>
      <c r="D56" s="8" t="s">
        <v>1344</v>
      </c>
      <c r="E56" s="19">
        <v>3</v>
      </c>
      <c r="F56" s="19">
        <v>5</v>
      </c>
      <c r="G56" s="6">
        <v>5</v>
      </c>
      <c r="H56" s="19">
        <v>3</v>
      </c>
      <c r="I56" s="6">
        <v>3</v>
      </c>
      <c r="J56" s="9">
        <f>(E56*'Competitor Criteria'!$F$20+F56*'Competitor Criteria'!$F$21+G56*'Competitor Criteria'!$F$22+H56*'Competitor Criteria'!$F$23+I56*'Competitor Criteria'!$F$24)/(5*'Competitor Criteria'!$F$25)*100+E56/1000</f>
        <v>76.003</v>
      </c>
      <c r="K56" s="6">
        <f t="shared" si="3"/>
        <v>2</v>
      </c>
      <c r="L56" s="8" t="str">
        <f t="shared" si="4"/>
        <v>Secondary 2</v>
      </c>
      <c r="M56" s="10" t="str">
        <f t="shared" si="5"/>
        <v>P20|Secondary 2</v>
      </c>
    </row>
    <row r="57" spans="1:14" ht="26.4" x14ac:dyDescent="0.3">
      <c r="A57" s="6" t="s">
        <v>987</v>
      </c>
      <c r="B57" s="10" t="s">
        <v>63</v>
      </c>
      <c r="C57" s="6" t="str">
        <f>INDEX('Path Scorecard'!$AB$5:$AB$80,MATCH($A57,'Path Scorecard'!$A$5:$A$80,0))</f>
        <v>Recommended</v>
      </c>
      <c r="D57" s="8" t="s">
        <v>1337</v>
      </c>
      <c r="E57" s="19">
        <v>3</v>
      </c>
      <c r="F57" s="19">
        <v>5</v>
      </c>
      <c r="G57" s="6">
        <v>5</v>
      </c>
      <c r="H57" s="19">
        <v>4</v>
      </c>
      <c r="I57" s="6">
        <v>1</v>
      </c>
      <c r="J57" s="9">
        <f>(E57*'Competitor Criteria'!$F$20+F57*'Competitor Criteria'!$F$21+G57*'Competitor Criteria'!$F$22+H57*'Competitor Criteria'!$F$23+I57*'Competitor Criteria'!$F$24)/(5*'Competitor Criteria'!$F$25)*100+E57/1000</f>
        <v>74.003</v>
      </c>
      <c r="K57" s="6">
        <f t="shared" si="3"/>
        <v>3</v>
      </c>
      <c r="L57" s="8" t="str">
        <f t="shared" si="4"/>
        <v>Alternate</v>
      </c>
      <c r="M57" s="10" t="str">
        <f t="shared" si="5"/>
        <v>P20|Alternate</v>
      </c>
    </row>
    <row r="58" spans="1:14" ht="26.4" x14ac:dyDescent="0.3">
      <c r="A58" s="6" t="s">
        <v>1000</v>
      </c>
      <c r="B58" s="10" t="s">
        <v>65</v>
      </c>
      <c r="C58" s="6" t="str">
        <f>INDEX('Path Scorecard'!$AB$5:$AB$80,MATCH($A58,'Path Scorecard'!$A$5:$A$80,0))</f>
        <v>Recommended</v>
      </c>
      <c r="D58" s="8" t="s">
        <v>1327</v>
      </c>
      <c r="E58" s="19">
        <v>5</v>
      </c>
      <c r="F58" s="19">
        <v>5</v>
      </c>
      <c r="G58" s="6">
        <v>5</v>
      </c>
      <c r="H58" s="19">
        <v>5</v>
      </c>
      <c r="I58" s="6">
        <v>5</v>
      </c>
      <c r="J58" s="9">
        <f>(E58*'Competitor Criteria'!$F$20+F58*'Competitor Criteria'!$F$21+G58*'Competitor Criteria'!$F$22+H58*'Competitor Criteria'!$F$23+I58*'Competitor Criteria'!$F$24)/(5*'Competitor Criteria'!$F$25)*100+E58/1000</f>
        <v>100.005</v>
      </c>
      <c r="K58" s="6">
        <f t="shared" si="3"/>
        <v>1</v>
      </c>
      <c r="L58" s="8" t="str">
        <f t="shared" si="4"/>
        <v>Secondary 1</v>
      </c>
      <c r="M58" s="10" t="str">
        <f t="shared" si="5"/>
        <v>P23|Secondary 1</v>
      </c>
      <c r="N58" s="10" t="s">
        <v>248</v>
      </c>
    </row>
    <row r="59" spans="1:14" ht="26.4" x14ac:dyDescent="0.3">
      <c r="A59" s="6" t="s">
        <v>1000</v>
      </c>
      <c r="B59" s="10" t="s">
        <v>65</v>
      </c>
      <c r="C59" s="6" t="str">
        <f>INDEX('Path Scorecard'!$AB$5:$AB$80,MATCH($A59,'Path Scorecard'!$A$5:$A$80,0))</f>
        <v>Recommended</v>
      </c>
      <c r="D59" s="8" t="s">
        <v>1353</v>
      </c>
      <c r="E59" s="19">
        <v>4</v>
      </c>
      <c r="F59" s="19">
        <v>5</v>
      </c>
      <c r="G59" s="6">
        <v>5</v>
      </c>
      <c r="H59" s="19">
        <v>5</v>
      </c>
      <c r="I59" s="6">
        <v>5</v>
      </c>
      <c r="J59" s="9">
        <f>(E59*'Competitor Criteria'!$F$20+F59*'Competitor Criteria'!$F$21+G59*'Competitor Criteria'!$F$22+H59*'Competitor Criteria'!$F$23+I59*'Competitor Criteria'!$F$24)/(5*'Competitor Criteria'!$F$25)*100+E59/1000</f>
        <v>95.004000000000005</v>
      </c>
      <c r="K59" s="6">
        <f t="shared" si="3"/>
        <v>2</v>
      </c>
      <c r="L59" s="8" t="str">
        <f t="shared" si="4"/>
        <v>Secondary 2</v>
      </c>
      <c r="M59" s="10" t="str">
        <f t="shared" si="5"/>
        <v>P23|Secondary 2</v>
      </c>
    </row>
    <row r="60" spans="1:14" ht="26.4" x14ac:dyDescent="0.3">
      <c r="A60" s="6" t="s">
        <v>1000</v>
      </c>
      <c r="B60" s="10" t="s">
        <v>65</v>
      </c>
      <c r="C60" s="6" t="str">
        <f>INDEX('Path Scorecard'!$AB$5:$AB$80,MATCH($A60,'Path Scorecard'!$A$5:$A$80,0))</f>
        <v>Recommended</v>
      </c>
      <c r="D60" s="8" t="s">
        <v>1330</v>
      </c>
      <c r="E60" s="19">
        <v>4</v>
      </c>
      <c r="F60" s="19">
        <v>4</v>
      </c>
      <c r="G60" s="6">
        <v>4</v>
      </c>
      <c r="H60" s="19">
        <v>4</v>
      </c>
      <c r="I60" s="6">
        <v>3</v>
      </c>
      <c r="J60" s="9">
        <f>(E60*'Competitor Criteria'!$F$20+F60*'Competitor Criteria'!$F$21+G60*'Competitor Criteria'!$F$22+H60*'Competitor Criteria'!$F$23+I60*'Competitor Criteria'!$F$24)/(5*'Competitor Criteria'!$F$25)*100+E60/1000</f>
        <v>77.004000000000005</v>
      </c>
      <c r="K60" s="6">
        <f t="shared" si="3"/>
        <v>3</v>
      </c>
      <c r="L60" s="8" t="str">
        <f t="shared" si="4"/>
        <v>Alternate</v>
      </c>
      <c r="M60" s="10" t="str">
        <f t="shared" si="5"/>
        <v>P23|Alternate</v>
      </c>
    </row>
    <row r="61" spans="1:14" ht="26.4" x14ac:dyDescent="0.3">
      <c r="A61" s="6" t="s">
        <v>1037</v>
      </c>
      <c r="B61" s="10" t="s">
        <v>68</v>
      </c>
      <c r="C61" s="6" t="str">
        <f>INDEX('Path Scorecard'!$AB$5:$AB$80,MATCH($A61,'Path Scorecard'!$A$5:$A$80,0))</f>
        <v>Recommended</v>
      </c>
      <c r="D61" s="8" t="s">
        <v>1350</v>
      </c>
      <c r="E61" s="19">
        <v>4</v>
      </c>
      <c r="F61" s="19">
        <v>5</v>
      </c>
      <c r="G61" s="6">
        <v>5</v>
      </c>
      <c r="H61" s="19">
        <v>4</v>
      </c>
      <c r="I61" s="6">
        <v>2</v>
      </c>
      <c r="J61" s="9">
        <f>(E61*'Competitor Criteria'!$F$20+F61*'Competitor Criteria'!$F$21+G61*'Competitor Criteria'!$F$22+H61*'Competitor Criteria'!$F$23+I61*'Competitor Criteria'!$F$24)/(5*'Competitor Criteria'!$F$25)*100+E61/1000</f>
        <v>82.004000000000005</v>
      </c>
      <c r="K61" s="6">
        <f t="shared" si="3"/>
        <v>1</v>
      </c>
      <c r="L61" s="8" t="str">
        <f t="shared" si="4"/>
        <v>Secondary 1</v>
      </c>
      <c r="M61" s="10" t="str">
        <f t="shared" si="5"/>
        <v>P36|Secondary 1</v>
      </c>
      <c r="N61" s="10" t="s">
        <v>255</v>
      </c>
    </row>
    <row r="62" spans="1:14" ht="26.4" x14ac:dyDescent="0.3">
      <c r="A62" s="6" t="s">
        <v>1037</v>
      </c>
      <c r="B62" s="10" t="s">
        <v>68</v>
      </c>
      <c r="C62" s="6" t="str">
        <f>INDEX('Path Scorecard'!$AB$5:$AB$80,MATCH($A62,'Path Scorecard'!$A$5:$A$80,0))</f>
        <v>Recommended</v>
      </c>
      <c r="D62" s="8" t="s">
        <v>1354</v>
      </c>
      <c r="E62" s="19">
        <v>3</v>
      </c>
      <c r="F62" s="19">
        <v>5</v>
      </c>
      <c r="G62" s="6">
        <v>5</v>
      </c>
      <c r="H62" s="19">
        <v>4</v>
      </c>
      <c r="I62" s="6">
        <v>2</v>
      </c>
      <c r="J62" s="9">
        <f>(E62*'Competitor Criteria'!$F$20+F62*'Competitor Criteria'!$F$21+G62*'Competitor Criteria'!$F$22+H62*'Competitor Criteria'!$F$23+I62*'Competitor Criteria'!$F$24)/(5*'Competitor Criteria'!$F$25)*100+E62/1000</f>
        <v>77.003</v>
      </c>
      <c r="K62" s="6">
        <f t="shared" si="3"/>
        <v>2</v>
      </c>
      <c r="L62" s="8" t="str">
        <f t="shared" si="4"/>
        <v>Secondary 2</v>
      </c>
      <c r="M62" s="10" t="str">
        <f t="shared" si="5"/>
        <v>P36|Secondary 2</v>
      </c>
    </row>
    <row r="63" spans="1:14" ht="26.4" x14ac:dyDescent="0.3">
      <c r="A63" s="6" t="s">
        <v>1037</v>
      </c>
      <c r="B63" s="10" t="s">
        <v>68</v>
      </c>
      <c r="C63" s="6" t="str">
        <f>INDEX('Path Scorecard'!$AB$5:$AB$80,MATCH($A63,'Path Scorecard'!$A$5:$A$80,0))</f>
        <v>Recommended</v>
      </c>
      <c r="D63" s="8" t="s">
        <v>1328</v>
      </c>
      <c r="E63" s="19">
        <v>4</v>
      </c>
      <c r="F63" s="19">
        <v>4</v>
      </c>
      <c r="G63" s="6">
        <v>3</v>
      </c>
      <c r="H63" s="19">
        <v>4</v>
      </c>
      <c r="I63" s="6">
        <v>2</v>
      </c>
      <c r="J63" s="9">
        <f>(E63*'Competitor Criteria'!$F$20+F63*'Competitor Criteria'!$F$21+G63*'Competitor Criteria'!$F$22+H63*'Competitor Criteria'!$F$23+I63*'Competitor Criteria'!$F$24)/(5*'Competitor Criteria'!$F$25)*100+E63/1000</f>
        <v>71.004000000000005</v>
      </c>
      <c r="K63" s="6">
        <f t="shared" si="3"/>
        <v>3</v>
      </c>
      <c r="L63" s="8" t="str">
        <f t="shared" si="4"/>
        <v>Alternate</v>
      </c>
      <c r="M63" s="10" t="str">
        <f t="shared" si="5"/>
        <v>P36|Alternate</v>
      </c>
    </row>
    <row r="64" spans="1:14" ht="26.4" x14ac:dyDescent="0.3">
      <c r="A64" s="6" t="s">
        <v>1048</v>
      </c>
      <c r="B64" s="10" t="s">
        <v>71</v>
      </c>
      <c r="C64" s="6" t="str">
        <f>INDEX('Path Scorecard'!$AB$5:$AB$80,MATCH($A64,'Path Scorecard'!$A$5:$A$80,0))</f>
        <v>Recommended</v>
      </c>
      <c r="D64" s="8" t="s">
        <v>1355</v>
      </c>
      <c r="E64" s="19">
        <v>5</v>
      </c>
      <c r="F64" s="19">
        <v>5</v>
      </c>
      <c r="G64" s="6">
        <v>5</v>
      </c>
      <c r="H64" s="19">
        <v>5</v>
      </c>
      <c r="I64" s="6">
        <v>5</v>
      </c>
      <c r="J64" s="9">
        <f>(E64*'Competitor Criteria'!$F$20+F64*'Competitor Criteria'!$F$21+G64*'Competitor Criteria'!$F$22+H64*'Competitor Criteria'!$F$23+I64*'Competitor Criteria'!$F$24)/(5*'Competitor Criteria'!$F$25)*100+E64/1000</f>
        <v>100.005</v>
      </c>
      <c r="K64" s="6">
        <f t="shared" si="3"/>
        <v>1</v>
      </c>
      <c r="L64" s="8" t="str">
        <f t="shared" si="4"/>
        <v>Secondary 1</v>
      </c>
      <c r="M64" s="10" t="str">
        <f t="shared" si="5"/>
        <v>P39|Secondary 1</v>
      </c>
      <c r="N64" s="10" t="s">
        <v>262</v>
      </c>
    </row>
    <row r="65" spans="1:14" ht="26.4" x14ac:dyDescent="0.3">
      <c r="A65" s="6" t="s">
        <v>1048</v>
      </c>
      <c r="B65" s="10" t="s">
        <v>71</v>
      </c>
      <c r="C65" s="6" t="str">
        <f>INDEX('Path Scorecard'!$AB$5:$AB$80,MATCH($A65,'Path Scorecard'!$A$5:$A$80,0))</f>
        <v>Recommended</v>
      </c>
      <c r="D65" s="8" t="s">
        <v>1330</v>
      </c>
      <c r="E65" s="19">
        <v>3</v>
      </c>
      <c r="F65" s="19">
        <v>4</v>
      </c>
      <c r="G65" s="6">
        <v>4</v>
      </c>
      <c r="H65" s="19">
        <v>3</v>
      </c>
      <c r="I65" s="6">
        <v>3</v>
      </c>
      <c r="J65" s="9">
        <f>(E65*'Competitor Criteria'!$F$20+F65*'Competitor Criteria'!$F$21+G65*'Competitor Criteria'!$F$22+H65*'Competitor Criteria'!$F$23+I65*'Competitor Criteria'!$F$24)/(5*'Competitor Criteria'!$F$25)*100+E65/1000</f>
        <v>68.003</v>
      </c>
      <c r="K65" s="6">
        <f t="shared" si="3"/>
        <v>2</v>
      </c>
      <c r="L65" s="8" t="str">
        <f t="shared" si="4"/>
        <v>Secondary 2</v>
      </c>
      <c r="M65" s="10" t="str">
        <f t="shared" si="5"/>
        <v>P39|Secondary 2</v>
      </c>
    </row>
    <row r="66" spans="1:14" ht="26.4" x14ac:dyDescent="0.3">
      <c r="A66" s="6" t="s">
        <v>1048</v>
      </c>
      <c r="B66" s="10" t="s">
        <v>71</v>
      </c>
      <c r="C66" s="6" t="str">
        <f>INDEX('Path Scorecard'!$AB$5:$AB$80,MATCH($A66,'Path Scorecard'!$A$5:$A$80,0))</f>
        <v>Recommended</v>
      </c>
      <c r="D66" s="8" t="s">
        <v>1336</v>
      </c>
      <c r="E66" s="19">
        <v>2</v>
      </c>
      <c r="F66" s="19">
        <v>4</v>
      </c>
      <c r="G66" s="6">
        <v>5</v>
      </c>
      <c r="H66" s="19">
        <v>3</v>
      </c>
      <c r="I66" s="6">
        <v>2</v>
      </c>
      <c r="J66" s="9">
        <f>(E66*'Competitor Criteria'!$F$20+F66*'Competitor Criteria'!$F$21+G66*'Competitor Criteria'!$F$22+H66*'Competitor Criteria'!$F$23+I66*'Competitor Criteria'!$F$24)/(5*'Competitor Criteria'!$F$25)*100+E66/1000</f>
        <v>63.002000000000002</v>
      </c>
      <c r="K66" s="6">
        <f t="shared" si="3"/>
        <v>3</v>
      </c>
      <c r="L66" s="8" t="str">
        <f t="shared" si="4"/>
        <v>Alternate</v>
      </c>
      <c r="M66" s="10" t="str">
        <f t="shared" si="5"/>
        <v>P39|Alternate</v>
      </c>
    </row>
    <row r="67" spans="1:14" ht="26.4" x14ac:dyDescent="0.3">
      <c r="A67" s="6" t="s">
        <v>1074</v>
      </c>
      <c r="B67" s="10" t="s">
        <v>74</v>
      </c>
      <c r="C67" s="6" t="str">
        <f>INDEX('Path Scorecard'!$AB$5:$AB$80,MATCH($A67,'Path Scorecard'!$A$5:$A$80,0))</f>
        <v>Recommended</v>
      </c>
      <c r="D67" s="8" t="s">
        <v>1355</v>
      </c>
      <c r="E67" s="19">
        <v>4</v>
      </c>
      <c r="F67" s="19">
        <v>5</v>
      </c>
      <c r="G67" s="6">
        <v>5</v>
      </c>
      <c r="H67" s="19">
        <v>4</v>
      </c>
      <c r="I67" s="6">
        <v>5</v>
      </c>
      <c r="J67" s="9">
        <f>(E67*'Competitor Criteria'!$F$20+F67*'Competitor Criteria'!$F$21+G67*'Competitor Criteria'!$F$22+H67*'Competitor Criteria'!$F$23+I67*'Competitor Criteria'!$F$24)/(5*'Competitor Criteria'!$F$25)*100+E67/1000</f>
        <v>91.004000000000005</v>
      </c>
      <c r="K67" s="6">
        <f t="shared" si="3"/>
        <v>1</v>
      </c>
      <c r="L67" s="8" t="str">
        <f t="shared" si="4"/>
        <v>Secondary 1</v>
      </c>
      <c r="M67" s="10" t="str">
        <f t="shared" si="5"/>
        <v>P44|Secondary 1</v>
      </c>
      <c r="N67" s="10" t="s">
        <v>269</v>
      </c>
    </row>
    <row r="68" spans="1:14" ht="26.4" x14ac:dyDescent="0.3">
      <c r="A68" s="6" t="s">
        <v>1074</v>
      </c>
      <c r="B68" s="10" t="s">
        <v>74</v>
      </c>
      <c r="C68" s="6" t="str">
        <f>INDEX('Path Scorecard'!$AB$5:$AB$80,MATCH($A68,'Path Scorecard'!$A$5:$A$80,0))</f>
        <v>Recommended</v>
      </c>
      <c r="D68" s="8" t="s">
        <v>1344</v>
      </c>
      <c r="E68" s="19">
        <v>3</v>
      </c>
      <c r="F68" s="19">
        <v>5</v>
      </c>
      <c r="G68" s="6">
        <v>5</v>
      </c>
      <c r="H68" s="19">
        <v>3</v>
      </c>
      <c r="I68" s="6">
        <v>3</v>
      </c>
      <c r="J68" s="9">
        <f>(E68*'Competitor Criteria'!$F$20+F68*'Competitor Criteria'!$F$21+G68*'Competitor Criteria'!$F$22+H68*'Competitor Criteria'!$F$23+I68*'Competitor Criteria'!$F$24)/(5*'Competitor Criteria'!$F$25)*100+E68/1000</f>
        <v>76.003</v>
      </c>
      <c r="K68" s="6">
        <f t="shared" si="3"/>
        <v>2</v>
      </c>
      <c r="L68" s="8" t="str">
        <f t="shared" si="4"/>
        <v>Secondary 2</v>
      </c>
      <c r="M68" s="10" t="str">
        <f t="shared" si="5"/>
        <v>P44|Secondary 2</v>
      </c>
    </row>
    <row r="69" spans="1:14" ht="26.4" x14ac:dyDescent="0.3">
      <c r="A69" s="6" t="s">
        <v>1074</v>
      </c>
      <c r="B69" s="10" t="s">
        <v>74</v>
      </c>
      <c r="C69" s="6" t="str">
        <f>INDEX('Path Scorecard'!$AB$5:$AB$80,MATCH($A69,'Path Scorecard'!$A$5:$A$80,0))</f>
        <v>Recommended</v>
      </c>
      <c r="D69" s="8" t="s">
        <v>1339</v>
      </c>
      <c r="E69" s="19">
        <v>3</v>
      </c>
      <c r="F69" s="19">
        <v>5</v>
      </c>
      <c r="G69" s="6">
        <v>5</v>
      </c>
      <c r="H69" s="19">
        <v>3</v>
      </c>
      <c r="I69" s="6">
        <v>1</v>
      </c>
      <c r="J69" s="9">
        <f>(E69*'Competitor Criteria'!$F$20+F69*'Competitor Criteria'!$F$21+G69*'Competitor Criteria'!$F$22+H69*'Competitor Criteria'!$F$23+I69*'Competitor Criteria'!$F$24)/(5*'Competitor Criteria'!$F$25)*100+E69/1000</f>
        <v>70.003</v>
      </c>
      <c r="K69" s="6">
        <f t="shared" ref="K69:K98" si="6">COUNTIFS($A$5:$A$98,A69,$J$5:$J$98,"&gt;"&amp;J69)+1</f>
        <v>3</v>
      </c>
      <c r="L69" s="8" t="str">
        <f t="shared" ref="L69:L98" si="7">IF(K69=1,"Secondary 1",IF(K69=2,"Secondary 2","Alternate"))</f>
        <v>Alternate</v>
      </c>
      <c r="M69" s="10" t="str">
        <f t="shared" ref="M69:M98" si="8">A69&amp;"|"&amp;L69</f>
        <v>P44|Alternate</v>
      </c>
    </row>
    <row r="70" spans="1:14" ht="26.4" x14ac:dyDescent="0.3">
      <c r="A70" s="6" t="s">
        <v>1093</v>
      </c>
      <c r="B70" s="10" t="s">
        <v>77</v>
      </c>
      <c r="C70" s="6" t="str">
        <f>INDEX('Path Scorecard'!$AB$5:$AB$80,MATCH($A70,'Path Scorecard'!$A$5:$A$80,0))</f>
        <v>Recommended</v>
      </c>
      <c r="D70" s="8" t="s">
        <v>1356</v>
      </c>
      <c r="E70" s="19">
        <v>4</v>
      </c>
      <c r="F70" s="19">
        <v>5</v>
      </c>
      <c r="G70" s="6">
        <v>5</v>
      </c>
      <c r="H70" s="19">
        <v>4</v>
      </c>
      <c r="I70" s="6">
        <v>5</v>
      </c>
      <c r="J70" s="9">
        <f>(E70*'Competitor Criteria'!$F$20+F70*'Competitor Criteria'!$F$21+G70*'Competitor Criteria'!$F$22+H70*'Competitor Criteria'!$F$23+I70*'Competitor Criteria'!$F$24)/(5*'Competitor Criteria'!$F$25)*100+E70/1000</f>
        <v>91.004000000000005</v>
      </c>
      <c r="K70" s="6">
        <f t="shared" si="6"/>
        <v>1</v>
      </c>
      <c r="L70" s="8" t="str">
        <f t="shared" si="7"/>
        <v>Secondary 1</v>
      </c>
      <c r="M70" s="10" t="str">
        <f t="shared" si="8"/>
        <v>P48|Secondary 1</v>
      </c>
      <c r="N70" s="10" t="s">
        <v>276</v>
      </c>
    </row>
    <row r="71" spans="1:14" ht="26.4" x14ac:dyDescent="0.3">
      <c r="A71" s="6" t="s">
        <v>1093</v>
      </c>
      <c r="B71" s="10" t="s">
        <v>77</v>
      </c>
      <c r="C71" s="6" t="str">
        <f>INDEX('Path Scorecard'!$AB$5:$AB$80,MATCH($A71,'Path Scorecard'!$A$5:$A$80,0))</f>
        <v>Recommended</v>
      </c>
      <c r="D71" s="8" t="s">
        <v>1350</v>
      </c>
      <c r="E71" s="19">
        <v>5</v>
      </c>
      <c r="F71" s="19">
        <v>5</v>
      </c>
      <c r="G71" s="6">
        <v>5</v>
      </c>
      <c r="H71" s="19">
        <v>4</v>
      </c>
      <c r="I71" s="6">
        <v>2</v>
      </c>
      <c r="J71" s="9">
        <f>(E71*'Competitor Criteria'!$F$20+F71*'Competitor Criteria'!$F$21+G71*'Competitor Criteria'!$F$22+H71*'Competitor Criteria'!$F$23+I71*'Competitor Criteria'!$F$24)/(5*'Competitor Criteria'!$F$25)*100+E71/1000</f>
        <v>87.004999999999995</v>
      </c>
      <c r="K71" s="6">
        <f t="shared" si="6"/>
        <v>2</v>
      </c>
      <c r="L71" s="8" t="str">
        <f t="shared" si="7"/>
        <v>Secondary 2</v>
      </c>
      <c r="M71" s="10" t="str">
        <f t="shared" si="8"/>
        <v>P48|Secondary 2</v>
      </c>
    </row>
    <row r="72" spans="1:14" ht="26.4" x14ac:dyDescent="0.3">
      <c r="A72" s="6" t="s">
        <v>1093</v>
      </c>
      <c r="B72" s="10" t="s">
        <v>77</v>
      </c>
      <c r="C72" s="6" t="str">
        <f>INDEX('Path Scorecard'!$AB$5:$AB$80,MATCH($A72,'Path Scorecard'!$A$5:$A$80,0))</f>
        <v>Recommended</v>
      </c>
      <c r="D72" s="8" t="s">
        <v>1354</v>
      </c>
      <c r="E72" s="19">
        <v>3</v>
      </c>
      <c r="F72" s="19">
        <v>4</v>
      </c>
      <c r="G72" s="6">
        <v>5</v>
      </c>
      <c r="H72" s="19">
        <v>3</v>
      </c>
      <c r="I72" s="6">
        <v>2</v>
      </c>
      <c r="J72" s="9">
        <f>(E72*'Competitor Criteria'!$F$20+F72*'Competitor Criteria'!$F$21+G72*'Competitor Criteria'!$F$22+H72*'Competitor Criteria'!$F$23+I72*'Competitor Criteria'!$F$24)/(5*'Competitor Criteria'!$F$25)*100+E72/1000</f>
        <v>68.003</v>
      </c>
      <c r="K72" s="6">
        <f t="shared" si="6"/>
        <v>3</v>
      </c>
      <c r="L72" s="8" t="str">
        <f t="shared" si="7"/>
        <v>Alternate</v>
      </c>
      <c r="M72" s="10" t="str">
        <f t="shared" si="8"/>
        <v>P48|Alternate</v>
      </c>
    </row>
    <row r="73" spans="1:14" x14ac:dyDescent="0.3">
      <c r="A73" s="6" t="s">
        <v>788</v>
      </c>
      <c r="B73" s="10" t="s">
        <v>284</v>
      </c>
      <c r="C73" s="6" t="str">
        <f>INDEX('Path Scorecard'!$AB$5:$AB$80,MATCH($A73,'Path Scorecard'!$A$5:$A$80,0))</f>
        <v>Reserve</v>
      </c>
      <c r="D73" s="8" t="s">
        <v>1324</v>
      </c>
      <c r="E73" s="19">
        <v>4</v>
      </c>
      <c r="F73" s="19">
        <v>5</v>
      </c>
      <c r="G73" s="6">
        <v>4</v>
      </c>
      <c r="H73" s="19">
        <v>5</v>
      </c>
      <c r="I73" s="6">
        <v>5</v>
      </c>
      <c r="J73" s="9">
        <f>(E73*'Competitor Criteria'!$F$20+F73*'Competitor Criteria'!$F$21+G73*'Competitor Criteria'!$F$22+H73*'Competitor Criteria'!$F$23+I73*'Competitor Criteria'!$F$24)/(5*'Competitor Criteria'!$F$25)*100+E73/1000</f>
        <v>92.004000000000005</v>
      </c>
      <c r="K73" s="6">
        <f t="shared" si="6"/>
        <v>1</v>
      </c>
      <c r="L73" s="8" t="str">
        <f t="shared" si="7"/>
        <v>Secondary 1</v>
      </c>
      <c r="M73" s="10" t="str">
        <f t="shared" si="8"/>
        <v>P29|Secondary 1</v>
      </c>
      <c r="N73" s="10" t="s">
        <v>286</v>
      </c>
    </row>
    <row r="74" spans="1:14" x14ac:dyDescent="0.3">
      <c r="A74" s="6" t="s">
        <v>788</v>
      </c>
      <c r="B74" s="10" t="s">
        <v>284</v>
      </c>
      <c r="C74" s="6" t="str">
        <f>INDEX('Path Scorecard'!$AB$5:$AB$80,MATCH($A74,'Path Scorecard'!$A$5:$A$80,0))</f>
        <v>Reserve</v>
      </c>
      <c r="D74" s="8" t="s">
        <v>1330</v>
      </c>
      <c r="E74" s="19">
        <v>4</v>
      </c>
      <c r="F74" s="19">
        <v>5</v>
      </c>
      <c r="G74" s="6">
        <v>4</v>
      </c>
      <c r="H74" s="19">
        <v>3</v>
      </c>
      <c r="I74" s="6">
        <v>3</v>
      </c>
      <c r="J74" s="9">
        <f>(E74*'Competitor Criteria'!$F$20+F74*'Competitor Criteria'!$F$21+G74*'Competitor Criteria'!$F$22+H74*'Competitor Criteria'!$F$23+I74*'Competitor Criteria'!$F$24)/(5*'Competitor Criteria'!$F$25)*100+E74/1000</f>
        <v>78.004000000000005</v>
      </c>
      <c r="K74" s="6">
        <f t="shared" si="6"/>
        <v>2</v>
      </c>
      <c r="L74" s="8" t="str">
        <f t="shared" si="7"/>
        <v>Secondary 2</v>
      </c>
      <c r="M74" s="10" t="str">
        <f t="shared" si="8"/>
        <v>P29|Secondary 2</v>
      </c>
    </row>
    <row r="75" spans="1:14" x14ac:dyDescent="0.3">
      <c r="A75" s="6" t="s">
        <v>788</v>
      </c>
      <c r="B75" s="10" t="s">
        <v>284</v>
      </c>
      <c r="C75" s="6" t="str">
        <f>INDEX('Path Scorecard'!$AB$5:$AB$80,MATCH($A75,'Path Scorecard'!$A$5:$A$80,0))</f>
        <v>Reserve</v>
      </c>
      <c r="D75" s="8" t="s">
        <v>1326</v>
      </c>
      <c r="E75" s="19">
        <v>3</v>
      </c>
      <c r="F75" s="19">
        <v>5</v>
      </c>
      <c r="G75" s="6">
        <v>4</v>
      </c>
      <c r="H75" s="19">
        <v>4</v>
      </c>
      <c r="I75" s="6">
        <v>3</v>
      </c>
      <c r="J75" s="9">
        <f>(E75*'Competitor Criteria'!$F$20+F75*'Competitor Criteria'!$F$21+G75*'Competitor Criteria'!$F$22+H75*'Competitor Criteria'!$F$23+I75*'Competitor Criteria'!$F$24)/(5*'Competitor Criteria'!$F$25)*100+E75/1000</f>
        <v>77.003</v>
      </c>
      <c r="K75" s="6">
        <f t="shared" si="6"/>
        <v>3</v>
      </c>
      <c r="L75" s="8" t="str">
        <f t="shared" si="7"/>
        <v>Alternate</v>
      </c>
      <c r="M75" s="10" t="str">
        <f t="shared" si="8"/>
        <v>P29|Alternate</v>
      </c>
    </row>
    <row r="76" spans="1:14" ht="26.4" x14ac:dyDescent="0.3">
      <c r="A76" s="6" t="s">
        <v>770</v>
      </c>
      <c r="B76" s="10" t="s">
        <v>295</v>
      </c>
      <c r="C76" s="6" t="str">
        <f>INDEX('Path Scorecard'!$AB$5:$AB$80,MATCH($A76,'Path Scorecard'!$A$5:$A$80,0))</f>
        <v>Reserve</v>
      </c>
      <c r="D76" s="8" t="s">
        <v>691</v>
      </c>
      <c r="E76" s="19">
        <v>4</v>
      </c>
      <c r="F76" s="19">
        <v>4</v>
      </c>
      <c r="G76" s="6">
        <v>4</v>
      </c>
      <c r="H76" s="19">
        <v>4</v>
      </c>
      <c r="I76" s="6">
        <v>3</v>
      </c>
      <c r="J76" s="9">
        <f>(E76*'Competitor Criteria'!$F$20+F76*'Competitor Criteria'!$F$21+G76*'Competitor Criteria'!$F$22+H76*'Competitor Criteria'!$F$23+I76*'Competitor Criteria'!$F$24)/(5*'Competitor Criteria'!$F$25)*100+E76/1000</f>
        <v>77.004000000000005</v>
      </c>
      <c r="K76" s="6">
        <f t="shared" si="6"/>
        <v>1</v>
      </c>
      <c r="L76" s="8" t="str">
        <f t="shared" si="7"/>
        <v>Secondary 1</v>
      </c>
      <c r="M76" s="10" t="str">
        <f t="shared" si="8"/>
        <v>P32|Secondary 1</v>
      </c>
      <c r="N76" s="10" t="s">
        <v>297</v>
      </c>
    </row>
    <row r="77" spans="1:14" x14ac:dyDescent="0.3">
      <c r="A77" s="6" t="s">
        <v>770</v>
      </c>
      <c r="B77" s="10" t="s">
        <v>295</v>
      </c>
      <c r="C77" s="6" t="str">
        <f>INDEX('Path Scorecard'!$AB$5:$AB$80,MATCH($A77,'Path Scorecard'!$A$5:$A$80,0))</f>
        <v>Reserve</v>
      </c>
      <c r="D77" s="8" t="s">
        <v>1328</v>
      </c>
      <c r="E77" s="19">
        <v>3</v>
      </c>
      <c r="F77" s="19">
        <v>4</v>
      </c>
      <c r="G77" s="6">
        <v>3</v>
      </c>
      <c r="H77" s="19">
        <v>4</v>
      </c>
      <c r="I77" s="6">
        <v>2</v>
      </c>
      <c r="J77" s="9">
        <f>(E77*'Competitor Criteria'!$F$20+F77*'Competitor Criteria'!$F$21+G77*'Competitor Criteria'!$F$22+H77*'Competitor Criteria'!$F$23+I77*'Competitor Criteria'!$F$24)/(5*'Competitor Criteria'!$F$25)*100+E77/1000</f>
        <v>66.003</v>
      </c>
      <c r="K77" s="6">
        <f t="shared" si="6"/>
        <v>2</v>
      </c>
      <c r="L77" s="8" t="str">
        <f t="shared" si="7"/>
        <v>Secondary 2</v>
      </c>
      <c r="M77" s="10" t="str">
        <f t="shared" si="8"/>
        <v>P32|Secondary 2</v>
      </c>
    </row>
    <row r="78" spans="1:14" ht="26.4" x14ac:dyDescent="0.3">
      <c r="A78" s="6" t="s">
        <v>771</v>
      </c>
      <c r="B78" s="10" t="s">
        <v>306</v>
      </c>
      <c r="C78" s="6" t="str">
        <f>INDEX('Path Scorecard'!$AB$5:$AB$80,MATCH($A78,'Path Scorecard'!$A$5:$A$80,0))</f>
        <v>Reserve</v>
      </c>
      <c r="D78" s="8" t="s">
        <v>1357</v>
      </c>
      <c r="E78" s="19">
        <v>5</v>
      </c>
      <c r="F78" s="19">
        <v>5</v>
      </c>
      <c r="G78" s="6">
        <v>5</v>
      </c>
      <c r="H78" s="19">
        <v>4</v>
      </c>
      <c r="I78" s="6">
        <v>5</v>
      </c>
      <c r="J78" s="9">
        <f>(E78*'Competitor Criteria'!$F$20+F78*'Competitor Criteria'!$F$21+G78*'Competitor Criteria'!$F$22+H78*'Competitor Criteria'!$F$23+I78*'Competitor Criteria'!$F$24)/(5*'Competitor Criteria'!$F$25)*100+E78/1000</f>
        <v>96.004999999999995</v>
      </c>
      <c r="K78" s="6">
        <f t="shared" si="6"/>
        <v>1</v>
      </c>
      <c r="L78" s="8" t="str">
        <f t="shared" si="7"/>
        <v>Secondary 1</v>
      </c>
      <c r="M78" s="10" t="str">
        <f t="shared" si="8"/>
        <v>P33|Secondary 1</v>
      </c>
      <c r="N78" s="10" t="s">
        <v>308</v>
      </c>
    </row>
    <row r="79" spans="1:14" x14ac:dyDescent="0.3">
      <c r="A79" s="6" t="s">
        <v>771</v>
      </c>
      <c r="B79" s="10" t="s">
        <v>306</v>
      </c>
      <c r="C79" s="6" t="str">
        <f>INDEX('Path Scorecard'!$AB$5:$AB$80,MATCH($A79,'Path Scorecard'!$A$5:$A$80,0))</f>
        <v>Reserve</v>
      </c>
      <c r="D79" s="8" t="s">
        <v>1358</v>
      </c>
      <c r="E79" s="19">
        <v>5</v>
      </c>
      <c r="F79" s="19">
        <v>4</v>
      </c>
      <c r="G79" s="6">
        <v>5</v>
      </c>
      <c r="H79" s="19">
        <v>4</v>
      </c>
      <c r="I79" s="6">
        <v>5</v>
      </c>
      <c r="J79" s="9">
        <f>(E79*'Competitor Criteria'!$F$20+F79*'Competitor Criteria'!$F$21+G79*'Competitor Criteria'!$F$22+H79*'Competitor Criteria'!$F$23+I79*'Competitor Criteria'!$F$24)/(5*'Competitor Criteria'!$F$25)*100+E79/1000</f>
        <v>91.004999999999995</v>
      </c>
      <c r="K79" s="6">
        <f t="shared" si="6"/>
        <v>2</v>
      </c>
      <c r="L79" s="8" t="str">
        <f t="shared" si="7"/>
        <v>Secondary 2</v>
      </c>
      <c r="M79" s="10" t="str">
        <f t="shared" si="8"/>
        <v>P33|Secondary 2</v>
      </c>
    </row>
    <row r="80" spans="1:14" ht="26.4" x14ac:dyDescent="0.3">
      <c r="A80" s="6" t="s">
        <v>759</v>
      </c>
      <c r="B80" s="10" t="s">
        <v>317</v>
      </c>
      <c r="C80" s="6" t="str">
        <f>INDEX('Path Scorecard'!$AB$5:$AB$80,MATCH($A80,'Path Scorecard'!$A$5:$A$80,0))</f>
        <v>Reserve</v>
      </c>
      <c r="D80" s="8" t="s">
        <v>1333</v>
      </c>
      <c r="E80" s="19">
        <v>4</v>
      </c>
      <c r="F80" s="19">
        <v>5</v>
      </c>
      <c r="G80" s="6">
        <v>5</v>
      </c>
      <c r="H80" s="19">
        <v>4</v>
      </c>
      <c r="I80" s="6">
        <v>5</v>
      </c>
      <c r="J80" s="9">
        <f>(E80*'Competitor Criteria'!$F$20+F80*'Competitor Criteria'!$F$21+G80*'Competitor Criteria'!$F$22+H80*'Competitor Criteria'!$F$23+I80*'Competitor Criteria'!$F$24)/(5*'Competitor Criteria'!$F$25)*100+E80/1000</f>
        <v>91.004000000000005</v>
      </c>
      <c r="K80" s="6">
        <f t="shared" si="6"/>
        <v>1</v>
      </c>
      <c r="L80" s="8" t="str">
        <f t="shared" si="7"/>
        <v>Secondary 1</v>
      </c>
      <c r="M80" s="10" t="str">
        <f t="shared" si="8"/>
        <v>P12|Secondary 1</v>
      </c>
      <c r="N80" s="10" t="s">
        <v>319</v>
      </c>
    </row>
    <row r="81" spans="1:14" ht="26.4" x14ac:dyDescent="0.3">
      <c r="A81" s="6" t="s">
        <v>759</v>
      </c>
      <c r="B81" s="10" t="s">
        <v>317</v>
      </c>
      <c r="C81" s="6" t="str">
        <f>INDEX('Path Scorecard'!$AB$5:$AB$80,MATCH($A81,'Path Scorecard'!$A$5:$A$80,0))</f>
        <v>Reserve</v>
      </c>
      <c r="D81" s="8" t="s">
        <v>1352</v>
      </c>
      <c r="E81" s="19">
        <v>4</v>
      </c>
      <c r="F81" s="19">
        <v>5</v>
      </c>
      <c r="G81" s="6">
        <v>5</v>
      </c>
      <c r="H81" s="19">
        <v>4</v>
      </c>
      <c r="I81" s="6">
        <v>3</v>
      </c>
      <c r="J81" s="9">
        <f>(E81*'Competitor Criteria'!$F$20+F81*'Competitor Criteria'!$F$21+G81*'Competitor Criteria'!$F$22+H81*'Competitor Criteria'!$F$23+I81*'Competitor Criteria'!$F$24)/(5*'Competitor Criteria'!$F$25)*100+E81/1000</f>
        <v>85.004000000000005</v>
      </c>
      <c r="K81" s="6">
        <f t="shared" si="6"/>
        <v>2</v>
      </c>
      <c r="L81" s="8" t="str">
        <f t="shared" si="7"/>
        <v>Secondary 2</v>
      </c>
      <c r="M81" s="10" t="str">
        <f t="shared" si="8"/>
        <v>P12|Secondary 2</v>
      </c>
    </row>
    <row r="82" spans="1:14" ht="26.4" x14ac:dyDescent="0.3">
      <c r="A82" s="6" t="s">
        <v>759</v>
      </c>
      <c r="B82" s="10" t="s">
        <v>317</v>
      </c>
      <c r="C82" s="6" t="str">
        <f>INDEX('Path Scorecard'!$AB$5:$AB$80,MATCH($A82,'Path Scorecard'!$A$5:$A$80,0))</f>
        <v>Reserve</v>
      </c>
      <c r="D82" s="8" t="s">
        <v>1334</v>
      </c>
      <c r="E82" s="19">
        <v>3</v>
      </c>
      <c r="F82" s="19">
        <v>4</v>
      </c>
      <c r="G82" s="6">
        <v>5</v>
      </c>
      <c r="H82" s="19">
        <v>3</v>
      </c>
      <c r="I82" s="6">
        <v>3</v>
      </c>
      <c r="J82" s="9">
        <f>(E82*'Competitor Criteria'!$F$20+F82*'Competitor Criteria'!$F$21+G82*'Competitor Criteria'!$F$22+H82*'Competitor Criteria'!$F$23+I82*'Competitor Criteria'!$F$24)/(5*'Competitor Criteria'!$F$25)*100+E82/1000</f>
        <v>71.003</v>
      </c>
      <c r="K82" s="6">
        <f t="shared" si="6"/>
        <v>3</v>
      </c>
      <c r="L82" s="8" t="str">
        <f t="shared" si="7"/>
        <v>Alternate</v>
      </c>
      <c r="M82" s="10" t="str">
        <f t="shared" si="8"/>
        <v>P12|Alternate</v>
      </c>
    </row>
    <row r="83" spans="1:14" ht="26.4" x14ac:dyDescent="0.3">
      <c r="A83" s="6" t="s">
        <v>787</v>
      </c>
      <c r="B83" s="10" t="s">
        <v>328</v>
      </c>
      <c r="C83" s="6" t="str">
        <f>INDEX('Path Scorecard'!$AB$5:$AB$80,MATCH($A83,'Path Scorecard'!$A$5:$A$80,0))</f>
        <v>Reserve</v>
      </c>
      <c r="D83" s="8" t="s">
        <v>1325</v>
      </c>
      <c r="E83" s="19">
        <v>5</v>
      </c>
      <c r="F83" s="19">
        <v>5</v>
      </c>
      <c r="G83" s="6">
        <v>4</v>
      </c>
      <c r="H83" s="19">
        <v>4</v>
      </c>
      <c r="I83" s="6">
        <v>4</v>
      </c>
      <c r="J83" s="9">
        <f>(E83*'Competitor Criteria'!$F$20+F83*'Competitor Criteria'!$F$21+G83*'Competitor Criteria'!$F$22+H83*'Competitor Criteria'!$F$23+I83*'Competitor Criteria'!$F$24)/(5*'Competitor Criteria'!$F$25)*100+E83/1000</f>
        <v>90.004999999999995</v>
      </c>
      <c r="K83" s="6">
        <f t="shared" si="6"/>
        <v>1</v>
      </c>
      <c r="L83" s="8" t="str">
        <f t="shared" si="7"/>
        <v>Secondary 1</v>
      </c>
      <c r="M83" s="10" t="str">
        <f t="shared" si="8"/>
        <v>P14|Secondary 1</v>
      </c>
      <c r="N83" s="10" t="s">
        <v>330</v>
      </c>
    </row>
    <row r="84" spans="1:14" x14ac:dyDescent="0.3">
      <c r="A84" s="6" t="s">
        <v>787</v>
      </c>
      <c r="B84" s="10" t="s">
        <v>328</v>
      </c>
      <c r="C84" s="6" t="str">
        <f>INDEX('Path Scorecard'!$AB$5:$AB$80,MATCH($A84,'Path Scorecard'!$A$5:$A$80,0))</f>
        <v>Reserve</v>
      </c>
      <c r="D84" s="8" t="s">
        <v>1347</v>
      </c>
      <c r="E84" s="19">
        <v>4</v>
      </c>
      <c r="F84" s="19">
        <v>5</v>
      </c>
      <c r="G84" s="6">
        <v>5</v>
      </c>
      <c r="H84" s="19">
        <v>3</v>
      </c>
      <c r="I84" s="6">
        <v>3</v>
      </c>
      <c r="J84" s="9">
        <f>(E84*'Competitor Criteria'!$F$20+F84*'Competitor Criteria'!$F$21+G84*'Competitor Criteria'!$F$22+H84*'Competitor Criteria'!$F$23+I84*'Competitor Criteria'!$F$24)/(5*'Competitor Criteria'!$F$25)*100+E84/1000</f>
        <v>81.004000000000005</v>
      </c>
      <c r="K84" s="6">
        <f t="shared" si="6"/>
        <v>2</v>
      </c>
      <c r="L84" s="8" t="str">
        <f t="shared" si="7"/>
        <v>Secondary 2</v>
      </c>
      <c r="M84" s="10" t="str">
        <f t="shared" si="8"/>
        <v>P14|Secondary 2</v>
      </c>
    </row>
    <row r="85" spans="1:14" x14ac:dyDescent="0.3">
      <c r="A85" s="6" t="s">
        <v>787</v>
      </c>
      <c r="B85" s="10" t="s">
        <v>328</v>
      </c>
      <c r="C85" s="6" t="str">
        <f>INDEX('Path Scorecard'!$AB$5:$AB$80,MATCH($A85,'Path Scorecard'!$A$5:$A$80,0))</f>
        <v>Reserve</v>
      </c>
      <c r="D85" s="8" t="s">
        <v>1326</v>
      </c>
      <c r="E85" s="19">
        <v>3</v>
      </c>
      <c r="F85" s="19">
        <v>5</v>
      </c>
      <c r="G85" s="6">
        <v>4</v>
      </c>
      <c r="H85" s="19">
        <v>4</v>
      </c>
      <c r="I85" s="6">
        <v>3</v>
      </c>
      <c r="J85" s="9">
        <f>(E85*'Competitor Criteria'!$F$20+F85*'Competitor Criteria'!$F$21+G85*'Competitor Criteria'!$F$22+H85*'Competitor Criteria'!$F$23+I85*'Competitor Criteria'!$F$24)/(5*'Competitor Criteria'!$F$25)*100+E85/1000</f>
        <v>77.003</v>
      </c>
      <c r="K85" s="6">
        <f t="shared" si="6"/>
        <v>3</v>
      </c>
      <c r="L85" s="8" t="str">
        <f t="shared" si="7"/>
        <v>Alternate</v>
      </c>
      <c r="M85" s="10" t="str">
        <f t="shared" si="8"/>
        <v>P14|Alternate</v>
      </c>
    </row>
    <row r="86" spans="1:14" x14ac:dyDescent="0.3">
      <c r="A86" s="6" t="s">
        <v>787</v>
      </c>
      <c r="B86" s="10" t="s">
        <v>328</v>
      </c>
      <c r="C86" s="6" t="str">
        <f>INDEX('Path Scorecard'!$AB$5:$AB$80,MATCH($A86,'Path Scorecard'!$A$5:$A$80,0))</f>
        <v>Reserve</v>
      </c>
      <c r="D86" s="8" t="s">
        <v>691</v>
      </c>
      <c r="E86" s="19">
        <v>3</v>
      </c>
      <c r="F86" s="19">
        <v>4</v>
      </c>
      <c r="G86" s="6">
        <v>4</v>
      </c>
      <c r="H86" s="19">
        <v>3</v>
      </c>
      <c r="I86" s="6">
        <v>3</v>
      </c>
      <c r="J86" s="9">
        <f>(E86*'Competitor Criteria'!$F$20+F86*'Competitor Criteria'!$F$21+G86*'Competitor Criteria'!$F$22+H86*'Competitor Criteria'!$F$23+I86*'Competitor Criteria'!$F$24)/(5*'Competitor Criteria'!$F$25)*100+E86/1000</f>
        <v>68.003</v>
      </c>
      <c r="K86" s="6">
        <f t="shared" si="6"/>
        <v>4</v>
      </c>
      <c r="L86" s="8" t="str">
        <f t="shared" si="7"/>
        <v>Alternate</v>
      </c>
      <c r="M86" s="10" t="str">
        <f t="shared" si="8"/>
        <v>P14|Alternate</v>
      </c>
    </row>
    <row r="87" spans="1:14" x14ac:dyDescent="0.3">
      <c r="A87" s="6" t="s">
        <v>963</v>
      </c>
      <c r="B87" s="10" t="s">
        <v>339</v>
      </c>
      <c r="C87" s="6" t="str">
        <f>INDEX('Path Scorecard'!$AB$5:$AB$80,MATCH($A87,'Path Scorecard'!$A$5:$A$80,0))</f>
        <v>Reserve</v>
      </c>
      <c r="D87" s="8" t="s">
        <v>691</v>
      </c>
      <c r="E87" s="19">
        <v>5</v>
      </c>
      <c r="F87" s="19">
        <v>4</v>
      </c>
      <c r="G87" s="6">
        <v>4</v>
      </c>
      <c r="H87" s="19">
        <v>3</v>
      </c>
      <c r="I87" s="6">
        <v>3</v>
      </c>
      <c r="J87" s="9">
        <f>(E87*'Competitor Criteria'!$F$20+F87*'Competitor Criteria'!$F$21+G87*'Competitor Criteria'!$F$22+H87*'Competitor Criteria'!$F$23+I87*'Competitor Criteria'!$F$24)/(5*'Competitor Criteria'!$F$25)*100+E87/1000</f>
        <v>78.004999999999995</v>
      </c>
      <c r="K87" s="6">
        <f t="shared" si="6"/>
        <v>1</v>
      </c>
      <c r="L87" s="8" t="str">
        <f t="shared" si="7"/>
        <v>Secondary 1</v>
      </c>
      <c r="M87" s="10" t="str">
        <f t="shared" si="8"/>
        <v>P15|Secondary 1</v>
      </c>
      <c r="N87" s="10" t="s">
        <v>341</v>
      </c>
    </row>
    <row r="88" spans="1:14" x14ac:dyDescent="0.3">
      <c r="A88" s="6" t="s">
        <v>963</v>
      </c>
      <c r="B88" s="10" t="s">
        <v>339</v>
      </c>
      <c r="C88" s="6" t="str">
        <f>INDEX('Path Scorecard'!$AB$5:$AB$80,MATCH($A88,'Path Scorecard'!$A$5:$A$80,0))</f>
        <v>Reserve</v>
      </c>
      <c r="D88" s="8" t="s">
        <v>1344</v>
      </c>
      <c r="E88" s="19">
        <v>3</v>
      </c>
      <c r="F88" s="19">
        <v>5</v>
      </c>
      <c r="G88" s="6">
        <v>5</v>
      </c>
      <c r="H88" s="19">
        <v>3</v>
      </c>
      <c r="I88" s="6">
        <v>3</v>
      </c>
      <c r="J88" s="9">
        <f>(E88*'Competitor Criteria'!$F$20+F88*'Competitor Criteria'!$F$21+G88*'Competitor Criteria'!$F$22+H88*'Competitor Criteria'!$F$23+I88*'Competitor Criteria'!$F$24)/(5*'Competitor Criteria'!$F$25)*100+E88/1000</f>
        <v>76.003</v>
      </c>
      <c r="K88" s="6">
        <f t="shared" si="6"/>
        <v>2</v>
      </c>
      <c r="L88" s="8" t="str">
        <f t="shared" si="7"/>
        <v>Secondary 2</v>
      </c>
      <c r="M88" s="10" t="str">
        <f t="shared" si="8"/>
        <v>P15|Secondary 2</v>
      </c>
    </row>
    <row r="89" spans="1:14" x14ac:dyDescent="0.3">
      <c r="A89" s="6" t="s">
        <v>963</v>
      </c>
      <c r="B89" s="10" t="s">
        <v>339</v>
      </c>
      <c r="C89" s="6" t="str">
        <f>INDEX('Path Scorecard'!$AB$5:$AB$80,MATCH($A89,'Path Scorecard'!$A$5:$A$80,0))</f>
        <v>Reserve</v>
      </c>
      <c r="D89" s="8" t="s">
        <v>1351</v>
      </c>
      <c r="E89" s="19">
        <v>3</v>
      </c>
      <c r="F89" s="19">
        <v>5</v>
      </c>
      <c r="G89" s="6">
        <v>5</v>
      </c>
      <c r="H89" s="19">
        <v>3</v>
      </c>
      <c r="I89" s="6">
        <v>1</v>
      </c>
      <c r="J89" s="9">
        <f>(E89*'Competitor Criteria'!$F$20+F89*'Competitor Criteria'!$F$21+G89*'Competitor Criteria'!$F$22+H89*'Competitor Criteria'!$F$23+I89*'Competitor Criteria'!$F$24)/(5*'Competitor Criteria'!$F$25)*100+E89/1000</f>
        <v>70.003</v>
      </c>
      <c r="K89" s="6">
        <f t="shared" si="6"/>
        <v>3</v>
      </c>
      <c r="L89" s="8" t="str">
        <f t="shared" si="7"/>
        <v>Alternate</v>
      </c>
      <c r="M89" s="10" t="str">
        <f t="shared" si="8"/>
        <v>P15|Alternate</v>
      </c>
    </row>
    <row r="90" spans="1:14" x14ac:dyDescent="0.3">
      <c r="A90" s="6" t="s">
        <v>1096</v>
      </c>
      <c r="B90" s="10" t="s">
        <v>350</v>
      </c>
      <c r="C90" s="6" t="str">
        <f>INDEX('Path Scorecard'!$AB$5:$AB$80,MATCH($A90,'Path Scorecard'!$A$5:$A$80,0))</f>
        <v>Reserve</v>
      </c>
      <c r="D90" s="8" t="s">
        <v>1359</v>
      </c>
      <c r="E90" s="19">
        <v>5</v>
      </c>
      <c r="F90" s="19">
        <v>5</v>
      </c>
      <c r="G90" s="6">
        <v>5</v>
      </c>
      <c r="H90" s="19">
        <v>3</v>
      </c>
      <c r="I90" s="6">
        <v>5</v>
      </c>
      <c r="J90" s="9">
        <f>(E90*'Competitor Criteria'!$F$20+F90*'Competitor Criteria'!$F$21+G90*'Competitor Criteria'!$F$22+H90*'Competitor Criteria'!$F$23+I90*'Competitor Criteria'!$F$24)/(5*'Competitor Criteria'!$F$25)*100+E90/1000</f>
        <v>92.004999999999995</v>
      </c>
      <c r="K90" s="6">
        <f t="shared" si="6"/>
        <v>1</v>
      </c>
      <c r="L90" s="8" t="str">
        <f t="shared" si="7"/>
        <v>Secondary 1</v>
      </c>
      <c r="M90" s="10" t="str">
        <f t="shared" si="8"/>
        <v>P49|Secondary 1</v>
      </c>
      <c r="N90" s="10" t="s">
        <v>352</v>
      </c>
    </row>
    <row r="91" spans="1:14" x14ac:dyDescent="0.3">
      <c r="A91" s="6" t="s">
        <v>1096</v>
      </c>
      <c r="B91" s="10" t="s">
        <v>350</v>
      </c>
      <c r="C91" s="6" t="str">
        <f>INDEX('Path Scorecard'!$AB$5:$AB$80,MATCH($A91,'Path Scorecard'!$A$5:$A$80,0))</f>
        <v>Reserve</v>
      </c>
      <c r="D91" s="8" t="s">
        <v>1344</v>
      </c>
      <c r="E91" s="19">
        <v>3</v>
      </c>
      <c r="F91" s="19">
        <v>5</v>
      </c>
      <c r="G91" s="6">
        <v>5</v>
      </c>
      <c r="H91" s="19">
        <v>3</v>
      </c>
      <c r="I91" s="6">
        <v>3</v>
      </c>
      <c r="J91" s="9">
        <f>(E91*'Competitor Criteria'!$F$20+F91*'Competitor Criteria'!$F$21+G91*'Competitor Criteria'!$F$22+H91*'Competitor Criteria'!$F$23+I91*'Competitor Criteria'!$F$24)/(5*'Competitor Criteria'!$F$25)*100+E91/1000</f>
        <v>76.003</v>
      </c>
      <c r="K91" s="6">
        <f t="shared" si="6"/>
        <v>2</v>
      </c>
      <c r="L91" s="8" t="str">
        <f t="shared" si="7"/>
        <v>Secondary 2</v>
      </c>
      <c r="M91" s="10" t="str">
        <f t="shared" si="8"/>
        <v>P49|Secondary 2</v>
      </c>
    </row>
    <row r="92" spans="1:14" x14ac:dyDescent="0.3">
      <c r="A92" s="6" t="s">
        <v>1096</v>
      </c>
      <c r="B92" s="10" t="s">
        <v>350</v>
      </c>
      <c r="C92" s="6" t="str">
        <f>INDEX('Path Scorecard'!$AB$5:$AB$80,MATCH($A92,'Path Scorecard'!$A$5:$A$80,0))</f>
        <v>Reserve</v>
      </c>
      <c r="D92" s="8" t="s">
        <v>1352</v>
      </c>
      <c r="E92" s="19">
        <v>3</v>
      </c>
      <c r="F92" s="19">
        <v>4</v>
      </c>
      <c r="G92" s="6">
        <v>5</v>
      </c>
      <c r="H92" s="19">
        <v>2</v>
      </c>
      <c r="I92" s="6">
        <v>3</v>
      </c>
      <c r="J92" s="9">
        <f>(E92*'Competitor Criteria'!$F$20+F92*'Competitor Criteria'!$F$21+G92*'Competitor Criteria'!$F$22+H92*'Competitor Criteria'!$F$23+I92*'Competitor Criteria'!$F$24)/(5*'Competitor Criteria'!$F$25)*100+E92/1000</f>
        <v>67.003</v>
      </c>
      <c r="K92" s="6">
        <f t="shared" si="6"/>
        <v>3</v>
      </c>
      <c r="L92" s="8" t="str">
        <f t="shared" si="7"/>
        <v>Alternate</v>
      </c>
      <c r="M92" s="10" t="str">
        <f t="shared" si="8"/>
        <v>P49|Alternate</v>
      </c>
    </row>
    <row r="93" spans="1:14" ht="26.4" x14ac:dyDescent="0.3">
      <c r="A93" s="6" t="s">
        <v>1108</v>
      </c>
      <c r="B93" s="10" t="s">
        <v>361</v>
      </c>
      <c r="C93" s="6" t="str">
        <f>INDEX('Path Scorecard'!$AB$5:$AB$80,MATCH($A93,'Path Scorecard'!$A$5:$A$80,0))</f>
        <v>Reserve</v>
      </c>
      <c r="D93" s="8" t="s">
        <v>677</v>
      </c>
      <c r="E93" s="19">
        <v>5</v>
      </c>
      <c r="F93" s="19">
        <v>5</v>
      </c>
      <c r="G93" s="6">
        <v>5</v>
      </c>
      <c r="H93" s="19">
        <v>4</v>
      </c>
      <c r="I93" s="6">
        <v>4</v>
      </c>
      <c r="J93" s="9">
        <f>(E93*'Competitor Criteria'!$F$20+F93*'Competitor Criteria'!$F$21+G93*'Competitor Criteria'!$F$22+H93*'Competitor Criteria'!$F$23+I93*'Competitor Criteria'!$F$24)/(5*'Competitor Criteria'!$F$25)*100+E93/1000</f>
        <v>93.004999999999995</v>
      </c>
      <c r="K93" s="6">
        <f t="shared" si="6"/>
        <v>1</v>
      </c>
      <c r="L93" s="8" t="str">
        <f t="shared" si="7"/>
        <v>Secondary 1</v>
      </c>
      <c r="M93" s="10" t="str">
        <f t="shared" si="8"/>
        <v>P52|Secondary 1</v>
      </c>
      <c r="N93" s="10" t="s">
        <v>363</v>
      </c>
    </row>
    <row r="94" spans="1:14" ht="26.4" x14ac:dyDescent="0.3">
      <c r="A94" s="6" t="s">
        <v>1108</v>
      </c>
      <c r="B94" s="10" t="s">
        <v>361</v>
      </c>
      <c r="C94" s="6" t="str">
        <f>INDEX('Path Scorecard'!$AB$5:$AB$80,MATCH($A94,'Path Scorecard'!$A$5:$A$80,0))</f>
        <v>Reserve</v>
      </c>
      <c r="D94" s="8" t="s">
        <v>1330</v>
      </c>
      <c r="E94" s="19">
        <v>4</v>
      </c>
      <c r="F94" s="19">
        <v>4</v>
      </c>
      <c r="G94" s="6">
        <v>4</v>
      </c>
      <c r="H94" s="19">
        <v>3</v>
      </c>
      <c r="I94" s="6">
        <v>3</v>
      </c>
      <c r="J94" s="9">
        <f>(E94*'Competitor Criteria'!$F$20+F94*'Competitor Criteria'!$F$21+G94*'Competitor Criteria'!$F$22+H94*'Competitor Criteria'!$F$23+I94*'Competitor Criteria'!$F$24)/(5*'Competitor Criteria'!$F$25)*100+E94/1000</f>
        <v>73.004000000000005</v>
      </c>
      <c r="K94" s="6">
        <f t="shared" si="6"/>
        <v>2</v>
      </c>
      <c r="L94" s="8" t="str">
        <f t="shared" si="7"/>
        <v>Secondary 2</v>
      </c>
      <c r="M94" s="10" t="str">
        <f t="shared" si="8"/>
        <v>P52|Secondary 2</v>
      </c>
    </row>
    <row r="95" spans="1:14" ht="26.4" x14ac:dyDescent="0.3">
      <c r="A95" s="6" t="s">
        <v>1108</v>
      </c>
      <c r="B95" s="10" t="s">
        <v>361</v>
      </c>
      <c r="C95" s="6" t="str">
        <f>INDEX('Path Scorecard'!$AB$5:$AB$80,MATCH($A95,'Path Scorecard'!$A$5:$A$80,0))</f>
        <v>Reserve</v>
      </c>
      <c r="D95" s="8" t="s">
        <v>1335</v>
      </c>
      <c r="E95" s="19">
        <v>2</v>
      </c>
      <c r="F95" s="19">
        <v>3</v>
      </c>
      <c r="G95" s="6">
        <v>5</v>
      </c>
      <c r="H95" s="19">
        <v>2</v>
      </c>
      <c r="I95" s="6">
        <v>4</v>
      </c>
      <c r="J95" s="9">
        <f>(E95*'Competitor Criteria'!$F$20+F95*'Competitor Criteria'!$F$21+G95*'Competitor Criteria'!$F$22+H95*'Competitor Criteria'!$F$23+I95*'Competitor Criteria'!$F$24)/(5*'Competitor Criteria'!$F$25)*100+E95/1000</f>
        <v>60.002000000000002</v>
      </c>
      <c r="K95" s="6">
        <f t="shared" si="6"/>
        <v>3</v>
      </c>
      <c r="L95" s="8" t="str">
        <f t="shared" si="7"/>
        <v>Alternate</v>
      </c>
      <c r="M95" s="10" t="str">
        <f t="shared" si="8"/>
        <v>P52|Alternate</v>
      </c>
    </row>
    <row r="96" spans="1:14" x14ac:dyDescent="0.3">
      <c r="A96" s="6" t="s">
        <v>1133</v>
      </c>
      <c r="B96" s="10" t="s">
        <v>372</v>
      </c>
      <c r="C96" s="6" t="str">
        <f>INDEX('Path Scorecard'!$AB$5:$AB$80,MATCH($A96,'Path Scorecard'!$A$5:$A$80,0))</f>
        <v>Reserve</v>
      </c>
      <c r="D96" s="8" t="s">
        <v>1338</v>
      </c>
      <c r="E96" s="19">
        <v>4</v>
      </c>
      <c r="F96" s="19">
        <v>5</v>
      </c>
      <c r="G96" s="6">
        <v>5</v>
      </c>
      <c r="H96" s="19">
        <v>3</v>
      </c>
      <c r="I96" s="6">
        <v>2</v>
      </c>
      <c r="J96" s="9">
        <f>(E96*'Competitor Criteria'!$F$20+F96*'Competitor Criteria'!$F$21+G96*'Competitor Criteria'!$F$22+H96*'Competitor Criteria'!$F$23+I96*'Competitor Criteria'!$F$24)/(5*'Competitor Criteria'!$F$25)*100+E96/1000</f>
        <v>78.004000000000005</v>
      </c>
      <c r="K96" s="6">
        <f t="shared" si="6"/>
        <v>1</v>
      </c>
      <c r="L96" s="8" t="str">
        <f t="shared" si="7"/>
        <v>Secondary 1</v>
      </c>
      <c r="M96" s="10" t="str">
        <f t="shared" si="8"/>
        <v>P57|Secondary 1</v>
      </c>
      <c r="N96" s="10" t="s">
        <v>374</v>
      </c>
    </row>
    <row r="97" spans="1:13" x14ac:dyDescent="0.3">
      <c r="A97" s="6" t="s">
        <v>1133</v>
      </c>
      <c r="B97" s="10" t="s">
        <v>372</v>
      </c>
      <c r="C97" s="6" t="str">
        <f>INDEX('Path Scorecard'!$AB$5:$AB$80,MATCH($A97,'Path Scorecard'!$A$5:$A$80,0))</f>
        <v>Reserve</v>
      </c>
      <c r="D97" s="8" t="s">
        <v>1337</v>
      </c>
      <c r="E97" s="19">
        <v>4</v>
      </c>
      <c r="F97" s="19">
        <v>5</v>
      </c>
      <c r="G97" s="6">
        <v>5</v>
      </c>
      <c r="H97" s="19">
        <v>3</v>
      </c>
      <c r="I97" s="6">
        <v>1</v>
      </c>
      <c r="J97" s="9">
        <f>(E97*'Competitor Criteria'!$F$20+F97*'Competitor Criteria'!$F$21+G97*'Competitor Criteria'!$F$22+H97*'Competitor Criteria'!$F$23+I97*'Competitor Criteria'!$F$24)/(5*'Competitor Criteria'!$F$25)*100+E97/1000</f>
        <v>75.004000000000005</v>
      </c>
      <c r="K97" s="6">
        <f t="shared" si="6"/>
        <v>2</v>
      </c>
      <c r="L97" s="8" t="str">
        <f t="shared" si="7"/>
        <v>Secondary 2</v>
      </c>
      <c r="M97" s="10" t="str">
        <f t="shared" si="8"/>
        <v>P57|Secondary 2</v>
      </c>
    </row>
    <row r="98" spans="1:13" x14ac:dyDescent="0.3">
      <c r="A98" s="6" t="s">
        <v>1133</v>
      </c>
      <c r="B98" s="10" t="s">
        <v>372</v>
      </c>
      <c r="C98" s="6" t="str">
        <f>INDEX('Path Scorecard'!$AB$5:$AB$80,MATCH($A98,'Path Scorecard'!$A$5:$A$80,0))</f>
        <v>Reserve</v>
      </c>
      <c r="D98" s="8" t="s">
        <v>1339</v>
      </c>
      <c r="E98" s="19">
        <v>4</v>
      </c>
      <c r="F98" s="19">
        <v>4</v>
      </c>
      <c r="G98" s="6">
        <v>5</v>
      </c>
      <c r="H98" s="19">
        <v>3</v>
      </c>
      <c r="I98" s="6">
        <v>1</v>
      </c>
      <c r="J98" s="9">
        <f>(E98*'Competitor Criteria'!$F$20+F98*'Competitor Criteria'!$F$21+G98*'Competitor Criteria'!$F$22+H98*'Competitor Criteria'!$F$23+I98*'Competitor Criteria'!$F$24)/(5*'Competitor Criteria'!$F$25)*100+E98/1000</f>
        <v>70.004000000000005</v>
      </c>
      <c r="K98" s="6">
        <f t="shared" si="6"/>
        <v>3</v>
      </c>
      <c r="L98" s="8" t="str">
        <f t="shared" si="7"/>
        <v>Alternate</v>
      </c>
      <c r="M98" s="10" t="str">
        <f t="shared" si="8"/>
        <v>P57|Alternate</v>
      </c>
    </row>
  </sheetData>
  <autoFilter ref="A4:N98" xr:uid="{00000000-0009-0000-0000-00000A000000}"/>
  <conditionalFormatting sqref="A5:N98">
    <cfRule type="expression" dxfId="9" priority="1">
      <formula>LEFT($L5,7)="Primary"</formula>
    </cfRule>
    <cfRule type="expression" dxfId="8" priority="2">
      <formula>LEFT($L5,9)="Secondary"</formula>
    </cfRule>
  </conditionalFormatting>
  <dataValidations count="1">
    <dataValidation type="whole" showErrorMessage="1" sqref="E5:E98 F5:F98 H5:H98" xr:uid="{00000000-0002-0000-0A00-000000000000}">
      <formula1>1</formula1>
      <formula2>5</formula2>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6A6A6"/>
  </sheetPr>
  <dimension ref="A1:K50"/>
  <sheetViews>
    <sheetView showGridLines="0" workbookViewId="0">
      <pane xSplit="1" ySplit="4" topLeftCell="B5" activePane="bottomRight" state="frozen"/>
      <selection pane="topRight"/>
      <selection pane="bottomLeft"/>
      <selection pane="bottomRight"/>
    </sheetView>
  </sheetViews>
  <sheetFormatPr defaultRowHeight="14.4" x14ac:dyDescent="0.3"/>
  <cols>
    <col min="1" max="1" width="24" customWidth="1"/>
    <col min="2" max="2" width="10" customWidth="1"/>
    <col min="3" max="3" width="30" customWidth="1"/>
    <col min="4" max="4" width="52" customWidth="1"/>
    <col min="5" max="5" width="30" customWidth="1"/>
    <col min="6" max="7" width="12" customWidth="1"/>
    <col min="8" max="8" width="32" customWidth="1"/>
    <col min="9" max="9" width="48" customWidth="1"/>
    <col min="10" max="10" width="40" customWidth="1"/>
    <col min="11" max="11" width="12" customWidth="1"/>
  </cols>
  <sheetData>
    <row r="1" spans="1:11" ht="21" x14ac:dyDescent="0.4">
      <c r="A1" s="1" t="s">
        <v>1360</v>
      </c>
    </row>
    <row r="2" spans="1:11" x14ac:dyDescent="0.3">
      <c r="A2" s="2" t="s">
        <v>1361</v>
      </c>
    </row>
    <row r="4" spans="1:11" ht="30" customHeight="1" x14ac:dyDescent="0.3">
      <c r="A4" s="5" t="s">
        <v>1302</v>
      </c>
      <c r="B4" s="5" t="s">
        <v>614</v>
      </c>
      <c r="C4" s="5" t="s">
        <v>1362</v>
      </c>
      <c r="D4" s="5" t="s">
        <v>1363</v>
      </c>
      <c r="E4" s="5" t="s">
        <v>1364</v>
      </c>
      <c r="F4" s="5" t="s">
        <v>1365</v>
      </c>
      <c r="G4" s="5" t="s">
        <v>1366</v>
      </c>
      <c r="H4" s="5" t="s">
        <v>1367</v>
      </c>
      <c r="I4" s="5" t="s">
        <v>1368</v>
      </c>
      <c r="J4" s="5" t="s">
        <v>1369</v>
      </c>
      <c r="K4" s="5" t="s">
        <v>1370</v>
      </c>
    </row>
    <row r="5" spans="1:11" ht="60" customHeight="1" x14ac:dyDescent="0.3">
      <c r="A5" s="8" t="s">
        <v>669</v>
      </c>
      <c r="B5" s="27" t="s">
        <v>617</v>
      </c>
      <c r="C5" s="10" t="s">
        <v>1371</v>
      </c>
      <c r="D5" s="10" t="s">
        <v>1372</v>
      </c>
      <c r="E5" s="10" t="s">
        <v>1373</v>
      </c>
      <c r="F5" s="6">
        <v>5</v>
      </c>
      <c r="G5" s="6">
        <v>3</v>
      </c>
      <c r="H5" s="10" t="s">
        <v>1374</v>
      </c>
      <c r="I5" s="10" t="s">
        <v>1375</v>
      </c>
      <c r="J5" s="10" t="s">
        <v>1376</v>
      </c>
      <c r="K5" s="6" t="s">
        <v>1238</v>
      </c>
    </row>
    <row r="6" spans="1:11" ht="60" customHeight="1" x14ac:dyDescent="0.3">
      <c r="A6" s="8" t="s">
        <v>1315</v>
      </c>
      <c r="B6" s="27" t="s">
        <v>617</v>
      </c>
      <c r="C6" s="10" t="s">
        <v>1377</v>
      </c>
      <c r="D6" s="10" t="s">
        <v>1378</v>
      </c>
      <c r="E6" s="10" t="s">
        <v>1379</v>
      </c>
      <c r="F6" s="6">
        <v>3</v>
      </c>
      <c r="G6" s="6">
        <v>4</v>
      </c>
      <c r="H6" s="10" t="s">
        <v>1380</v>
      </c>
      <c r="I6" s="10" t="s">
        <v>1381</v>
      </c>
      <c r="J6" s="10" t="s">
        <v>1382</v>
      </c>
      <c r="K6" s="6" t="s">
        <v>1238</v>
      </c>
    </row>
    <row r="7" spans="1:11" ht="60" customHeight="1" x14ac:dyDescent="0.3">
      <c r="A7" s="8" t="s">
        <v>1314</v>
      </c>
      <c r="B7" s="27" t="s">
        <v>617</v>
      </c>
      <c r="C7" s="10" t="s">
        <v>1383</v>
      </c>
      <c r="D7" s="10" t="s">
        <v>1384</v>
      </c>
      <c r="E7" s="10" t="s">
        <v>1385</v>
      </c>
      <c r="F7" s="6">
        <v>4</v>
      </c>
      <c r="G7" s="6">
        <v>2</v>
      </c>
      <c r="H7" s="10" t="s">
        <v>1386</v>
      </c>
      <c r="I7" s="10" t="s">
        <v>1387</v>
      </c>
      <c r="J7" s="10" t="s">
        <v>1388</v>
      </c>
      <c r="K7" s="6" t="s">
        <v>1238</v>
      </c>
    </row>
    <row r="8" spans="1:11" ht="60" customHeight="1" x14ac:dyDescent="0.3">
      <c r="A8" s="8" t="s">
        <v>1312</v>
      </c>
      <c r="B8" s="27" t="s">
        <v>617</v>
      </c>
      <c r="C8" s="10" t="s">
        <v>1389</v>
      </c>
      <c r="D8" s="10" t="s">
        <v>1390</v>
      </c>
      <c r="E8" s="10" t="s">
        <v>1391</v>
      </c>
      <c r="F8" s="6">
        <v>3</v>
      </c>
      <c r="G8" s="6">
        <v>3</v>
      </c>
      <c r="H8" s="10" t="s">
        <v>1392</v>
      </c>
      <c r="I8" s="10" t="s">
        <v>1393</v>
      </c>
      <c r="J8" s="10" t="s">
        <v>1394</v>
      </c>
      <c r="K8" s="6" t="s">
        <v>1238</v>
      </c>
    </row>
    <row r="9" spans="1:11" ht="60" customHeight="1" x14ac:dyDescent="0.3">
      <c r="A9" s="8" t="s">
        <v>1316</v>
      </c>
      <c r="B9" s="27" t="s">
        <v>617</v>
      </c>
      <c r="C9" s="10" t="s">
        <v>1395</v>
      </c>
      <c r="D9" s="10" t="s">
        <v>1396</v>
      </c>
      <c r="E9" s="10" t="s">
        <v>1397</v>
      </c>
      <c r="F9" s="6">
        <v>2</v>
      </c>
      <c r="G9" s="6">
        <v>4</v>
      </c>
      <c r="H9" s="10" t="s">
        <v>1398</v>
      </c>
      <c r="I9" s="10" t="s">
        <v>1399</v>
      </c>
      <c r="J9" s="10" t="s">
        <v>1400</v>
      </c>
      <c r="K9" s="6" t="s">
        <v>1238</v>
      </c>
    </row>
    <row r="10" spans="1:11" ht="60" customHeight="1" x14ac:dyDescent="0.3">
      <c r="A10" s="8" t="s">
        <v>1313</v>
      </c>
      <c r="B10" s="27" t="s">
        <v>617</v>
      </c>
      <c r="C10" s="10" t="s">
        <v>1401</v>
      </c>
      <c r="D10" s="10" t="s">
        <v>1402</v>
      </c>
      <c r="E10" s="10" t="s">
        <v>1403</v>
      </c>
      <c r="F10" s="6">
        <v>5</v>
      </c>
      <c r="G10" s="6">
        <v>2</v>
      </c>
      <c r="H10" s="10" t="s">
        <v>1404</v>
      </c>
      <c r="I10" s="10" t="s">
        <v>1405</v>
      </c>
      <c r="J10" s="10" t="s">
        <v>1406</v>
      </c>
      <c r="K10" s="6" t="s">
        <v>1249</v>
      </c>
    </row>
    <row r="11" spans="1:11" ht="60" customHeight="1" x14ac:dyDescent="0.3">
      <c r="A11" s="8" t="s">
        <v>640</v>
      </c>
      <c r="B11" s="27" t="s">
        <v>617</v>
      </c>
      <c r="C11" s="10" t="s">
        <v>1407</v>
      </c>
      <c r="D11" s="10" t="s">
        <v>1408</v>
      </c>
      <c r="E11" s="10" t="s">
        <v>1409</v>
      </c>
      <c r="F11" s="6">
        <v>3</v>
      </c>
      <c r="G11" s="6">
        <v>4</v>
      </c>
      <c r="H11" s="10" t="s">
        <v>1410</v>
      </c>
      <c r="I11" s="10" t="s">
        <v>1411</v>
      </c>
      <c r="J11" s="10" t="s">
        <v>1412</v>
      </c>
      <c r="K11" s="6" t="s">
        <v>1238</v>
      </c>
    </row>
    <row r="12" spans="1:11" ht="60" customHeight="1" x14ac:dyDescent="0.3">
      <c r="A12" s="8" t="s">
        <v>1344</v>
      </c>
      <c r="B12" s="28" t="s">
        <v>620</v>
      </c>
      <c r="C12" s="10" t="s">
        <v>1413</v>
      </c>
      <c r="D12" s="10" t="s">
        <v>1414</v>
      </c>
      <c r="E12" s="10" t="s">
        <v>1415</v>
      </c>
      <c r="F12" s="6">
        <v>3</v>
      </c>
      <c r="G12" s="6">
        <v>5</v>
      </c>
      <c r="H12" s="10" t="s">
        <v>1416</v>
      </c>
      <c r="I12" s="10" t="s">
        <v>1417</v>
      </c>
      <c r="J12" s="10" t="s">
        <v>1418</v>
      </c>
      <c r="K12" s="6" t="s">
        <v>1238</v>
      </c>
    </row>
    <row r="13" spans="1:11" ht="60" customHeight="1" x14ac:dyDescent="0.3">
      <c r="A13" s="8" t="s">
        <v>1338</v>
      </c>
      <c r="B13" s="28" t="s">
        <v>620</v>
      </c>
      <c r="C13" s="10" t="s">
        <v>1419</v>
      </c>
      <c r="D13" s="10" t="s">
        <v>1420</v>
      </c>
      <c r="E13" s="10" t="s">
        <v>1421</v>
      </c>
      <c r="F13" s="6">
        <v>2</v>
      </c>
      <c r="G13" s="6">
        <v>5</v>
      </c>
      <c r="H13" s="10" t="s">
        <v>1416</v>
      </c>
      <c r="I13" s="10" t="s">
        <v>1422</v>
      </c>
      <c r="J13" s="10" t="s">
        <v>1423</v>
      </c>
      <c r="K13" s="6" t="s">
        <v>1238</v>
      </c>
    </row>
    <row r="14" spans="1:11" ht="60" customHeight="1" x14ac:dyDescent="0.3">
      <c r="A14" s="8" t="s">
        <v>1333</v>
      </c>
      <c r="B14" s="28" t="s">
        <v>620</v>
      </c>
      <c r="C14" s="10" t="s">
        <v>1424</v>
      </c>
      <c r="D14" s="10" t="s">
        <v>1425</v>
      </c>
      <c r="E14" s="10" t="s">
        <v>1426</v>
      </c>
      <c r="F14" s="6">
        <v>5</v>
      </c>
      <c r="G14" s="6">
        <v>5</v>
      </c>
      <c r="H14" s="10" t="s">
        <v>1416</v>
      </c>
      <c r="I14" s="10" t="s">
        <v>1427</v>
      </c>
      <c r="J14" s="10" t="s">
        <v>1428</v>
      </c>
      <c r="K14" s="6" t="s">
        <v>1238</v>
      </c>
    </row>
    <row r="15" spans="1:11" ht="60" customHeight="1" x14ac:dyDescent="0.3">
      <c r="A15" s="8" t="s">
        <v>1348</v>
      </c>
      <c r="B15" s="28" t="s">
        <v>620</v>
      </c>
      <c r="C15" s="10" t="s">
        <v>1429</v>
      </c>
      <c r="D15" s="10" t="s">
        <v>1430</v>
      </c>
      <c r="E15" s="10" t="s">
        <v>1431</v>
      </c>
      <c r="F15" s="6">
        <v>5</v>
      </c>
      <c r="G15" s="6">
        <v>4</v>
      </c>
      <c r="H15" s="10" t="s">
        <v>1416</v>
      </c>
      <c r="I15" s="10" t="s">
        <v>1432</v>
      </c>
      <c r="J15" s="10" t="s">
        <v>1433</v>
      </c>
      <c r="K15" s="6" t="s">
        <v>1238</v>
      </c>
    </row>
    <row r="16" spans="1:11" ht="60" customHeight="1" x14ac:dyDescent="0.3">
      <c r="A16" s="8" t="s">
        <v>1339</v>
      </c>
      <c r="B16" s="28" t="s">
        <v>620</v>
      </c>
      <c r="C16" s="10" t="s">
        <v>1434</v>
      </c>
      <c r="D16" s="10" t="s">
        <v>1435</v>
      </c>
      <c r="E16" s="10" t="s">
        <v>1436</v>
      </c>
      <c r="F16" s="6">
        <v>1</v>
      </c>
      <c r="G16" s="6">
        <v>5</v>
      </c>
      <c r="H16" s="10" t="s">
        <v>1416</v>
      </c>
      <c r="I16" s="10" t="s">
        <v>1437</v>
      </c>
      <c r="J16" s="10" t="s">
        <v>1438</v>
      </c>
      <c r="K16" s="6" t="s">
        <v>1249</v>
      </c>
    </row>
    <row r="17" spans="1:11" ht="60" customHeight="1" x14ac:dyDescent="0.3">
      <c r="A17" s="8" t="s">
        <v>1354</v>
      </c>
      <c r="B17" s="28" t="s">
        <v>620</v>
      </c>
      <c r="C17" s="10" t="s">
        <v>1439</v>
      </c>
      <c r="D17" s="10" t="s">
        <v>1440</v>
      </c>
      <c r="E17" s="10" t="s">
        <v>1441</v>
      </c>
      <c r="F17" s="6">
        <v>2</v>
      </c>
      <c r="G17" s="6">
        <v>5</v>
      </c>
      <c r="H17" s="10" t="s">
        <v>1416</v>
      </c>
      <c r="I17" s="10" t="s">
        <v>1442</v>
      </c>
      <c r="J17" s="10" t="s">
        <v>1443</v>
      </c>
      <c r="K17" s="6" t="s">
        <v>1249</v>
      </c>
    </row>
    <row r="18" spans="1:11" ht="60" customHeight="1" x14ac:dyDescent="0.3">
      <c r="A18" s="8" t="s">
        <v>1336</v>
      </c>
      <c r="B18" s="28" t="s">
        <v>620</v>
      </c>
      <c r="C18" s="10" t="s">
        <v>1444</v>
      </c>
      <c r="D18" s="10" t="s">
        <v>1445</v>
      </c>
      <c r="E18" s="10" t="s">
        <v>1446</v>
      </c>
      <c r="F18" s="6">
        <v>2</v>
      </c>
      <c r="G18" s="6">
        <v>5</v>
      </c>
      <c r="H18" s="10" t="s">
        <v>1416</v>
      </c>
      <c r="I18" s="10" t="s">
        <v>1447</v>
      </c>
      <c r="J18" s="10" t="s">
        <v>1448</v>
      </c>
      <c r="K18" s="6" t="s">
        <v>1238</v>
      </c>
    </row>
    <row r="19" spans="1:11" ht="60" customHeight="1" x14ac:dyDescent="0.3">
      <c r="A19" s="8" t="s">
        <v>1341</v>
      </c>
      <c r="B19" s="28" t="s">
        <v>620</v>
      </c>
      <c r="C19" s="10" t="s">
        <v>1449</v>
      </c>
      <c r="D19" s="10" t="s">
        <v>1450</v>
      </c>
      <c r="E19" s="10" t="s">
        <v>1451</v>
      </c>
      <c r="F19" s="6">
        <v>3</v>
      </c>
      <c r="G19" s="6">
        <v>5</v>
      </c>
      <c r="H19" s="10" t="s">
        <v>1416</v>
      </c>
      <c r="I19" s="10" t="s">
        <v>1452</v>
      </c>
      <c r="J19" s="10" t="s">
        <v>1453</v>
      </c>
      <c r="K19" s="6" t="s">
        <v>1238</v>
      </c>
    </row>
    <row r="20" spans="1:11" ht="60" customHeight="1" x14ac:dyDescent="0.3">
      <c r="A20" s="8" t="s">
        <v>1324</v>
      </c>
      <c r="B20" s="28" t="s">
        <v>620</v>
      </c>
      <c r="C20" s="10" t="s">
        <v>1454</v>
      </c>
      <c r="D20" s="10" t="s">
        <v>1455</v>
      </c>
      <c r="E20" s="10" t="s">
        <v>1456</v>
      </c>
      <c r="F20" s="6">
        <v>5</v>
      </c>
      <c r="G20" s="6">
        <v>4</v>
      </c>
      <c r="H20" s="10" t="s">
        <v>1416</v>
      </c>
      <c r="I20" s="10" t="s">
        <v>1457</v>
      </c>
      <c r="J20" s="10" t="s">
        <v>1458</v>
      </c>
      <c r="K20" s="6" t="s">
        <v>1238</v>
      </c>
    </row>
    <row r="21" spans="1:11" ht="60" customHeight="1" x14ac:dyDescent="0.3">
      <c r="A21" s="8" t="s">
        <v>1330</v>
      </c>
      <c r="B21" s="28" t="s">
        <v>620</v>
      </c>
      <c r="C21" s="10" t="s">
        <v>1459</v>
      </c>
      <c r="D21" s="10" t="s">
        <v>1460</v>
      </c>
      <c r="E21" s="10" t="s">
        <v>1461</v>
      </c>
      <c r="F21" s="6">
        <v>3</v>
      </c>
      <c r="G21" s="6">
        <v>4</v>
      </c>
      <c r="H21" s="10" t="s">
        <v>1416</v>
      </c>
      <c r="I21" s="10" t="s">
        <v>1462</v>
      </c>
      <c r="J21" s="10" t="s">
        <v>1463</v>
      </c>
      <c r="K21" s="6" t="s">
        <v>1249</v>
      </c>
    </row>
    <row r="22" spans="1:11" ht="60" customHeight="1" x14ac:dyDescent="0.3">
      <c r="A22" s="8" t="s">
        <v>1356</v>
      </c>
      <c r="B22" s="28" t="s">
        <v>620</v>
      </c>
      <c r="C22" s="10" t="s">
        <v>1464</v>
      </c>
      <c r="D22" s="10" t="s">
        <v>1465</v>
      </c>
      <c r="E22" s="10" t="s">
        <v>1466</v>
      </c>
      <c r="F22" s="6">
        <v>5</v>
      </c>
      <c r="G22" s="6">
        <v>5</v>
      </c>
      <c r="H22" s="10" t="s">
        <v>1416</v>
      </c>
      <c r="I22" s="10" t="s">
        <v>1467</v>
      </c>
      <c r="J22" s="10" t="s">
        <v>1428</v>
      </c>
      <c r="K22" s="6" t="s">
        <v>1238</v>
      </c>
    </row>
    <row r="23" spans="1:11" ht="60" customHeight="1" x14ac:dyDescent="0.3">
      <c r="A23" s="8" t="s">
        <v>1355</v>
      </c>
      <c r="B23" s="28" t="s">
        <v>620</v>
      </c>
      <c r="C23" s="10" t="s">
        <v>1468</v>
      </c>
      <c r="D23" s="10" t="s">
        <v>1469</v>
      </c>
      <c r="E23" s="10" t="s">
        <v>1470</v>
      </c>
      <c r="F23" s="6">
        <v>5</v>
      </c>
      <c r="G23" s="6">
        <v>5</v>
      </c>
      <c r="H23" s="10" t="s">
        <v>1416</v>
      </c>
      <c r="I23" s="10" t="s">
        <v>1471</v>
      </c>
      <c r="J23" s="10" t="s">
        <v>1428</v>
      </c>
      <c r="K23" s="6" t="s">
        <v>1238</v>
      </c>
    </row>
    <row r="24" spans="1:11" ht="60" customHeight="1" x14ac:dyDescent="0.3">
      <c r="A24" s="8" t="s">
        <v>1327</v>
      </c>
      <c r="B24" s="28" t="s">
        <v>620</v>
      </c>
      <c r="C24" s="10" t="s">
        <v>1472</v>
      </c>
      <c r="D24" s="10" t="s">
        <v>1473</v>
      </c>
      <c r="E24" s="10" t="s">
        <v>1474</v>
      </c>
      <c r="F24" s="6">
        <v>5</v>
      </c>
      <c r="G24" s="6">
        <v>5</v>
      </c>
      <c r="H24" s="10" t="s">
        <v>1416</v>
      </c>
      <c r="I24" s="10" t="s">
        <v>1475</v>
      </c>
      <c r="J24" s="10" t="s">
        <v>1476</v>
      </c>
      <c r="K24" s="6" t="s">
        <v>1238</v>
      </c>
    </row>
    <row r="25" spans="1:11" ht="60" customHeight="1" x14ac:dyDescent="0.3">
      <c r="A25" s="8" t="s">
        <v>1325</v>
      </c>
      <c r="B25" s="28" t="s">
        <v>620</v>
      </c>
      <c r="C25" s="10" t="s">
        <v>1477</v>
      </c>
      <c r="D25" s="10" t="s">
        <v>1478</v>
      </c>
      <c r="E25" s="10" t="s">
        <v>1479</v>
      </c>
      <c r="F25" s="6">
        <v>4</v>
      </c>
      <c r="G25" s="6">
        <v>4</v>
      </c>
      <c r="H25" s="10" t="s">
        <v>1480</v>
      </c>
      <c r="I25" s="10" t="s">
        <v>1481</v>
      </c>
      <c r="J25" s="10" t="s">
        <v>1482</v>
      </c>
      <c r="K25" s="6" t="s">
        <v>1238</v>
      </c>
    </row>
    <row r="26" spans="1:11" ht="60" customHeight="1" x14ac:dyDescent="0.3">
      <c r="A26" s="8" t="s">
        <v>1340</v>
      </c>
      <c r="B26" s="28" t="s">
        <v>620</v>
      </c>
      <c r="C26" s="10" t="s">
        <v>1483</v>
      </c>
      <c r="D26" s="10" t="s">
        <v>1484</v>
      </c>
      <c r="E26" s="10" t="s">
        <v>1485</v>
      </c>
      <c r="F26" s="6">
        <v>5</v>
      </c>
      <c r="G26" s="6">
        <v>5</v>
      </c>
      <c r="H26" s="10" t="s">
        <v>1416</v>
      </c>
      <c r="I26" s="10" t="s">
        <v>1486</v>
      </c>
      <c r="J26" s="10" t="s">
        <v>1428</v>
      </c>
      <c r="K26" s="6" t="s">
        <v>1238</v>
      </c>
    </row>
    <row r="27" spans="1:11" ht="60" customHeight="1" x14ac:dyDescent="0.3">
      <c r="A27" s="8" t="s">
        <v>1347</v>
      </c>
      <c r="B27" s="28" t="s">
        <v>620</v>
      </c>
      <c r="C27" s="10" t="s">
        <v>1487</v>
      </c>
      <c r="D27" s="10" t="s">
        <v>1488</v>
      </c>
      <c r="E27" s="10" t="s">
        <v>1489</v>
      </c>
      <c r="F27" s="6">
        <v>3</v>
      </c>
      <c r="G27" s="6">
        <v>5</v>
      </c>
      <c r="H27" s="10" t="s">
        <v>1416</v>
      </c>
      <c r="I27" s="10" t="s">
        <v>1490</v>
      </c>
      <c r="J27" s="10" t="s">
        <v>1491</v>
      </c>
      <c r="K27" s="6" t="s">
        <v>1238</v>
      </c>
    </row>
    <row r="28" spans="1:11" ht="60" customHeight="1" x14ac:dyDescent="0.3">
      <c r="A28" s="8" t="s">
        <v>1345</v>
      </c>
      <c r="B28" s="28" t="s">
        <v>620</v>
      </c>
      <c r="C28" s="10" t="s">
        <v>1492</v>
      </c>
      <c r="D28" s="10" t="s">
        <v>1493</v>
      </c>
      <c r="E28" s="10" t="s">
        <v>1494</v>
      </c>
      <c r="F28" s="6">
        <v>3</v>
      </c>
      <c r="G28" s="6">
        <v>4</v>
      </c>
      <c r="H28" s="10" t="s">
        <v>1416</v>
      </c>
      <c r="I28" s="10" t="s">
        <v>1495</v>
      </c>
      <c r="J28" s="10" t="s">
        <v>1496</v>
      </c>
      <c r="K28" s="6" t="s">
        <v>1238</v>
      </c>
    </row>
    <row r="29" spans="1:11" ht="60" customHeight="1" x14ac:dyDescent="0.3">
      <c r="A29" s="8" t="s">
        <v>691</v>
      </c>
      <c r="B29" s="28" t="s">
        <v>620</v>
      </c>
      <c r="C29" s="10" t="s">
        <v>1497</v>
      </c>
      <c r="D29" s="10" t="s">
        <v>1498</v>
      </c>
      <c r="E29" s="10" t="s">
        <v>1499</v>
      </c>
      <c r="F29" s="6">
        <v>3</v>
      </c>
      <c r="G29" s="6">
        <v>4</v>
      </c>
      <c r="H29" s="10" t="s">
        <v>1500</v>
      </c>
      <c r="I29" s="10" t="s">
        <v>1501</v>
      </c>
      <c r="J29" s="10" t="s">
        <v>1502</v>
      </c>
      <c r="K29" s="6" t="s">
        <v>1238</v>
      </c>
    </row>
    <row r="30" spans="1:11" ht="60" customHeight="1" x14ac:dyDescent="0.3">
      <c r="A30" s="8" t="s">
        <v>1342</v>
      </c>
      <c r="B30" s="28" t="s">
        <v>620</v>
      </c>
      <c r="C30" s="10" t="s">
        <v>1503</v>
      </c>
      <c r="D30" s="10" t="s">
        <v>1504</v>
      </c>
      <c r="E30" s="10" t="s">
        <v>1505</v>
      </c>
      <c r="F30" s="6">
        <v>4</v>
      </c>
      <c r="G30" s="6">
        <v>3</v>
      </c>
      <c r="H30" s="10" t="s">
        <v>1416</v>
      </c>
      <c r="I30" s="10" t="s">
        <v>1437</v>
      </c>
      <c r="J30" s="10" t="s">
        <v>1506</v>
      </c>
      <c r="K30" s="6" t="s">
        <v>1238</v>
      </c>
    </row>
    <row r="31" spans="1:11" ht="60" customHeight="1" x14ac:dyDescent="0.3">
      <c r="A31" s="8" t="s">
        <v>1352</v>
      </c>
      <c r="B31" s="28" t="s">
        <v>620</v>
      </c>
      <c r="C31" s="10" t="s">
        <v>1507</v>
      </c>
      <c r="D31" s="10" t="s">
        <v>1508</v>
      </c>
      <c r="E31" s="10" t="s">
        <v>1509</v>
      </c>
      <c r="F31" s="6">
        <v>3</v>
      </c>
      <c r="G31" s="6">
        <v>5</v>
      </c>
      <c r="H31" s="10" t="s">
        <v>1416</v>
      </c>
      <c r="I31" s="10" t="s">
        <v>1510</v>
      </c>
      <c r="J31" s="10" t="s">
        <v>1511</v>
      </c>
      <c r="K31" s="6" t="s">
        <v>1238</v>
      </c>
    </row>
    <row r="32" spans="1:11" ht="60" customHeight="1" x14ac:dyDescent="0.3">
      <c r="A32" s="8" t="s">
        <v>1353</v>
      </c>
      <c r="B32" s="28" t="s">
        <v>620</v>
      </c>
      <c r="C32" s="10" t="s">
        <v>1512</v>
      </c>
      <c r="D32" s="10" t="s">
        <v>1513</v>
      </c>
      <c r="E32" s="10" t="s">
        <v>1514</v>
      </c>
      <c r="F32" s="6">
        <v>5</v>
      </c>
      <c r="G32" s="6">
        <v>5</v>
      </c>
      <c r="H32" s="10" t="s">
        <v>1416</v>
      </c>
      <c r="I32" s="10" t="s">
        <v>1515</v>
      </c>
      <c r="J32" s="10" t="s">
        <v>1428</v>
      </c>
      <c r="K32" s="6" t="s">
        <v>1238</v>
      </c>
    </row>
    <row r="33" spans="1:11" ht="60" customHeight="1" x14ac:dyDescent="0.3">
      <c r="A33" s="8" t="s">
        <v>1331</v>
      </c>
      <c r="B33" s="28" t="s">
        <v>620</v>
      </c>
      <c r="C33" s="10" t="s">
        <v>1516</v>
      </c>
      <c r="D33" s="10" t="s">
        <v>1517</v>
      </c>
      <c r="E33" s="10" t="s">
        <v>1518</v>
      </c>
      <c r="F33" s="6">
        <v>2</v>
      </c>
      <c r="G33" s="6">
        <v>3</v>
      </c>
      <c r="H33" s="10" t="s">
        <v>1386</v>
      </c>
      <c r="I33" s="10" t="s">
        <v>1519</v>
      </c>
      <c r="J33" s="10" t="s">
        <v>1520</v>
      </c>
      <c r="K33" s="6" t="s">
        <v>1238</v>
      </c>
    </row>
    <row r="34" spans="1:11" ht="60" customHeight="1" x14ac:dyDescent="0.3">
      <c r="A34" s="8" t="s">
        <v>1358</v>
      </c>
      <c r="B34" s="28" t="s">
        <v>620</v>
      </c>
      <c r="C34" s="10" t="s">
        <v>1521</v>
      </c>
      <c r="D34" s="10" t="s">
        <v>1522</v>
      </c>
      <c r="E34" s="10" t="s">
        <v>1523</v>
      </c>
      <c r="F34" s="6">
        <v>5</v>
      </c>
      <c r="G34" s="6">
        <v>5</v>
      </c>
      <c r="H34" s="10" t="s">
        <v>1416</v>
      </c>
      <c r="I34" s="10" t="s">
        <v>1524</v>
      </c>
      <c r="J34" s="10" t="s">
        <v>1525</v>
      </c>
      <c r="K34" s="6" t="s">
        <v>1238</v>
      </c>
    </row>
    <row r="35" spans="1:11" ht="60" customHeight="1" x14ac:dyDescent="0.3">
      <c r="A35" s="8" t="s">
        <v>1326</v>
      </c>
      <c r="B35" s="28" t="s">
        <v>620</v>
      </c>
      <c r="C35" s="10" t="s">
        <v>1526</v>
      </c>
      <c r="D35" s="10" t="s">
        <v>1527</v>
      </c>
      <c r="E35" s="10" t="s">
        <v>1528</v>
      </c>
      <c r="F35" s="6">
        <v>3</v>
      </c>
      <c r="G35" s="6">
        <v>4</v>
      </c>
      <c r="H35" s="10" t="s">
        <v>1529</v>
      </c>
      <c r="I35" s="10" t="s">
        <v>1437</v>
      </c>
      <c r="J35" s="10" t="s">
        <v>1530</v>
      </c>
      <c r="K35" s="6" t="s">
        <v>1249</v>
      </c>
    </row>
    <row r="36" spans="1:11" ht="60" customHeight="1" x14ac:dyDescent="0.3">
      <c r="A36" s="8" t="s">
        <v>1351</v>
      </c>
      <c r="B36" s="28" t="s">
        <v>620</v>
      </c>
      <c r="C36" s="10" t="s">
        <v>1531</v>
      </c>
      <c r="D36" s="10" t="s">
        <v>1532</v>
      </c>
      <c r="E36" s="10" t="s">
        <v>1533</v>
      </c>
      <c r="F36" s="6">
        <v>1</v>
      </c>
      <c r="G36" s="6">
        <v>5</v>
      </c>
      <c r="H36" s="10" t="s">
        <v>1416</v>
      </c>
      <c r="I36" s="10" t="s">
        <v>1534</v>
      </c>
      <c r="J36" s="10" t="s">
        <v>1438</v>
      </c>
      <c r="K36" s="6" t="s">
        <v>1238</v>
      </c>
    </row>
    <row r="37" spans="1:11" ht="60" customHeight="1" x14ac:dyDescent="0.3">
      <c r="A37" s="8" t="s">
        <v>1349</v>
      </c>
      <c r="B37" s="28" t="s">
        <v>620</v>
      </c>
      <c r="C37" s="10" t="s">
        <v>1535</v>
      </c>
      <c r="D37" s="10" t="s">
        <v>1536</v>
      </c>
      <c r="E37" s="10" t="s">
        <v>1537</v>
      </c>
      <c r="F37" s="6">
        <v>1</v>
      </c>
      <c r="G37" s="6">
        <v>5</v>
      </c>
      <c r="H37" s="10" t="s">
        <v>1416</v>
      </c>
      <c r="I37" s="10" t="s">
        <v>1538</v>
      </c>
      <c r="J37" s="10" t="s">
        <v>1438</v>
      </c>
      <c r="K37" s="6" t="s">
        <v>1238</v>
      </c>
    </row>
    <row r="38" spans="1:11" ht="60" customHeight="1" x14ac:dyDescent="0.3">
      <c r="A38" s="8" t="s">
        <v>1329</v>
      </c>
      <c r="B38" s="28" t="s">
        <v>620</v>
      </c>
      <c r="C38" s="10" t="s">
        <v>1539</v>
      </c>
      <c r="D38" s="10" t="s">
        <v>1540</v>
      </c>
      <c r="E38" s="10" t="s">
        <v>1541</v>
      </c>
      <c r="F38" s="6">
        <v>1</v>
      </c>
      <c r="G38" s="6">
        <v>5</v>
      </c>
      <c r="H38" s="10" t="s">
        <v>1416</v>
      </c>
      <c r="I38" s="10" t="s">
        <v>1542</v>
      </c>
      <c r="J38" s="10" t="s">
        <v>1543</v>
      </c>
      <c r="K38" s="6" t="s">
        <v>1238</v>
      </c>
    </row>
    <row r="39" spans="1:11" ht="60" customHeight="1" x14ac:dyDescent="0.3">
      <c r="A39" s="8" t="s">
        <v>1335</v>
      </c>
      <c r="B39" s="28" t="s">
        <v>620</v>
      </c>
      <c r="C39" s="10" t="s">
        <v>1544</v>
      </c>
      <c r="D39" s="10" t="s">
        <v>1545</v>
      </c>
      <c r="E39" s="10" t="s">
        <v>1546</v>
      </c>
      <c r="F39" s="6">
        <v>4</v>
      </c>
      <c r="G39" s="6">
        <v>5</v>
      </c>
      <c r="H39" s="10" t="s">
        <v>1416</v>
      </c>
      <c r="I39" s="10" t="s">
        <v>1437</v>
      </c>
      <c r="J39" s="10" t="s">
        <v>1547</v>
      </c>
      <c r="K39" s="6" t="s">
        <v>1238</v>
      </c>
    </row>
    <row r="40" spans="1:11" ht="60" customHeight="1" x14ac:dyDescent="0.3">
      <c r="A40" s="8" t="s">
        <v>1332</v>
      </c>
      <c r="B40" s="28" t="s">
        <v>620</v>
      </c>
      <c r="C40" s="10" t="s">
        <v>1548</v>
      </c>
      <c r="D40" s="10" t="s">
        <v>1549</v>
      </c>
      <c r="E40" s="10" t="s">
        <v>1550</v>
      </c>
      <c r="F40" s="6">
        <v>2</v>
      </c>
      <c r="G40" s="6">
        <v>3</v>
      </c>
      <c r="H40" s="10" t="s">
        <v>1416</v>
      </c>
      <c r="I40" s="10" t="s">
        <v>1437</v>
      </c>
      <c r="J40" s="10" t="s">
        <v>1530</v>
      </c>
      <c r="K40" s="6" t="s">
        <v>1238</v>
      </c>
    </row>
    <row r="41" spans="1:11" ht="60" customHeight="1" x14ac:dyDescent="0.3">
      <c r="A41" s="8" t="s">
        <v>677</v>
      </c>
      <c r="B41" s="28" t="s">
        <v>620</v>
      </c>
      <c r="C41" s="10" t="s">
        <v>1551</v>
      </c>
      <c r="D41" s="10" t="s">
        <v>1552</v>
      </c>
      <c r="E41" s="10" t="s">
        <v>1553</v>
      </c>
      <c r="F41" s="6">
        <v>4</v>
      </c>
      <c r="G41" s="6">
        <v>5</v>
      </c>
      <c r="H41" s="10" t="s">
        <v>1386</v>
      </c>
      <c r="I41" s="10" t="s">
        <v>1554</v>
      </c>
      <c r="J41" s="10" t="s">
        <v>1555</v>
      </c>
      <c r="K41" s="6" t="s">
        <v>1238</v>
      </c>
    </row>
    <row r="42" spans="1:11" ht="60" customHeight="1" x14ac:dyDescent="0.3">
      <c r="A42" s="8" t="s">
        <v>1346</v>
      </c>
      <c r="B42" s="28" t="s">
        <v>620</v>
      </c>
      <c r="C42" s="10" t="s">
        <v>1556</v>
      </c>
      <c r="D42" s="10" t="s">
        <v>1557</v>
      </c>
      <c r="E42" s="10" t="s">
        <v>1558</v>
      </c>
      <c r="F42" s="6">
        <v>2</v>
      </c>
      <c r="G42" s="6">
        <v>5</v>
      </c>
      <c r="H42" s="10" t="s">
        <v>1416</v>
      </c>
      <c r="I42" s="10" t="s">
        <v>1559</v>
      </c>
      <c r="J42" s="10" t="s">
        <v>1560</v>
      </c>
      <c r="K42" s="6" t="s">
        <v>1238</v>
      </c>
    </row>
    <row r="43" spans="1:11" ht="60" customHeight="1" x14ac:dyDescent="0.3">
      <c r="A43" s="8" t="s">
        <v>1328</v>
      </c>
      <c r="B43" s="28" t="s">
        <v>620</v>
      </c>
      <c r="C43" s="10" t="s">
        <v>1561</v>
      </c>
      <c r="D43" s="10" t="s">
        <v>1562</v>
      </c>
      <c r="E43" s="10" t="s">
        <v>1563</v>
      </c>
      <c r="F43" s="6">
        <v>2</v>
      </c>
      <c r="G43" s="6">
        <v>3</v>
      </c>
      <c r="H43" s="10" t="s">
        <v>1564</v>
      </c>
      <c r="I43" s="10" t="s">
        <v>1565</v>
      </c>
      <c r="J43" s="10" t="s">
        <v>1566</v>
      </c>
      <c r="K43" s="6" t="s">
        <v>1238</v>
      </c>
    </row>
    <row r="44" spans="1:11" ht="60" customHeight="1" x14ac:dyDescent="0.3">
      <c r="A44" s="8" t="s">
        <v>1334</v>
      </c>
      <c r="B44" s="28" t="s">
        <v>620</v>
      </c>
      <c r="C44" s="10" t="s">
        <v>1567</v>
      </c>
      <c r="D44" s="10" t="s">
        <v>1568</v>
      </c>
      <c r="E44" s="10" t="s">
        <v>1569</v>
      </c>
      <c r="F44" s="6">
        <v>3</v>
      </c>
      <c r="G44" s="6">
        <v>5</v>
      </c>
      <c r="H44" s="10" t="s">
        <v>1416</v>
      </c>
      <c r="I44" s="10" t="s">
        <v>1570</v>
      </c>
      <c r="J44" s="10" t="s">
        <v>1418</v>
      </c>
      <c r="K44" s="6" t="s">
        <v>1249</v>
      </c>
    </row>
    <row r="45" spans="1:11" ht="60" customHeight="1" x14ac:dyDescent="0.3">
      <c r="A45" s="8" t="s">
        <v>1359</v>
      </c>
      <c r="B45" s="28" t="s">
        <v>620</v>
      </c>
      <c r="C45" s="10" t="s">
        <v>1571</v>
      </c>
      <c r="D45" s="10" t="s">
        <v>1572</v>
      </c>
      <c r="E45" s="10" t="s">
        <v>1573</v>
      </c>
      <c r="F45" s="6">
        <v>5</v>
      </c>
      <c r="G45" s="6">
        <v>5</v>
      </c>
      <c r="H45" s="10" t="s">
        <v>1416</v>
      </c>
      <c r="I45" s="10" t="s">
        <v>1574</v>
      </c>
      <c r="J45" s="10" t="s">
        <v>1428</v>
      </c>
      <c r="K45" s="6" t="s">
        <v>1238</v>
      </c>
    </row>
    <row r="46" spans="1:11" ht="60" customHeight="1" x14ac:dyDescent="0.3">
      <c r="A46" s="8" t="s">
        <v>1337</v>
      </c>
      <c r="B46" s="28" t="s">
        <v>620</v>
      </c>
      <c r="C46" s="10" t="s">
        <v>1575</v>
      </c>
      <c r="D46" s="10" t="s">
        <v>1576</v>
      </c>
      <c r="E46" s="10" t="s">
        <v>1577</v>
      </c>
      <c r="F46" s="6">
        <v>1</v>
      </c>
      <c r="G46" s="6">
        <v>5</v>
      </c>
      <c r="H46" s="10" t="s">
        <v>1416</v>
      </c>
      <c r="I46" s="10" t="s">
        <v>1578</v>
      </c>
      <c r="J46" s="10" t="s">
        <v>1438</v>
      </c>
      <c r="K46" s="6" t="s">
        <v>1238</v>
      </c>
    </row>
    <row r="47" spans="1:11" ht="60" customHeight="1" x14ac:dyDescent="0.3">
      <c r="A47" s="8" t="s">
        <v>1350</v>
      </c>
      <c r="B47" s="28" t="s">
        <v>620</v>
      </c>
      <c r="C47" s="10" t="s">
        <v>1579</v>
      </c>
      <c r="D47" s="10" t="s">
        <v>1580</v>
      </c>
      <c r="E47" s="10" t="s">
        <v>1581</v>
      </c>
      <c r="F47" s="6">
        <v>2</v>
      </c>
      <c r="G47" s="6">
        <v>5</v>
      </c>
      <c r="H47" s="10" t="s">
        <v>1416</v>
      </c>
      <c r="I47" s="10" t="s">
        <v>1582</v>
      </c>
      <c r="J47" s="10" t="s">
        <v>1583</v>
      </c>
      <c r="K47" s="6" t="s">
        <v>1238</v>
      </c>
    </row>
    <row r="48" spans="1:11" ht="60" customHeight="1" x14ac:dyDescent="0.3">
      <c r="A48" s="8" t="s">
        <v>1343</v>
      </c>
      <c r="B48" s="28" t="s">
        <v>620</v>
      </c>
      <c r="C48" s="10" t="s">
        <v>1584</v>
      </c>
      <c r="D48" s="10" t="s">
        <v>1585</v>
      </c>
      <c r="E48" s="10" t="s">
        <v>1586</v>
      </c>
      <c r="F48" s="6">
        <v>5</v>
      </c>
      <c r="G48" s="6">
        <v>4</v>
      </c>
      <c r="H48" s="10" t="s">
        <v>1416</v>
      </c>
      <c r="I48" s="10" t="s">
        <v>1587</v>
      </c>
      <c r="J48" s="10" t="s">
        <v>1588</v>
      </c>
      <c r="K48" s="6" t="s">
        <v>1238</v>
      </c>
    </row>
    <row r="49" spans="1:11" ht="60" customHeight="1" x14ac:dyDescent="0.3">
      <c r="A49" s="8" t="s">
        <v>1357</v>
      </c>
      <c r="B49" s="28" t="s">
        <v>620</v>
      </c>
      <c r="C49" s="10" t="s">
        <v>1589</v>
      </c>
      <c r="D49" s="10" t="s">
        <v>1590</v>
      </c>
      <c r="E49" s="10" t="s">
        <v>1591</v>
      </c>
      <c r="F49" s="6">
        <v>5</v>
      </c>
      <c r="G49" s="6">
        <v>5</v>
      </c>
      <c r="H49" s="10" t="s">
        <v>1416</v>
      </c>
      <c r="I49" s="10" t="s">
        <v>1592</v>
      </c>
      <c r="J49" s="10" t="s">
        <v>1525</v>
      </c>
      <c r="K49" s="6" t="s">
        <v>1238</v>
      </c>
    </row>
    <row r="50" spans="1:11" ht="26.4" x14ac:dyDescent="0.3">
      <c r="A50" s="8" t="s">
        <v>1593</v>
      </c>
      <c r="B50" s="6" t="s">
        <v>1594</v>
      </c>
      <c r="C50" s="10" t="s">
        <v>1595</v>
      </c>
      <c r="D50" s="10" t="s">
        <v>1596</v>
      </c>
      <c r="E50" s="10" t="s">
        <v>1597</v>
      </c>
      <c r="F50" s="6" t="s">
        <v>443</v>
      </c>
      <c r="G50" s="6" t="s">
        <v>443</v>
      </c>
      <c r="H50" s="10" t="s">
        <v>1416</v>
      </c>
      <c r="I50" s="10" t="s">
        <v>1598</v>
      </c>
      <c r="J50" s="10" t="s">
        <v>1599</v>
      </c>
      <c r="K50" s="6" t="s">
        <v>443</v>
      </c>
    </row>
  </sheetData>
  <autoFilter ref="A4:K50" xr:uid="{00000000-0009-0000-0000-00000B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A6A6"/>
  </sheetPr>
  <dimension ref="A1:J52"/>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8" customWidth="1"/>
    <col min="2" max="2" width="64" customWidth="1"/>
    <col min="3" max="3" width="11" customWidth="1"/>
    <col min="4" max="4" width="10" customWidth="1"/>
    <col min="5" max="5" width="13" customWidth="1"/>
    <col min="6" max="6" width="11" customWidth="1"/>
    <col min="7" max="7" width="16" customWidth="1"/>
    <col min="8" max="8" width="8" customWidth="1"/>
    <col min="9" max="9" width="64" customWidth="1"/>
    <col min="10" max="10" width="40" customWidth="1"/>
  </cols>
  <sheetData>
    <row r="1" spans="1:10" ht="21" x14ac:dyDescent="0.4">
      <c r="A1" s="1" t="s">
        <v>1600</v>
      </c>
    </row>
    <row r="2" spans="1:10" x14ac:dyDescent="0.3">
      <c r="A2" s="2" t="s">
        <v>1601</v>
      </c>
    </row>
    <row r="4" spans="1:10" ht="30" customHeight="1" x14ac:dyDescent="0.3">
      <c r="A4" s="5" t="s">
        <v>705</v>
      </c>
      <c r="B4" s="5" t="s">
        <v>128</v>
      </c>
      <c r="C4" s="5" t="s">
        <v>130</v>
      </c>
      <c r="D4" s="5" t="s">
        <v>131</v>
      </c>
      <c r="E4" s="5" t="s">
        <v>123</v>
      </c>
      <c r="F4" s="5" t="s">
        <v>126</v>
      </c>
      <c r="G4" s="5" t="s">
        <v>706</v>
      </c>
      <c r="H4" s="5" t="s">
        <v>127</v>
      </c>
      <c r="I4" s="5" t="s">
        <v>1602</v>
      </c>
      <c r="J4" s="5" t="s">
        <v>1603</v>
      </c>
    </row>
    <row r="5" spans="1:10" ht="26.4" x14ac:dyDescent="0.3">
      <c r="A5" s="6" t="s">
        <v>749</v>
      </c>
      <c r="B5" s="10" t="s">
        <v>750</v>
      </c>
      <c r="C5" s="6" t="s">
        <v>751</v>
      </c>
      <c r="D5" s="15">
        <v>804</v>
      </c>
      <c r="E5" s="14" t="str">
        <f>INDEX('Path Scorecard'!$Q$5:$Q$80,MATCH($C5,'Path Scorecard'!$H$5:$H$80,0))</f>
        <v>Probable Hero</v>
      </c>
      <c r="F5" s="6" t="str">
        <f>INDEX('Path Scorecard'!$AC$5:$AC$80,MATCH($C5,'Path Scorecard'!$H$5:$H$80,0))</f>
        <v>BUILD</v>
      </c>
      <c r="G5" s="14" t="str">
        <f>INDEX('Path Scorecard'!$AB$5:$AB$80,MATCH($C5,'Path Scorecard'!$H$5:$H$80,0))</f>
        <v>Parked (gate)</v>
      </c>
      <c r="H5" s="9" t="str">
        <f>INDEX('Path Scorecard'!$Z$5:$Z$80,MATCH($C5,'Path Scorecard'!$H$5:$H$80,0))</f>
        <v>-</v>
      </c>
      <c r="I5" s="10" t="s">
        <v>1182</v>
      </c>
      <c r="J5" s="10" t="s">
        <v>1604</v>
      </c>
    </row>
    <row r="6" spans="1:10" x14ac:dyDescent="0.3">
      <c r="A6" s="6" t="s">
        <v>1183</v>
      </c>
      <c r="B6" s="10" t="s">
        <v>1184</v>
      </c>
      <c r="C6" s="6" t="s">
        <v>1186</v>
      </c>
      <c r="D6" s="15">
        <v>308</v>
      </c>
      <c r="E6" s="14" t="str">
        <f>INDEX('Path Scorecard'!$Q$5:$Q$80,MATCH($C6,'Path Scorecard'!$H$5:$H$80,0))</f>
        <v>Hero</v>
      </c>
      <c r="F6" s="6" t="str">
        <f>INDEX('Path Scorecard'!$AC$5:$AC$80,MATCH($C6,'Path Scorecard'!$H$5:$H$80,0))</f>
        <v>PROTECT</v>
      </c>
      <c r="G6" s="14" t="str">
        <f>INDEX('Path Scorecard'!$AB$5:$AB$80,MATCH($C6,'Path Scorecard'!$H$5:$H$80,0))</f>
        <v>Parked (gate)</v>
      </c>
      <c r="H6" s="9" t="str">
        <f>INDEX('Path Scorecard'!$Z$5:$Z$80,MATCH($C6,'Path Scorecard'!$H$5:$H$80,0))</f>
        <v>-</v>
      </c>
      <c r="I6" s="10" t="s">
        <v>1187</v>
      </c>
      <c r="J6" s="10" t="s">
        <v>1605</v>
      </c>
    </row>
    <row r="7" spans="1:10" x14ac:dyDescent="0.3">
      <c r="A7" s="6" t="s">
        <v>775</v>
      </c>
      <c r="B7" s="10" t="s">
        <v>776</v>
      </c>
      <c r="C7" s="6" t="s">
        <v>777</v>
      </c>
      <c r="D7" s="15">
        <v>11493</v>
      </c>
      <c r="E7" s="14" t="str">
        <f>INDEX('Path Scorecard'!$Q$5:$Q$80,MATCH($C7,'Path Scorecard'!$H$5:$H$80,0))</f>
        <v>Hero</v>
      </c>
      <c r="F7" s="6" t="str">
        <f>INDEX('Path Scorecard'!$AC$5:$AC$80,MATCH($C7,'Path Scorecard'!$H$5:$H$80,0))</f>
        <v>PROTECT</v>
      </c>
      <c r="G7" s="14" t="str">
        <f>INDEX('Path Scorecard'!$AB$5:$AB$80,MATCH($C7,'Path Scorecard'!$H$5:$H$80,0))</f>
        <v>Parked (gate)</v>
      </c>
      <c r="H7" s="9" t="str">
        <f>INDEX('Path Scorecard'!$Z$5:$Z$80,MATCH($C7,'Path Scorecard'!$H$5:$H$80,0))</f>
        <v>-</v>
      </c>
      <c r="I7" s="10" t="s">
        <v>1189</v>
      </c>
      <c r="J7" s="10" t="s">
        <v>1606</v>
      </c>
    </row>
    <row r="8" spans="1:10" x14ac:dyDescent="0.3">
      <c r="A8" s="6" t="s">
        <v>779</v>
      </c>
      <c r="B8" s="10" t="s">
        <v>780</v>
      </c>
      <c r="C8" s="6" t="s">
        <v>781</v>
      </c>
      <c r="D8" s="15">
        <v>123</v>
      </c>
      <c r="E8" s="14" t="str">
        <f>INDEX('Path Scorecard'!$Q$5:$Q$80,MATCH($C8,'Path Scorecard'!$H$5:$H$80,0))</f>
        <v>Hero</v>
      </c>
      <c r="F8" s="6" t="str">
        <f>INDEX('Path Scorecard'!$AC$5:$AC$80,MATCH($C8,'Path Scorecard'!$H$5:$H$80,0))</f>
        <v>PROTECT</v>
      </c>
      <c r="G8" s="14" t="str">
        <f>INDEX('Path Scorecard'!$AB$5:$AB$80,MATCH($C8,'Path Scorecard'!$H$5:$H$80,0))</f>
        <v>Parked (gate)</v>
      </c>
      <c r="H8" s="9" t="str">
        <f>INDEX('Path Scorecard'!$Z$5:$Z$80,MATCH($C8,'Path Scorecard'!$H$5:$H$80,0))</f>
        <v>-</v>
      </c>
      <c r="I8" s="10" t="s">
        <v>1194</v>
      </c>
      <c r="J8" s="10" t="s">
        <v>1607</v>
      </c>
    </row>
    <row r="9" spans="1:10" x14ac:dyDescent="0.3">
      <c r="A9" s="6" t="s">
        <v>783</v>
      </c>
      <c r="B9" s="10" t="s">
        <v>784</v>
      </c>
      <c r="C9" s="6" t="s">
        <v>785</v>
      </c>
      <c r="D9" s="15">
        <v>149</v>
      </c>
      <c r="E9" s="14" t="str">
        <f>INDEX('Path Scorecard'!$Q$5:$Q$80,MATCH($C9,'Path Scorecard'!$H$5:$H$80,0))</f>
        <v>Hero</v>
      </c>
      <c r="F9" s="6" t="str">
        <f>INDEX('Path Scorecard'!$AC$5:$AC$80,MATCH($C9,'Path Scorecard'!$H$5:$H$80,0))</f>
        <v>PROTECT</v>
      </c>
      <c r="G9" s="14" t="str">
        <f>INDEX('Path Scorecard'!$AB$5:$AB$80,MATCH($C9,'Path Scorecard'!$H$5:$H$80,0))</f>
        <v>Parked (gate)</v>
      </c>
      <c r="H9" s="9" t="str">
        <f>INDEX('Path Scorecard'!$Z$5:$Z$80,MATCH($C9,'Path Scorecard'!$H$5:$H$80,0))</f>
        <v>-</v>
      </c>
      <c r="I9" s="10" t="s">
        <v>1194</v>
      </c>
      <c r="J9" s="10" t="s">
        <v>1607</v>
      </c>
    </row>
    <row r="10" spans="1:10" ht="26.4" x14ac:dyDescent="0.3">
      <c r="A10" s="6" t="s">
        <v>766</v>
      </c>
      <c r="B10" s="10" t="s">
        <v>767</v>
      </c>
      <c r="C10" s="6" t="s">
        <v>768</v>
      </c>
      <c r="D10" s="15">
        <v>15</v>
      </c>
      <c r="E10" s="14" t="str">
        <f>INDEX('Path Scorecard'!$Q$5:$Q$80,MATCH($C10,'Path Scorecard'!$H$5:$H$80,0))</f>
        <v>Probable Hero</v>
      </c>
      <c r="F10" s="6" t="str">
        <f>INDEX('Path Scorecard'!$AC$5:$AC$80,MATCH($C10,'Path Scorecard'!$H$5:$H$80,0))</f>
        <v>BUILD</v>
      </c>
      <c r="G10" s="14" t="str">
        <f>INDEX('Path Scorecard'!$AB$5:$AB$80,MATCH($C10,'Path Scorecard'!$H$5:$H$80,0))</f>
        <v>Parked (gate)</v>
      </c>
      <c r="H10" s="9" t="str">
        <f>INDEX('Path Scorecard'!$Z$5:$Z$80,MATCH($C10,'Path Scorecard'!$H$5:$H$80,0))</f>
        <v>-</v>
      </c>
      <c r="I10" s="10" t="s">
        <v>1198</v>
      </c>
      <c r="J10" s="10" t="s">
        <v>1608</v>
      </c>
    </row>
    <row r="11" spans="1:10" x14ac:dyDescent="0.3">
      <c r="A11" s="6" t="s">
        <v>1199</v>
      </c>
      <c r="B11" s="10" t="s">
        <v>1200</v>
      </c>
      <c r="C11" s="6" t="s">
        <v>1203</v>
      </c>
      <c r="D11" s="15">
        <v>437</v>
      </c>
      <c r="E11" s="14" t="str">
        <f>INDEX('Path Scorecard'!$Q$5:$Q$80,MATCH($C11,'Path Scorecard'!$H$5:$H$80,0))</f>
        <v>Non-Hero</v>
      </c>
      <c r="F11" s="6" t="str">
        <f>INDEX('Path Scorecard'!$AC$5:$AC$80,MATCH($C11,'Path Scorecard'!$H$5:$H$80,0))</f>
        <v>EXPLORE</v>
      </c>
      <c r="G11" s="14" t="str">
        <f>INDEX('Path Scorecard'!$AB$5:$AB$80,MATCH($C11,'Path Scorecard'!$H$5:$H$80,0))</f>
        <v>Parked (gate)</v>
      </c>
      <c r="H11" s="9" t="str">
        <f>INDEX('Path Scorecard'!$Z$5:$Z$80,MATCH($C11,'Path Scorecard'!$H$5:$H$80,0))</f>
        <v>-</v>
      </c>
      <c r="I11" s="10" t="s">
        <v>1204</v>
      </c>
      <c r="J11" s="10" t="s">
        <v>1609</v>
      </c>
    </row>
    <row r="12" spans="1:10" x14ac:dyDescent="0.3">
      <c r="A12" s="6" t="s">
        <v>1205</v>
      </c>
      <c r="B12" s="10" t="s">
        <v>1206</v>
      </c>
      <c r="C12" s="6" t="s">
        <v>1210</v>
      </c>
      <c r="D12" s="15">
        <v>1116</v>
      </c>
      <c r="E12" s="14" t="str">
        <f>INDEX('Path Scorecard'!$Q$5:$Q$80,MATCH($C12,'Path Scorecard'!$H$5:$H$80,0))</f>
        <v>Probable Hero</v>
      </c>
      <c r="F12" s="6" t="str">
        <f>INDEX('Path Scorecard'!$AC$5:$AC$80,MATCH($C12,'Path Scorecard'!$H$5:$H$80,0))</f>
        <v>BUILD</v>
      </c>
      <c r="G12" s="14" t="str">
        <f>INDEX('Path Scorecard'!$AB$5:$AB$80,MATCH($C12,'Path Scorecard'!$H$5:$H$80,0))</f>
        <v>Parked (gate)</v>
      </c>
      <c r="H12" s="9" t="str">
        <f>INDEX('Path Scorecard'!$Z$5:$Z$80,MATCH($C12,'Path Scorecard'!$H$5:$H$80,0))</f>
        <v>-</v>
      </c>
      <c r="I12" s="10" t="s">
        <v>1211</v>
      </c>
      <c r="J12" s="10" t="s">
        <v>1610</v>
      </c>
    </row>
    <row r="13" spans="1:10" ht="26.4" x14ac:dyDescent="0.3">
      <c r="A13" s="6" t="s">
        <v>761</v>
      </c>
      <c r="B13" s="10" t="s">
        <v>762</v>
      </c>
      <c r="C13" s="6" t="s">
        <v>763</v>
      </c>
      <c r="D13" s="15">
        <v>881</v>
      </c>
      <c r="E13" s="14" t="str">
        <f>INDEX('Path Scorecard'!$Q$5:$Q$80,MATCH($C13,'Path Scorecard'!$H$5:$H$80,0))</f>
        <v>Probable Hero</v>
      </c>
      <c r="F13" s="6" t="str">
        <f>INDEX('Path Scorecard'!$AC$5:$AC$80,MATCH($C13,'Path Scorecard'!$H$5:$H$80,0))</f>
        <v>BUILD</v>
      </c>
      <c r="G13" s="14" t="str">
        <f>INDEX('Path Scorecard'!$AB$5:$AB$80,MATCH($C13,'Path Scorecard'!$H$5:$H$80,0))</f>
        <v>Parked (gate)</v>
      </c>
      <c r="H13" s="9" t="str">
        <f>INDEX('Path Scorecard'!$Z$5:$Z$80,MATCH($C13,'Path Scorecard'!$H$5:$H$80,0))</f>
        <v>-</v>
      </c>
      <c r="I13" s="10" t="s">
        <v>1215</v>
      </c>
      <c r="J13" s="10" t="s">
        <v>1611</v>
      </c>
    </row>
    <row r="14" spans="1:10" ht="26.4" x14ac:dyDescent="0.3">
      <c r="A14" s="6" t="s">
        <v>1052</v>
      </c>
      <c r="B14" s="10" t="s">
        <v>1053</v>
      </c>
      <c r="C14" s="6" t="s">
        <v>1055</v>
      </c>
      <c r="D14" s="15">
        <v>1504</v>
      </c>
      <c r="E14" s="14" t="str">
        <f>INDEX('Path Scorecard'!$Q$5:$Q$80,MATCH($C14,'Path Scorecard'!$H$5:$H$80,0))</f>
        <v>Hero</v>
      </c>
      <c r="F14" s="6" t="str">
        <f>INDEX('Path Scorecard'!$AC$5:$AC$80,MATCH($C14,'Path Scorecard'!$H$5:$H$80,0))</f>
        <v>PROTECT</v>
      </c>
      <c r="G14" s="14" t="str">
        <f>INDEX('Path Scorecard'!$AB$5:$AB$80,MATCH($C14,'Path Scorecard'!$H$5:$H$80,0))</f>
        <v>Protect (control)</v>
      </c>
      <c r="H14" s="9">
        <f>INDEX('Path Scorecard'!$Z$5:$Z$80,MATCH($C14,'Path Scorecard'!$H$5:$H$80,0))</f>
        <v>68</v>
      </c>
      <c r="I14" s="10" t="s">
        <v>1056</v>
      </c>
      <c r="J14" s="10" t="s">
        <v>1612</v>
      </c>
    </row>
    <row r="15" spans="1:10" ht="26.4" x14ac:dyDescent="0.3">
      <c r="A15" s="6" t="s">
        <v>735</v>
      </c>
      <c r="B15" s="10" t="s">
        <v>736</v>
      </c>
      <c r="C15" s="6" t="s">
        <v>737</v>
      </c>
      <c r="D15" s="15">
        <v>576</v>
      </c>
      <c r="E15" s="14" t="str">
        <f>INDEX('Path Scorecard'!$Q$5:$Q$80,MATCH($C15,'Path Scorecard'!$H$5:$H$80,0))</f>
        <v>Hero</v>
      </c>
      <c r="F15" s="6" t="str">
        <f>INDEX('Path Scorecard'!$AC$5:$AC$80,MATCH($C15,'Path Scorecard'!$H$5:$H$80,0))</f>
        <v>PROTECT</v>
      </c>
      <c r="G15" s="14" t="str">
        <f>INDEX('Path Scorecard'!$AB$5:$AB$80,MATCH($C15,'Path Scorecard'!$H$5:$H$80,0))</f>
        <v>Protect (control)</v>
      </c>
      <c r="H15" s="9">
        <f>INDEX('Path Scorecard'!$Z$5:$Z$80,MATCH($C15,'Path Scorecard'!$H$5:$H$80,0))</f>
        <v>66</v>
      </c>
      <c r="I15" s="10" t="s">
        <v>1100</v>
      </c>
      <c r="J15" s="10" t="s">
        <v>1613</v>
      </c>
    </row>
    <row r="16" spans="1:10" ht="26.4" x14ac:dyDescent="0.3">
      <c r="A16" s="6" t="s">
        <v>724</v>
      </c>
      <c r="B16" s="10" t="s">
        <v>725</v>
      </c>
      <c r="C16" s="6" t="s">
        <v>726</v>
      </c>
      <c r="D16" s="15">
        <v>1008</v>
      </c>
      <c r="E16" s="14" t="str">
        <f>INDEX('Path Scorecard'!$Q$5:$Q$80,MATCH($C16,'Path Scorecard'!$H$5:$H$80,0))</f>
        <v>Hero</v>
      </c>
      <c r="F16" s="6" t="str">
        <f>INDEX('Path Scorecard'!$AC$5:$AC$80,MATCH($C16,'Path Scorecard'!$H$5:$H$80,0))</f>
        <v>PROTECT</v>
      </c>
      <c r="G16" s="14" t="str">
        <f>INDEX('Path Scorecard'!$AB$5:$AB$80,MATCH($C16,'Path Scorecard'!$H$5:$H$80,0))</f>
        <v>Protect (control)</v>
      </c>
      <c r="H16" s="9">
        <f>INDEX('Path Scorecard'!$Z$5:$Z$80,MATCH($C16,'Path Scorecard'!$H$5:$H$80,0))</f>
        <v>65</v>
      </c>
      <c r="I16" s="10" t="s">
        <v>1121</v>
      </c>
      <c r="J16" s="10" t="s">
        <v>1614</v>
      </c>
    </row>
    <row r="17" spans="1:10" x14ac:dyDescent="0.3">
      <c r="A17" s="6" t="s">
        <v>1158</v>
      </c>
      <c r="B17" s="10" t="s">
        <v>1159</v>
      </c>
      <c r="C17" s="6" t="s">
        <v>1161</v>
      </c>
      <c r="D17" s="15">
        <v>745</v>
      </c>
      <c r="E17" s="14" t="str">
        <f>INDEX('Path Scorecard'!$Q$5:$Q$80,MATCH($C17,'Path Scorecard'!$H$5:$H$80,0))</f>
        <v>Hero</v>
      </c>
      <c r="F17" s="6" t="str">
        <f>INDEX('Path Scorecard'!$AC$5:$AC$80,MATCH($C17,'Path Scorecard'!$H$5:$H$80,0))</f>
        <v>PROTECT</v>
      </c>
      <c r="G17" s="14" t="str">
        <f>INDEX('Path Scorecard'!$AB$5:$AB$80,MATCH($C17,'Path Scorecard'!$H$5:$H$80,0))</f>
        <v>Protect (control)</v>
      </c>
      <c r="H17" s="9">
        <f>INDEX('Path Scorecard'!$Z$5:$Z$80,MATCH($C17,'Path Scorecard'!$H$5:$H$80,0))</f>
        <v>61</v>
      </c>
      <c r="I17" s="10" t="s">
        <v>1162</v>
      </c>
      <c r="J17" s="10" t="s">
        <v>1615</v>
      </c>
    </row>
    <row r="18" spans="1:10" ht="26.4" x14ac:dyDescent="0.3">
      <c r="A18" s="6" t="s">
        <v>792</v>
      </c>
      <c r="B18" s="10" t="s">
        <v>793</v>
      </c>
      <c r="C18" s="6" t="s">
        <v>794</v>
      </c>
      <c r="D18" s="15">
        <v>32</v>
      </c>
      <c r="E18" s="14" t="str">
        <f>INDEX('Path Scorecard'!$Q$5:$Q$80,MATCH($C18,'Path Scorecard'!$H$5:$H$80,0))</f>
        <v>Probable Hero</v>
      </c>
      <c r="F18" s="6" t="str">
        <f>INDEX('Path Scorecard'!$AC$5:$AC$80,MATCH($C18,'Path Scorecard'!$H$5:$H$80,0))</f>
        <v>BUILD</v>
      </c>
      <c r="G18" s="14" t="str">
        <f>INDEX('Path Scorecard'!$AB$5:$AB$80,MATCH($C18,'Path Scorecard'!$H$5:$H$80,0))</f>
        <v>Backlog</v>
      </c>
      <c r="H18" s="9">
        <f>INDEX('Path Scorecard'!$Z$5:$Z$80,MATCH($C18,'Path Scorecard'!$H$5:$H$80,0))</f>
        <v>78</v>
      </c>
      <c r="I18" s="10" t="s">
        <v>971</v>
      </c>
      <c r="J18" s="10" t="s">
        <v>1616</v>
      </c>
    </row>
    <row r="19" spans="1:10" ht="26.4" x14ac:dyDescent="0.3">
      <c r="A19" s="6" t="s">
        <v>789</v>
      </c>
      <c r="B19" s="10" t="s">
        <v>790</v>
      </c>
      <c r="C19" s="6" t="s">
        <v>791</v>
      </c>
      <c r="D19" s="15">
        <v>166</v>
      </c>
      <c r="E19" s="14" t="str">
        <f>INDEX('Path Scorecard'!$Q$5:$Q$80,MATCH($C19,'Path Scorecard'!$H$5:$H$80,0))</f>
        <v>Probable Hero</v>
      </c>
      <c r="F19" s="6" t="str">
        <f>INDEX('Path Scorecard'!$AC$5:$AC$80,MATCH($C19,'Path Scorecard'!$H$5:$H$80,0))</f>
        <v>BUILD</v>
      </c>
      <c r="G19" s="14" t="str">
        <f>INDEX('Path Scorecard'!$AB$5:$AB$80,MATCH($C19,'Path Scorecard'!$H$5:$H$80,0))</f>
        <v>Backlog</v>
      </c>
      <c r="H19" s="9">
        <f>INDEX('Path Scorecard'!$Z$5:$Z$80,MATCH($C19,'Path Scorecard'!$H$5:$H$80,0))</f>
        <v>78</v>
      </c>
      <c r="I19" s="10" t="s">
        <v>975</v>
      </c>
      <c r="J19" s="10" t="s">
        <v>1616</v>
      </c>
    </row>
    <row r="20" spans="1:10" ht="26.4" x14ac:dyDescent="0.3">
      <c r="A20" s="6" t="s">
        <v>976</v>
      </c>
      <c r="B20" s="10" t="s">
        <v>977</v>
      </c>
      <c r="C20" s="6" t="s">
        <v>981</v>
      </c>
      <c r="D20" s="15">
        <v>318</v>
      </c>
      <c r="E20" s="14" t="str">
        <f>INDEX('Path Scorecard'!$Q$5:$Q$80,MATCH($C20,'Path Scorecard'!$H$5:$H$80,0))</f>
        <v>Probable Hero</v>
      </c>
      <c r="F20" s="6" t="str">
        <f>INDEX('Path Scorecard'!$AC$5:$AC$80,MATCH($C20,'Path Scorecard'!$H$5:$H$80,0))</f>
        <v>BUILD</v>
      </c>
      <c r="G20" s="14" t="str">
        <f>INDEX('Path Scorecard'!$AB$5:$AB$80,MATCH($C20,'Path Scorecard'!$H$5:$H$80,0))</f>
        <v>Backlog</v>
      </c>
      <c r="H20" s="9">
        <f>INDEX('Path Scorecard'!$Z$5:$Z$80,MATCH($C20,'Path Scorecard'!$H$5:$H$80,0))</f>
        <v>78</v>
      </c>
      <c r="I20" s="10" t="s">
        <v>982</v>
      </c>
      <c r="J20" s="10" t="s">
        <v>1616</v>
      </c>
    </row>
    <row r="21" spans="1:10" ht="26.4" x14ac:dyDescent="0.3">
      <c r="A21" s="6" t="s">
        <v>990</v>
      </c>
      <c r="B21" s="10" t="s">
        <v>991</v>
      </c>
      <c r="C21" s="6" t="s">
        <v>993</v>
      </c>
      <c r="D21" s="15">
        <v>435</v>
      </c>
      <c r="E21" s="14" t="str">
        <f>INDEX('Path Scorecard'!$Q$5:$Q$80,MATCH($C21,'Path Scorecard'!$H$5:$H$80,0))</f>
        <v>Probable Hero</v>
      </c>
      <c r="F21" s="6" t="str">
        <f>INDEX('Path Scorecard'!$AC$5:$AC$80,MATCH($C21,'Path Scorecard'!$H$5:$H$80,0))</f>
        <v>BUILD</v>
      </c>
      <c r="G21" s="14" t="str">
        <f>INDEX('Path Scorecard'!$AB$5:$AB$80,MATCH($C21,'Path Scorecard'!$H$5:$H$80,0))</f>
        <v>Backlog</v>
      </c>
      <c r="H21" s="9">
        <f>INDEX('Path Scorecard'!$Z$5:$Z$80,MATCH($C21,'Path Scorecard'!$H$5:$H$80,0))</f>
        <v>77</v>
      </c>
      <c r="I21" s="10" t="s">
        <v>994</v>
      </c>
      <c r="J21" s="10" t="s">
        <v>1616</v>
      </c>
    </row>
    <row r="22" spans="1:10" ht="26.4" x14ac:dyDescent="0.3">
      <c r="A22" s="6" t="s">
        <v>772</v>
      </c>
      <c r="B22" s="10" t="s">
        <v>773</v>
      </c>
      <c r="C22" s="6" t="s">
        <v>774</v>
      </c>
      <c r="D22" s="15">
        <v>99</v>
      </c>
      <c r="E22" s="14" t="str">
        <f>INDEX('Path Scorecard'!$Q$5:$Q$80,MATCH($C22,'Path Scorecard'!$H$5:$H$80,0))</f>
        <v>Probable Hero</v>
      </c>
      <c r="F22" s="6" t="str">
        <f>INDEX('Path Scorecard'!$AC$5:$AC$80,MATCH($C22,'Path Scorecard'!$H$5:$H$80,0))</f>
        <v>BUILD</v>
      </c>
      <c r="G22" s="14" t="str">
        <f>INDEX('Path Scorecard'!$AB$5:$AB$80,MATCH($C22,'Path Scorecard'!$H$5:$H$80,0))</f>
        <v>Backlog</v>
      </c>
      <c r="H22" s="9">
        <f>INDEX('Path Scorecard'!$Z$5:$Z$80,MATCH($C22,'Path Scorecard'!$H$5:$H$80,0))</f>
        <v>77</v>
      </c>
      <c r="I22" s="10" t="s">
        <v>999</v>
      </c>
      <c r="J22" s="10" t="s">
        <v>1616</v>
      </c>
    </row>
    <row r="23" spans="1:10" ht="26.4" x14ac:dyDescent="0.3">
      <c r="A23" s="6" t="s">
        <v>1003</v>
      </c>
      <c r="B23" s="10" t="s">
        <v>1004</v>
      </c>
      <c r="C23" s="6" t="s">
        <v>1007</v>
      </c>
      <c r="D23" s="15">
        <v>205</v>
      </c>
      <c r="E23" s="14" t="str">
        <f>INDEX('Path Scorecard'!$Q$5:$Q$80,MATCH($C23,'Path Scorecard'!$H$5:$H$80,0))</f>
        <v>Probable Hero</v>
      </c>
      <c r="F23" s="6" t="str">
        <f>INDEX('Path Scorecard'!$AC$5:$AC$80,MATCH($C23,'Path Scorecard'!$H$5:$H$80,0))</f>
        <v>BUILD</v>
      </c>
      <c r="G23" s="14" t="str">
        <f>INDEX('Path Scorecard'!$AB$5:$AB$80,MATCH($C23,'Path Scorecard'!$H$5:$H$80,0))</f>
        <v>Backlog</v>
      </c>
      <c r="H23" s="9">
        <f>INDEX('Path Scorecard'!$Z$5:$Z$80,MATCH($C23,'Path Scorecard'!$H$5:$H$80,0))</f>
        <v>76</v>
      </c>
      <c r="I23" s="10" t="s">
        <v>1008</v>
      </c>
      <c r="J23" s="10" t="s">
        <v>1616</v>
      </c>
    </row>
    <row r="24" spans="1:10" ht="26.4" x14ac:dyDescent="0.3">
      <c r="A24" s="6" t="s">
        <v>712</v>
      </c>
      <c r="B24" s="10" t="s">
        <v>713</v>
      </c>
      <c r="C24" s="6" t="s">
        <v>714</v>
      </c>
      <c r="D24" s="15">
        <v>49</v>
      </c>
      <c r="E24" s="14" t="str">
        <f>INDEX('Path Scorecard'!$Q$5:$Q$80,MATCH($C24,'Path Scorecard'!$H$5:$H$80,0))</f>
        <v>Probable Hero</v>
      </c>
      <c r="F24" s="6" t="str">
        <f>INDEX('Path Scorecard'!$AC$5:$AC$80,MATCH($C24,'Path Scorecard'!$H$5:$H$80,0))</f>
        <v>BUILD</v>
      </c>
      <c r="G24" s="14" t="str">
        <f>INDEX('Path Scorecard'!$AB$5:$AB$80,MATCH($C24,'Path Scorecard'!$H$5:$H$80,0))</f>
        <v>Backlog</v>
      </c>
      <c r="H24" s="9">
        <f>INDEX('Path Scorecard'!$Z$5:$Z$80,MATCH($C24,'Path Scorecard'!$H$5:$H$80,0))</f>
        <v>75</v>
      </c>
      <c r="I24" s="10" t="s">
        <v>1011</v>
      </c>
      <c r="J24" s="10" t="s">
        <v>1616</v>
      </c>
    </row>
    <row r="25" spans="1:10" ht="26.4" x14ac:dyDescent="0.3">
      <c r="A25" s="6" t="s">
        <v>743</v>
      </c>
      <c r="B25" s="10" t="s">
        <v>744</v>
      </c>
      <c r="C25" s="6" t="s">
        <v>745</v>
      </c>
      <c r="D25" s="15">
        <v>211</v>
      </c>
      <c r="E25" s="14" t="str">
        <f>INDEX('Path Scorecard'!$Q$5:$Q$80,MATCH($C25,'Path Scorecard'!$H$5:$H$80,0))</f>
        <v>Probable Hero</v>
      </c>
      <c r="F25" s="6" t="str">
        <f>INDEX('Path Scorecard'!$AC$5:$AC$80,MATCH($C25,'Path Scorecard'!$H$5:$H$80,0))</f>
        <v>BUILD</v>
      </c>
      <c r="G25" s="14" t="str">
        <f>INDEX('Path Scorecard'!$AB$5:$AB$80,MATCH($C25,'Path Scorecard'!$H$5:$H$80,0))</f>
        <v>Backlog</v>
      </c>
      <c r="H25" s="9">
        <f>INDEX('Path Scorecard'!$Z$5:$Z$80,MATCH($C25,'Path Scorecard'!$H$5:$H$80,0))</f>
        <v>75</v>
      </c>
      <c r="I25" s="10" t="s">
        <v>1013</v>
      </c>
      <c r="J25" s="10" t="s">
        <v>1616</v>
      </c>
    </row>
    <row r="26" spans="1:10" ht="26.4" x14ac:dyDescent="0.3">
      <c r="A26" s="6" t="s">
        <v>718</v>
      </c>
      <c r="B26" s="10" t="s">
        <v>719</v>
      </c>
      <c r="C26" s="6" t="s">
        <v>720</v>
      </c>
      <c r="D26" s="15">
        <v>75</v>
      </c>
      <c r="E26" s="14" t="str">
        <f>INDEX('Path Scorecard'!$Q$5:$Q$80,MATCH($C26,'Path Scorecard'!$H$5:$H$80,0))</f>
        <v>Probable Hero</v>
      </c>
      <c r="F26" s="6" t="str">
        <f>INDEX('Path Scorecard'!$AC$5:$AC$80,MATCH($C26,'Path Scorecard'!$H$5:$H$80,0))</f>
        <v>BUILD</v>
      </c>
      <c r="G26" s="14" t="str">
        <f>INDEX('Path Scorecard'!$AB$5:$AB$80,MATCH($C26,'Path Scorecard'!$H$5:$H$80,0))</f>
        <v>Backlog</v>
      </c>
      <c r="H26" s="9">
        <f>INDEX('Path Scorecard'!$Z$5:$Z$80,MATCH($C26,'Path Scorecard'!$H$5:$H$80,0))</f>
        <v>74</v>
      </c>
      <c r="I26" s="10" t="s">
        <v>1018</v>
      </c>
      <c r="J26" s="10" t="s">
        <v>1616</v>
      </c>
    </row>
    <row r="27" spans="1:10" ht="26.4" x14ac:dyDescent="0.3">
      <c r="A27" s="6" t="s">
        <v>715</v>
      </c>
      <c r="B27" s="10" t="s">
        <v>716</v>
      </c>
      <c r="C27" s="6" t="s">
        <v>717</v>
      </c>
      <c r="D27" s="15">
        <v>617</v>
      </c>
      <c r="E27" s="14" t="str">
        <f>INDEX('Path Scorecard'!$Q$5:$Q$80,MATCH($C27,'Path Scorecard'!$H$5:$H$80,0))</f>
        <v>Probable Hero</v>
      </c>
      <c r="F27" s="6" t="str">
        <f>INDEX('Path Scorecard'!$AC$5:$AC$80,MATCH($C27,'Path Scorecard'!$H$5:$H$80,0))</f>
        <v>BUILD</v>
      </c>
      <c r="G27" s="14" t="str">
        <f>INDEX('Path Scorecard'!$AB$5:$AB$80,MATCH($C27,'Path Scorecard'!$H$5:$H$80,0))</f>
        <v>Backlog</v>
      </c>
      <c r="H27" s="9">
        <f>INDEX('Path Scorecard'!$Z$5:$Z$80,MATCH($C27,'Path Scorecard'!$H$5:$H$80,0))</f>
        <v>73</v>
      </c>
      <c r="I27" s="10" t="s">
        <v>1023</v>
      </c>
      <c r="J27" s="10" t="s">
        <v>1616</v>
      </c>
    </row>
    <row r="28" spans="1:10" ht="26.4" x14ac:dyDescent="0.3">
      <c r="A28" s="6" t="s">
        <v>746</v>
      </c>
      <c r="B28" s="10" t="s">
        <v>747</v>
      </c>
      <c r="C28" s="6" t="s">
        <v>748</v>
      </c>
      <c r="D28" s="15">
        <v>132</v>
      </c>
      <c r="E28" s="14" t="str">
        <f>INDEX('Path Scorecard'!$Q$5:$Q$80,MATCH($C28,'Path Scorecard'!$H$5:$H$80,0))</f>
        <v>Probable Hero</v>
      </c>
      <c r="F28" s="6" t="str">
        <f>INDEX('Path Scorecard'!$AC$5:$AC$80,MATCH($C28,'Path Scorecard'!$H$5:$H$80,0))</f>
        <v>BUILD</v>
      </c>
      <c r="G28" s="14" t="str">
        <f>INDEX('Path Scorecard'!$AB$5:$AB$80,MATCH($C28,'Path Scorecard'!$H$5:$H$80,0))</f>
        <v>Backlog</v>
      </c>
      <c r="H28" s="9">
        <f>INDEX('Path Scorecard'!$Z$5:$Z$80,MATCH($C28,'Path Scorecard'!$H$5:$H$80,0))</f>
        <v>73</v>
      </c>
      <c r="I28" s="10" t="s">
        <v>1025</v>
      </c>
      <c r="J28" s="10" t="s">
        <v>1616</v>
      </c>
    </row>
    <row r="29" spans="1:10" ht="26.4" x14ac:dyDescent="0.3">
      <c r="A29" s="6" t="s">
        <v>801</v>
      </c>
      <c r="B29" s="10" t="s">
        <v>802</v>
      </c>
      <c r="C29" s="6" t="s">
        <v>803</v>
      </c>
      <c r="D29" s="15">
        <v>660</v>
      </c>
      <c r="E29" s="14" t="str">
        <f>INDEX('Path Scorecard'!$Q$5:$Q$80,MATCH($C29,'Path Scorecard'!$H$5:$H$80,0))</f>
        <v>Hero</v>
      </c>
      <c r="F29" s="6" t="str">
        <f>INDEX('Path Scorecard'!$AC$5:$AC$80,MATCH($C29,'Path Scorecard'!$H$5:$H$80,0))</f>
        <v>EXTEND</v>
      </c>
      <c r="G29" s="14" t="str">
        <f>INDEX('Path Scorecard'!$AB$5:$AB$80,MATCH($C29,'Path Scorecard'!$H$5:$H$80,0))</f>
        <v>Backlog</v>
      </c>
      <c r="H29" s="9">
        <f>INDEX('Path Scorecard'!$Z$5:$Z$80,MATCH($C29,'Path Scorecard'!$H$5:$H$80,0))</f>
        <v>72</v>
      </c>
      <c r="I29" s="10" t="s">
        <v>1034</v>
      </c>
      <c r="J29" s="10" t="s">
        <v>1616</v>
      </c>
    </row>
    <row r="30" spans="1:10" ht="26.4" x14ac:dyDescent="0.3">
      <c r="A30" s="6" t="s">
        <v>795</v>
      </c>
      <c r="B30" s="10" t="s">
        <v>796</v>
      </c>
      <c r="C30" s="6" t="s">
        <v>797</v>
      </c>
      <c r="D30" s="15">
        <v>63</v>
      </c>
      <c r="E30" s="14" t="str">
        <f>INDEX('Path Scorecard'!$Q$5:$Q$80,MATCH($C30,'Path Scorecard'!$H$5:$H$80,0))</f>
        <v>Probable Hero</v>
      </c>
      <c r="F30" s="6" t="str">
        <f>INDEX('Path Scorecard'!$AC$5:$AC$80,MATCH($C30,'Path Scorecard'!$H$5:$H$80,0))</f>
        <v>BUILD</v>
      </c>
      <c r="G30" s="14" t="str">
        <f>INDEX('Path Scorecard'!$AB$5:$AB$80,MATCH($C30,'Path Scorecard'!$H$5:$H$80,0))</f>
        <v>Backlog</v>
      </c>
      <c r="H30" s="9">
        <f>INDEX('Path Scorecard'!$Z$5:$Z$80,MATCH($C30,'Path Scorecard'!$H$5:$H$80,0))</f>
        <v>72</v>
      </c>
      <c r="I30" s="10" t="s">
        <v>1036</v>
      </c>
      <c r="J30" s="10" t="s">
        <v>1616</v>
      </c>
    </row>
    <row r="31" spans="1:10" ht="26.4" x14ac:dyDescent="0.3">
      <c r="A31" s="6" t="s">
        <v>1041</v>
      </c>
      <c r="B31" s="10" t="s">
        <v>1042</v>
      </c>
      <c r="C31" s="6" t="s">
        <v>1044</v>
      </c>
      <c r="D31" s="15">
        <v>52</v>
      </c>
      <c r="E31" s="14" t="str">
        <f>INDEX('Path Scorecard'!$Q$5:$Q$80,MATCH($C31,'Path Scorecard'!$H$5:$H$80,0))</f>
        <v>Probable Hero</v>
      </c>
      <c r="F31" s="6" t="str">
        <f>INDEX('Path Scorecard'!$AC$5:$AC$80,MATCH($C31,'Path Scorecard'!$H$5:$H$80,0))</f>
        <v>BUILD</v>
      </c>
      <c r="G31" s="14" t="str">
        <f>INDEX('Path Scorecard'!$AB$5:$AB$80,MATCH($C31,'Path Scorecard'!$H$5:$H$80,0))</f>
        <v>Backlog</v>
      </c>
      <c r="H31" s="9">
        <f>INDEX('Path Scorecard'!$Z$5:$Z$80,MATCH($C31,'Path Scorecard'!$H$5:$H$80,0))</f>
        <v>70</v>
      </c>
      <c r="I31" s="10" t="s">
        <v>1045</v>
      </c>
      <c r="J31" s="10" t="s">
        <v>1616</v>
      </c>
    </row>
    <row r="32" spans="1:10" ht="26.4" x14ac:dyDescent="0.3">
      <c r="A32" s="6" t="s">
        <v>721</v>
      </c>
      <c r="B32" s="10" t="s">
        <v>722</v>
      </c>
      <c r="C32" s="6" t="s">
        <v>723</v>
      </c>
      <c r="D32" s="15">
        <v>64</v>
      </c>
      <c r="E32" s="14" t="str">
        <f>INDEX('Path Scorecard'!$Q$5:$Q$80,MATCH($C32,'Path Scorecard'!$H$5:$H$80,0))</f>
        <v>Probable Hero</v>
      </c>
      <c r="F32" s="6" t="str">
        <f>INDEX('Path Scorecard'!$AC$5:$AC$80,MATCH($C32,'Path Scorecard'!$H$5:$H$80,0))</f>
        <v>BUILD</v>
      </c>
      <c r="G32" s="14" t="str">
        <f>INDEX('Path Scorecard'!$AB$5:$AB$80,MATCH($C32,'Path Scorecard'!$H$5:$H$80,0))</f>
        <v>Backlog</v>
      </c>
      <c r="H32" s="9">
        <f>INDEX('Path Scorecard'!$Z$5:$Z$80,MATCH($C32,'Path Scorecard'!$H$5:$H$80,0))</f>
        <v>69</v>
      </c>
      <c r="I32" s="10" t="s">
        <v>1047</v>
      </c>
      <c r="J32" s="10" t="s">
        <v>1616</v>
      </c>
    </row>
    <row r="33" spans="1:10" ht="26.4" x14ac:dyDescent="0.3">
      <c r="A33" s="6" t="s">
        <v>1057</v>
      </c>
      <c r="B33" s="10" t="s">
        <v>1058</v>
      </c>
      <c r="C33" s="6" t="s">
        <v>1061</v>
      </c>
      <c r="D33" s="15">
        <v>782</v>
      </c>
      <c r="E33" s="14" t="str">
        <f>INDEX('Path Scorecard'!$Q$5:$Q$80,MATCH($C33,'Path Scorecard'!$H$5:$H$80,0))</f>
        <v>Probable Hero</v>
      </c>
      <c r="F33" s="6" t="str">
        <f>INDEX('Path Scorecard'!$AC$5:$AC$80,MATCH($C33,'Path Scorecard'!$H$5:$H$80,0))</f>
        <v>BUILD</v>
      </c>
      <c r="G33" s="14" t="str">
        <f>INDEX('Path Scorecard'!$AB$5:$AB$80,MATCH($C33,'Path Scorecard'!$H$5:$H$80,0))</f>
        <v>Backlog</v>
      </c>
      <c r="H33" s="9">
        <f>INDEX('Path Scorecard'!$Z$5:$Z$80,MATCH($C33,'Path Scorecard'!$H$5:$H$80,0))</f>
        <v>68</v>
      </c>
      <c r="I33" s="10" t="s">
        <v>1062</v>
      </c>
      <c r="J33" s="10" t="s">
        <v>1617</v>
      </c>
    </row>
    <row r="34" spans="1:10" ht="26.4" x14ac:dyDescent="0.3">
      <c r="A34" s="6" t="s">
        <v>1063</v>
      </c>
      <c r="B34" s="10" t="s">
        <v>1064</v>
      </c>
      <c r="C34" s="6" t="s">
        <v>1066</v>
      </c>
      <c r="D34" s="15">
        <v>25</v>
      </c>
      <c r="E34" s="14" t="str">
        <f>INDEX('Path Scorecard'!$Q$5:$Q$80,MATCH($C34,'Path Scorecard'!$H$5:$H$80,0))</f>
        <v>Probable Hero</v>
      </c>
      <c r="F34" s="6" t="str">
        <f>INDEX('Path Scorecard'!$AC$5:$AC$80,MATCH($C34,'Path Scorecard'!$H$5:$H$80,0))</f>
        <v>BUILD</v>
      </c>
      <c r="G34" s="14" t="str">
        <f>INDEX('Path Scorecard'!$AB$5:$AB$80,MATCH($C34,'Path Scorecard'!$H$5:$H$80,0))</f>
        <v>Backlog</v>
      </c>
      <c r="H34" s="9">
        <f>INDEX('Path Scorecard'!$Z$5:$Z$80,MATCH($C34,'Path Scorecard'!$H$5:$H$80,0))</f>
        <v>68</v>
      </c>
      <c r="I34" s="10" t="s">
        <v>1067</v>
      </c>
      <c r="J34" s="10" t="s">
        <v>1616</v>
      </c>
    </row>
    <row r="35" spans="1:10" ht="26.4" x14ac:dyDescent="0.3">
      <c r="A35" s="6" t="s">
        <v>1068</v>
      </c>
      <c r="B35" s="10" t="s">
        <v>1069</v>
      </c>
      <c r="C35" s="6" t="s">
        <v>1072</v>
      </c>
      <c r="D35" s="15">
        <v>661</v>
      </c>
      <c r="E35" s="14" t="str">
        <f>INDEX('Path Scorecard'!$Q$5:$Q$80,MATCH($C35,'Path Scorecard'!$H$5:$H$80,0))</f>
        <v>Hero</v>
      </c>
      <c r="F35" s="6" t="str">
        <f>INDEX('Path Scorecard'!$AC$5:$AC$80,MATCH($C35,'Path Scorecard'!$H$5:$H$80,0))</f>
        <v>EXTEND</v>
      </c>
      <c r="G35" s="14" t="str">
        <f>INDEX('Path Scorecard'!$AB$5:$AB$80,MATCH($C35,'Path Scorecard'!$H$5:$H$80,0))</f>
        <v>Backlog</v>
      </c>
      <c r="H35" s="9">
        <f>INDEX('Path Scorecard'!$Z$5:$Z$80,MATCH($C35,'Path Scorecard'!$H$5:$H$80,0))</f>
        <v>67</v>
      </c>
      <c r="I35" s="10" t="s">
        <v>1073</v>
      </c>
      <c r="J35" s="10" t="s">
        <v>1616</v>
      </c>
    </row>
    <row r="36" spans="1:10" ht="26.4" x14ac:dyDescent="0.3">
      <c r="A36" s="6" t="s">
        <v>1077</v>
      </c>
      <c r="B36" s="10" t="s">
        <v>1078</v>
      </c>
      <c r="C36" s="6" t="s">
        <v>1082</v>
      </c>
      <c r="D36" s="15">
        <v>798</v>
      </c>
      <c r="E36" s="14" t="str">
        <f>INDEX('Path Scorecard'!$Q$5:$Q$80,MATCH($C36,'Path Scorecard'!$H$5:$H$80,0))</f>
        <v>Hero</v>
      </c>
      <c r="F36" s="6" t="str">
        <f>INDEX('Path Scorecard'!$AC$5:$AC$80,MATCH($C36,'Path Scorecard'!$H$5:$H$80,0))</f>
        <v>EXTEND</v>
      </c>
      <c r="G36" s="14" t="str">
        <f>INDEX('Path Scorecard'!$AB$5:$AB$80,MATCH($C36,'Path Scorecard'!$H$5:$H$80,0))</f>
        <v>Backlog</v>
      </c>
      <c r="H36" s="9">
        <f>INDEX('Path Scorecard'!$Z$5:$Z$80,MATCH($C36,'Path Scorecard'!$H$5:$H$80,0))</f>
        <v>67</v>
      </c>
      <c r="I36" s="10" t="s">
        <v>1083</v>
      </c>
      <c r="J36" s="10" t="s">
        <v>1616</v>
      </c>
    </row>
    <row r="37" spans="1:10" ht="26.4" x14ac:dyDescent="0.3">
      <c r="A37" s="6" t="s">
        <v>1084</v>
      </c>
      <c r="B37" s="10" t="s">
        <v>1085</v>
      </c>
      <c r="C37" s="6" t="s">
        <v>1087</v>
      </c>
      <c r="D37" s="15">
        <v>284</v>
      </c>
      <c r="E37" s="14" t="str">
        <f>INDEX('Path Scorecard'!$Q$5:$Q$80,MATCH($C37,'Path Scorecard'!$H$5:$H$80,0))</f>
        <v>Hero</v>
      </c>
      <c r="F37" s="6" t="str">
        <f>INDEX('Path Scorecard'!$AC$5:$AC$80,MATCH($C37,'Path Scorecard'!$H$5:$H$80,0))</f>
        <v>EXTEND</v>
      </c>
      <c r="G37" s="14" t="str">
        <f>INDEX('Path Scorecard'!$AB$5:$AB$80,MATCH($C37,'Path Scorecard'!$H$5:$H$80,0))</f>
        <v>Backlog</v>
      </c>
      <c r="H37" s="9">
        <f>INDEX('Path Scorecard'!$Z$5:$Z$80,MATCH($C37,'Path Scorecard'!$H$5:$H$80,0))</f>
        <v>67</v>
      </c>
      <c r="I37" s="10" t="s">
        <v>1088</v>
      </c>
      <c r="J37" s="10" t="s">
        <v>1616</v>
      </c>
    </row>
    <row r="38" spans="1:10" ht="26.4" x14ac:dyDescent="0.3">
      <c r="A38" s="6" t="s">
        <v>753</v>
      </c>
      <c r="B38" s="10" t="s">
        <v>754</v>
      </c>
      <c r="C38" s="6" t="s">
        <v>755</v>
      </c>
      <c r="D38" s="15">
        <v>43</v>
      </c>
      <c r="E38" s="14" t="str">
        <f>INDEX('Path Scorecard'!$Q$5:$Q$80,MATCH($C38,'Path Scorecard'!$H$5:$H$80,0))</f>
        <v>Probable Hero</v>
      </c>
      <c r="F38" s="6" t="str">
        <f>INDEX('Path Scorecard'!$AC$5:$AC$80,MATCH($C38,'Path Scorecard'!$H$5:$H$80,0))</f>
        <v>BUILD</v>
      </c>
      <c r="G38" s="14" t="str">
        <f>INDEX('Path Scorecard'!$AB$5:$AB$80,MATCH($C38,'Path Scorecard'!$H$5:$H$80,0))</f>
        <v>Backlog</v>
      </c>
      <c r="H38" s="9">
        <f>INDEX('Path Scorecard'!$Z$5:$Z$80,MATCH($C38,'Path Scorecard'!$H$5:$H$80,0))</f>
        <v>67</v>
      </c>
      <c r="I38" s="10" t="s">
        <v>1092</v>
      </c>
      <c r="J38" s="10" t="s">
        <v>1618</v>
      </c>
    </row>
    <row r="39" spans="1:10" ht="26.4" x14ac:dyDescent="0.3">
      <c r="A39" s="6" t="s">
        <v>1101</v>
      </c>
      <c r="B39" s="10" t="s">
        <v>1102</v>
      </c>
      <c r="C39" s="6" t="s">
        <v>1106</v>
      </c>
      <c r="D39" s="15">
        <v>53</v>
      </c>
      <c r="E39" s="14" t="str">
        <f>INDEX('Path Scorecard'!$Q$5:$Q$80,MATCH($C39,'Path Scorecard'!$H$5:$H$80,0))</f>
        <v>Probable Hero</v>
      </c>
      <c r="F39" s="6" t="str">
        <f>INDEX('Path Scorecard'!$AC$5:$AC$80,MATCH($C39,'Path Scorecard'!$H$5:$H$80,0))</f>
        <v>BUILD</v>
      </c>
      <c r="G39" s="14" t="str">
        <f>INDEX('Path Scorecard'!$AB$5:$AB$80,MATCH($C39,'Path Scorecard'!$H$5:$H$80,0))</f>
        <v>Backlog</v>
      </c>
      <c r="H39" s="9">
        <f>INDEX('Path Scorecard'!$Z$5:$Z$80,MATCH($C39,'Path Scorecard'!$H$5:$H$80,0))</f>
        <v>66</v>
      </c>
      <c r="I39" s="10" t="s">
        <v>1107</v>
      </c>
      <c r="J39" s="10" t="s">
        <v>1619</v>
      </c>
    </row>
    <row r="40" spans="1:10" ht="26.4" x14ac:dyDescent="0.3">
      <c r="A40" s="6" t="s">
        <v>1112</v>
      </c>
      <c r="B40" s="10" t="s">
        <v>1113</v>
      </c>
      <c r="C40" s="6" t="s">
        <v>1118</v>
      </c>
      <c r="D40" s="15">
        <v>236</v>
      </c>
      <c r="E40" s="14" t="str">
        <f>INDEX('Path Scorecard'!$Q$5:$Q$80,MATCH($C40,'Path Scorecard'!$H$5:$H$80,0))</f>
        <v>Probable Hero</v>
      </c>
      <c r="F40" s="6" t="str">
        <f>INDEX('Path Scorecard'!$AC$5:$AC$80,MATCH($C40,'Path Scorecard'!$H$5:$H$80,0))</f>
        <v>BUILD</v>
      </c>
      <c r="G40" s="14" t="str">
        <f>INDEX('Path Scorecard'!$AB$5:$AB$80,MATCH($C40,'Path Scorecard'!$H$5:$H$80,0))</f>
        <v>Backlog</v>
      </c>
      <c r="H40" s="9">
        <f>INDEX('Path Scorecard'!$Z$5:$Z$80,MATCH($C40,'Path Scorecard'!$H$5:$H$80,0))</f>
        <v>66</v>
      </c>
      <c r="I40" s="10" t="s">
        <v>1119</v>
      </c>
      <c r="J40" s="10" t="s">
        <v>1616</v>
      </c>
    </row>
    <row r="41" spans="1:10" ht="26.4" x14ac:dyDescent="0.3">
      <c r="A41" s="6" t="s">
        <v>1122</v>
      </c>
      <c r="B41" s="10" t="s">
        <v>1123</v>
      </c>
      <c r="C41" s="6" t="s">
        <v>1125</v>
      </c>
      <c r="D41" s="15">
        <v>95</v>
      </c>
      <c r="E41" s="14" t="str">
        <f>INDEX('Path Scorecard'!$Q$5:$Q$80,MATCH($C41,'Path Scorecard'!$H$5:$H$80,0))</f>
        <v>Probable Hero</v>
      </c>
      <c r="F41" s="6" t="str">
        <f>INDEX('Path Scorecard'!$AC$5:$AC$80,MATCH($C41,'Path Scorecard'!$H$5:$H$80,0))</f>
        <v>BUILD</v>
      </c>
      <c r="G41" s="14" t="str">
        <f>INDEX('Path Scorecard'!$AB$5:$AB$80,MATCH($C41,'Path Scorecard'!$H$5:$H$80,0))</f>
        <v>Backlog</v>
      </c>
      <c r="H41" s="9">
        <f>INDEX('Path Scorecard'!$Z$5:$Z$80,MATCH($C41,'Path Scorecard'!$H$5:$H$80,0))</f>
        <v>65</v>
      </c>
      <c r="I41" s="10" t="s">
        <v>1126</v>
      </c>
      <c r="J41" s="10" t="s">
        <v>1620</v>
      </c>
    </row>
    <row r="42" spans="1:10" ht="26.4" x14ac:dyDescent="0.3">
      <c r="A42" s="6" t="s">
        <v>1127</v>
      </c>
      <c r="B42" s="10" t="s">
        <v>1128</v>
      </c>
      <c r="C42" s="6" t="s">
        <v>1131</v>
      </c>
      <c r="D42" s="15">
        <v>484</v>
      </c>
      <c r="E42" s="14" t="str">
        <f>INDEX('Path Scorecard'!$Q$5:$Q$80,MATCH($C42,'Path Scorecard'!$H$5:$H$80,0))</f>
        <v>Probable Hero</v>
      </c>
      <c r="F42" s="6" t="str">
        <f>INDEX('Path Scorecard'!$AC$5:$AC$80,MATCH($C42,'Path Scorecard'!$H$5:$H$80,0))</f>
        <v>BUILD</v>
      </c>
      <c r="G42" s="14" t="str">
        <f>INDEX('Path Scorecard'!$AB$5:$AB$80,MATCH($C42,'Path Scorecard'!$H$5:$H$80,0))</f>
        <v>Backlog</v>
      </c>
      <c r="H42" s="9">
        <f>INDEX('Path Scorecard'!$Z$5:$Z$80,MATCH($C42,'Path Scorecard'!$H$5:$H$80,0))</f>
        <v>65</v>
      </c>
      <c r="I42" s="10" t="s">
        <v>1132</v>
      </c>
      <c r="J42" s="10" t="s">
        <v>1616</v>
      </c>
    </row>
    <row r="43" spans="1:10" ht="26.4" x14ac:dyDescent="0.3">
      <c r="A43" s="6" t="s">
        <v>798</v>
      </c>
      <c r="B43" s="10" t="s">
        <v>799</v>
      </c>
      <c r="C43" s="6" t="s">
        <v>800</v>
      </c>
      <c r="D43" s="15">
        <v>66</v>
      </c>
      <c r="E43" s="14" t="str">
        <f>INDEX('Path Scorecard'!$Q$5:$Q$80,MATCH($C43,'Path Scorecard'!$H$5:$H$80,0))</f>
        <v>Non-Hero</v>
      </c>
      <c r="F43" s="6" t="str">
        <f>INDEX('Path Scorecard'!$AC$5:$AC$80,MATCH($C43,'Path Scorecard'!$H$5:$H$80,0))</f>
        <v>EXPLORE</v>
      </c>
      <c r="G43" s="14" t="str">
        <f>INDEX('Path Scorecard'!$AB$5:$AB$80,MATCH($C43,'Path Scorecard'!$H$5:$H$80,0))</f>
        <v>Backlog</v>
      </c>
      <c r="H43" s="9">
        <f>INDEX('Path Scorecard'!$Z$5:$Z$80,MATCH($C43,'Path Scorecard'!$H$5:$H$80,0))</f>
        <v>63</v>
      </c>
      <c r="I43" s="10" t="s">
        <v>1139</v>
      </c>
      <c r="J43" s="10" t="s">
        <v>1616</v>
      </c>
    </row>
    <row r="44" spans="1:10" ht="26.4" x14ac:dyDescent="0.3">
      <c r="A44" s="6" t="s">
        <v>1140</v>
      </c>
      <c r="B44" s="10" t="s">
        <v>1141</v>
      </c>
      <c r="C44" s="6" t="s">
        <v>1144</v>
      </c>
      <c r="D44" s="15">
        <v>126</v>
      </c>
      <c r="E44" s="14" t="str">
        <f>INDEX('Path Scorecard'!$Q$5:$Q$80,MATCH($C44,'Path Scorecard'!$H$5:$H$80,0))</f>
        <v>Non-Hero</v>
      </c>
      <c r="F44" s="6" t="str">
        <f>INDEX('Path Scorecard'!$AC$5:$AC$80,MATCH($C44,'Path Scorecard'!$H$5:$H$80,0))</f>
        <v>EXPLORE</v>
      </c>
      <c r="G44" s="14" t="str">
        <f>INDEX('Path Scorecard'!$AB$5:$AB$80,MATCH($C44,'Path Scorecard'!$H$5:$H$80,0))</f>
        <v>Backlog</v>
      </c>
      <c r="H44" s="9">
        <f>INDEX('Path Scorecard'!$Z$5:$Z$80,MATCH($C44,'Path Scorecard'!$H$5:$H$80,0))</f>
        <v>63</v>
      </c>
      <c r="I44" s="10" t="s">
        <v>1145</v>
      </c>
      <c r="J44" s="10" t="s">
        <v>1616</v>
      </c>
    </row>
    <row r="45" spans="1:10" ht="26.4" x14ac:dyDescent="0.3">
      <c r="A45" s="6" t="s">
        <v>1146</v>
      </c>
      <c r="B45" s="10" t="s">
        <v>1147</v>
      </c>
      <c r="C45" s="6" t="s">
        <v>1151</v>
      </c>
      <c r="D45" s="15">
        <v>639</v>
      </c>
      <c r="E45" s="14" t="str">
        <f>INDEX('Path Scorecard'!$Q$5:$Q$80,MATCH($C45,'Path Scorecard'!$H$5:$H$80,0))</f>
        <v>Hero</v>
      </c>
      <c r="F45" s="6" t="str">
        <f>INDEX('Path Scorecard'!$AC$5:$AC$80,MATCH($C45,'Path Scorecard'!$H$5:$H$80,0))</f>
        <v>EXTEND</v>
      </c>
      <c r="G45" s="14" t="str">
        <f>INDEX('Path Scorecard'!$AB$5:$AB$80,MATCH($C45,'Path Scorecard'!$H$5:$H$80,0))</f>
        <v>Backlog</v>
      </c>
      <c r="H45" s="9">
        <f>INDEX('Path Scorecard'!$Z$5:$Z$80,MATCH($C45,'Path Scorecard'!$H$5:$H$80,0))</f>
        <v>63</v>
      </c>
      <c r="I45" s="10" t="s">
        <v>1152</v>
      </c>
      <c r="J45" s="10" t="s">
        <v>1616</v>
      </c>
    </row>
    <row r="46" spans="1:10" ht="26.4" x14ac:dyDescent="0.3">
      <c r="A46" s="6" t="s">
        <v>1153</v>
      </c>
      <c r="B46" s="10" t="s">
        <v>1154</v>
      </c>
      <c r="C46" s="6" t="s">
        <v>1156</v>
      </c>
      <c r="D46" s="15">
        <v>139</v>
      </c>
      <c r="E46" s="14" t="str">
        <f>INDEX('Path Scorecard'!$Q$5:$Q$80,MATCH($C46,'Path Scorecard'!$H$5:$H$80,0))</f>
        <v>Probable Hero</v>
      </c>
      <c r="F46" s="6" t="str">
        <f>INDEX('Path Scorecard'!$AC$5:$AC$80,MATCH($C46,'Path Scorecard'!$H$5:$H$80,0))</f>
        <v>BUILD</v>
      </c>
      <c r="G46" s="14" t="str">
        <f>INDEX('Path Scorecard'!$AB$5:$AB$80,MATCH($C46,'Path Scorecard'!$H$5:$H$80,0))</f>
        <v>Backlog</v>
      </c>
      <c r="H46" s="9">
        <f>INDEX('Path Scorecard'!$Z$5:$Z$80,MATCH($C46,'Path Scorecard'!$H$5:$H$80,0))</f>
        <v>62</v>
      </c>
      <c r="I46" s="10" t="s">
        <v>1157</v>
      </c>
      <c r="J46" s="10" t="s">
        <v>1616</v>
      </c>
    </row>
    <row r="47" spans="1:10" ht="26.4" x14ac:dyDescent="0.3">
      <c r="A47" s="6" t="s">
        <v>728</v>
      </c>
      <c r="B47" s="10" t="s">
        <v>729</v>
      </c>
      <c r="C47" s="6" t="s">
        <v>730</v>
      </c>
      <c r="D47" s="15">
        <v>147</v>
      </c>
      <c r="E47" s="14" t="str">
        <f>INDEX('Path Scorecard'!$Q$5:$Q$80,MATCH($C47,'Path Scorecard'!$H$5:$H$80,0))</f>
        <v>Non-Hero</v>
      </c>
      <c r="F47" s="6" t="str">
        <f>INDEX('Path Scorecard'!$AC$5:$AC$80,MATCH($C47,'Path Scorecard'!$H$5:$H$80,0))</f>
        <v>EXPLORE</v>
      </c>
      <c r="G47" s="14" t="str">
        <f>INDEX('Path Scorecard'!$AB$5:$AB$80,MATCH($C47,'Path Scorecard'!$H$5:$H$80,0))</f>
        <v>Backlog</v>
      </c>
      <c r="H47" s="9">
        <f>INDEX('Path Scorecard'!$Z$5:$Z$80,MATCH($C47,'Path Scorecard'!$H$5:$H$80,0))</f>
        <v>59</v>
      </c>
      <c r="I47" s="10" t="s">
        <v>1164</v>
      </c>
      <c r="J47" s="10" t="s">
        <v>1616</v>
      </c>
    </row>
    <row r="48" spans="1:10" ht="26.4" x14ac:dyDescent="0.3">
      <c r="A48" s="6" t="s">
        <v>1165</v>
      </c>
      <c r="B48" s="10" t="s">
        <v>1166</v>
      </c>
      <c r="C48" s="6" t="s">
        <v>1168</v>
      </c>
      <c r="D48" s="15">
        <v>42</v>
      </c>
      <c r="E48" s="14" t="str">
        <f>INDEX('Path Scorecard'!$Q$5:$Q$80,MATCH($C48,'Path Scorecard'!$H$5:$H$80,0))</f>
        <v>Non-Hero</v>
      </c>
      <c r="F48" s="6" t="str">
        <f>INDEX('Path Scorecard'!$AC$5:$AC$80,MATCH($C48,'Path Scorecard'!$H$5:$H$80,0))</f>
        <v>EXPLORE</v>
      </c>
      <c r="G48" s="14" t="str">
        <f>INDEX('Path Scorecard'!$AB$5:$AB$80,MATCH($C48,'Path Scorecard'!$H$5:$H$80,0))</f>
        <v>Backlog</v>
      </c>
      <c r="H48" s="9">
        <f>INDEX('Path Scorecard'!$Z$5:$Z$80,MATCH($C48,'Path Scorecard'!$H$5:$H$80,0))</f>
        <v>59</v>
      </c>
      <c r="I48" s="10" t="s">
        <v>1169</v>
      </c>
      <c r="J48" s="10" t="s">
        <v>1616</v>
      </c>
    </row>
    <row r="49" spans="1:10" ht="26.4" x14ac:dyDescent="0.3">
      <c r="A49" s="6" t="s">
        <v>1170</v>
      </c>
      <c r="B49" s="10" t="s">
        <v>1171</v>
      </c>
      <c r="C49" s="6" t="s">
        <v>1174</v>
      </c>
      <c r="D49" s="15">
        <v>91</v>
      </c>
      <c r="E49" s="14" t="str">
        <f>INDEX('Path Scorecard'!$Q$5:$Q$80,MATCH($C49,'Path Scorecard'!$H$5:$H$80,0))</f>
        <v>Non-Hero</v>
      </c>
      <c r="F49" s="6" t="str">
        <f>INDEX('Path Scorecard'!$AC$5:$AC$80,MATCH($C49,'Path Scorecard'!$H$5:$H$80,0))</f>
        <v>EXPLORE</v>
      </c>
      <c r="G49" s="14" t="str">
        <f>INDEX('Path Scorecard'!$AB$5:$AB$80,MATCH($C49,'Path Scorecard'!$H$5:$H$80,0))</f>
        <v>Backlog</v>
      </c>
      <c r="H49" s="9">
        <f>INDEX('Path Scorecard'!$Z$5:$Z$80,MATCH($C49,'Path Scorecard'!$H$5:$H$80,0))</f>
        <v>53</v>
      </c>
      <c r="I49" s="10" t="s">
        <v>1175</v>
      </c>
      <c r="J49" s="10" t="s">
        <v>1616</v>
      </c>
    </row>
    <row r="50" spans="1:10" ht="26.4" x14ac:dyDescent="0.3">
      <c r="A50" s="6" t="s">
        <v>739</v>
      </c>
      <c r="B50" s="10" t="s">
        <v>740</v>
      </c>
      <c r="C50" s="6" t="s">
        <v>741</v>
      </c>
      <c r="D50" s="15">
        <v>77</v>
      </c>
      <c r="E50" s="14" t="str">
        <f>INDEX('Path Scorecard'!$Q$5:$Q$80,MATCH($C50,'Path Scorecard'!$H$5:$H$80,0))</f>
        <v>Non-Hero</v>
      </c>
      <c r="F50" s="6" t="str">
        <f>INDEX('Path Scorecard'!$AC$5:$AC$80,MATCH($C50,'Path Scorecard'!$H$5:$H$80,0))</f>
        <v>EXPLORE</v>
      </c>
      <c r="G50" s="14" t="str">
        <f>INDEX('Path Scorecard'!$AB$5:$AB$80,MATCH($C50,'Path Scorecard'!$H$5:$H$80,0))</f>
        <v>Backlog</v>
      </c>
      <c r="H50" s="9">
        <f>INDEX('Path Scorecard'!$Z$5:$Z$80,MATCH($C50,'Path Scorecard'!$H$5:$H$80,0))</f>
        <v>52</v>
      </c>
      <c r="I50" s="10" t="s">
        <v>1178</v>
      </c>
      <c r="J50" s="10" t="s">
        <v>1616</v>
      </c>
    </row>
    <row r="51" spans="1:10" ht="26.4" x14ac:dyDescent="0.3">
      <c r="A51" s="6" t="s">
        <v>731</v>
      </c>
      <c r="B51" s="10" t="s">
        <v>732</v>
      </c>
      <c r="C51" s="6" t="s">
        <v>733</v>
      </c>
      <c r="D51" s="15">
        <v>87</v>
      </c>
      <c r="E51" s="14" t="str">
        <f>INDEX('Path Scorecard'!$Q$5:$Q$80,MATCH($C51,'Path Scorecard'!$H$5:$H$80,0))</f>
        <v>Non-Hero</v>
      </c>
      <c r="F51" s="6" t="str">
        <f>INDEX('Path Scorecard'!$AC$5:$AC$80,MATCH($C51,'Path Scorecard'!$H$5:$H$80,0))</f>
        <v>EXPLORE</v>
      </c>
      <c r="G51" s="14" t="str">
        <f>INDEX('Path Scorecard'!$AB$5:$AB$80,MATCH($C51,'Path Scorecard'!$H$5:$H$80,0))</f>
        <v>Backlog</v>
      </c>
      <c r="H51" s="9">
        <f>INDEX('Path Scorecard'!$Z$5:$Z$80,MATCH($C51,'Path Scorecard'!$H$5:$H$80,0))</f>
        <v>50</v>
      </c>
      <c r="I51" s="10" t="s">
        <v>1180</v>
      </c>
      <c r="J51" s="10" t="s">
        <v>1616</v>
      </c>
    </row>
    <row r="52" spans="1:10" ht="26.4" x14ac:dyDescent="0.3">
      <c r="A52" s="6" t="s">
        <v>443</v>
      </c>
      <c r="B52" s="10" t="s">
        <v>1621</v>
      </c>
      <c r="C52" s="6" t="s">
        <v>1622</v>
      </c>
      <c r="D52" s="15">
        <v>10635</v>
      </c>
      <c r="E52" s="6" t="s">
        <v>443</v>
      </c>
      <c r="F52" s="6" t="s">
        <v>443</v>
      </c>
      <c r="G52" s="14" t="s">
        <v>1623</v>
      </c>
      <c r="H52" s="6" t="s">
        <v>443</v>
      </c>
      <c r="I52" s="10" t="s">
        <v>1624</v>
      </c>
      <c r="J52" s="10" t="s">
        <v>1625</v>
      </c>
    </row>
  </sheetData>
  <conditionalFormatting sqref="E5:E52">
    <cfRule type="expression" dxfId="7" priority="6">
      <formula>$E5="Hero"</formula>
    </cfRule>
    <cfRule type="expression" dxfId="6" priority="7">
      <formula>$E5="Probable Hero"</formula>
    </cfRule>
    <cfRule type="expression" dxfId="5" priority="8">
      <formula>$E5="Non-Hero"</formula>
    </cfRule>
  </conditionalFormatting>
  <conditionalFormatting sqref="G5:G52">
    <cfRule type="expression" dxfId="4" priority="1">
      <formula>LEFT($G5,11)="Recommended"</formula>
    </cfRule>
    <cfRule type="expression" dxfId="3" priority="2">
      <formula>LEFT($G5,7)="Reserve"</formula>
    </cfRule>
    <cfRule type="expression" dxfId="2" priority="3">
      <formula>LEFT($G5,7)="Backlog"</formula>
    </cfRule>
    <cfRule type="expression" dxfId="1" priority="4">
      <formula>LEFT($G5,7)="Protect"</formula>
    </cfRule>
    <cfRule type="expression" dxfId="0" priority="5">
      <formula>LEFT($G5,6)="Parked"</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H58"/>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4" customWidth="1"/>
    <col min="2" max="2" width="70" customWidth="1"/>
    <col min="3" max="3" width="24" customWidth="1"/>
    <col min="4" max="4" width="60" customWidth="1"/>
    <col min="5" max="6" width="11" customWidth="1"/>
    <col min="7" max="7" width="18" customWidth="1"/>
    <col min="8" max="8" width="30" customWidth="1"/>
  </cols>
  <sheetData>
    <row r="1" spans="1:8" ht="21" x14ac:dyDescent="0.4">
      <c r="A1" s="1" t="s">
        <v>1626</v>
      </c>
    </row>
    <row r="2" spans="1:8" x14ac:dyDescent="0.3">
      <c r="A2" s="2" t="s">
        <v>1627</v>
      </c>
    </row>
    <row r="4" spans="1:8" ht="30" customHeight="1" x14ac:dyDescent="0.3">
      <c r="A4" s="5" t="s">
        <v>10</v>
      </c>
      <c r="B4" s="5" t="s">
        <v>1628</v>
      </c>
      <c r="C4" s="5" t="s">
        <v>1629</v>
      </c>
      <c r="D4" s="5" t="s">
        <v>1630</v>
      </c>
      <c r="E4" s="5" t="s">
        <v>1631</v>
      </c>
      <c r="F4" s="5" t="s">
        <v>1632</v>
      </c>
      <c r="G4" s="5" t="s">
        <v>1633</v>
      </c>
      <c r="H4" s="5" t="s">
        <v>1634</v>
      </c>
    </row>
    <row r="5" spans="1:8" ht="43.95" customHeight="1" x14ac:dyDescent="0.3">
      <c r="A5" s="6">
        <v>1</v>
      </c>
      <c r="B5" s="10" t="s">
        <v>1635</v>
      </c>
      <c r="C5" s="10" t="s">
        <v>1636</v>
      </c>
      <c r="D5" s="10" t="s">
        <v>1637</v>
      </c>
      <c r="E5" s="6" t="s">
        <v>1638</v>
      </c>
      <c r="F5" s="6" t="s">
        <v>1639</v>
      </c>
      <c r="G5" s="10" t="s">
        <v>1640</v>
      </c>
      <c r="H5" s="10" t="s">
        <v>1641</v>
      </c>
    </row>
    <row r="6" spans="1:8" ht="43.95" customHeight="1" x14ac:dyDescent="0.3">
      <c r="A6" s="6">
        <v>2</v>
      </c>
      <c r="B6" s="10" t="s">
        <v>1642</v>
      </c>
      <c r="C6" s="10" t="s">
        <v>1643</v>
      </c>
      <c r="D6" s="10" t="s">
        <v>1644</v>
      </c>
      <c r="E6" s="6" t="s">
        <v>1645</v>
      </c>
      <c r="F6" s="6" t="s">
        <v>1639</v>
      </c>
      <c r="G6" s="10" t="s">
        <v>1646</v>
      </c>
      <c r="H6" s="10" t="s">
        <v>1647</v>
      </c>
    </row>
    <row r="7" spans="1:8" ht="43.95" customHeight="1" x14ac:dyDescent="0.3">
      <c r="A7" s="6">
        <v>3</v>
      </c>
      <c r="B7" s="10" t="s">
        <v>1648</v>
      </c>
      <c r="C7" s="10" t="s">
        <v>1649</v>
      </c>
      <c r="D7" s="10" t="s">
        <v>1650</v>
      </c>
      <c r="E7" s="6" t="s">
        <v>1651</v>
      </c>
      <c r="F7" s="6" t="s">
        <v>1639</v>
      </c>
      <c r="G7" s="10" t="s">
        <v>1646</v>
      </c>
      <c r="H7" s="10" t="s">
        <v>1652</v>
      </c>
    </row>
    <row r="8" spans="1:8" ht="43.95" customHeight="1" x14ac:dyDescent="0.3">
      <c r="A8" s="6">
        <v>4</v>
      </c>
      <c r="B8" s="10" t="s">
        <v>1653</v>
      </c>
      <c r="C8" s="10" t="s">
        <v>1654</v>
      </c>
      <c r="D8" s="10" t="s">
        <v>1655</v>
      </c>
      <c r="E8" s="6" t="s">
        <v>1656</v>
      </c>
      <c r="F8" s="6" t="s">
        <v>1657</v>
      </c>
      <c r="G8" s="10" t="s">
        <v>1238</v>
      </c>
      <c r="H8" s="10" t="s">
        <v>1658</v>
      </c>
    </row>
    <row r="9" spans="1:8" ht="43.95" customHeight="1" x14ac:dyDescent="0.3">
      <c r="A9" s="6">
        <v>5</v>
      </c>
      <c r="B9" s="10" t="s">
        <v>1659</v>
      </c>
      <c r="C9" s="10" t="s">
        <v>1660</v>
      </c>
      <c r="D9" s="10" t="s">
        <v>1661</v>
      </c>
      <c r="E9" s="6" t="s">
        <v>1662</v>
      </c>
      <c r="F9" s="6" t="s">
        <v>1663</v>
      </c>
      <c r="G9" s="10" t="s">
        <v>1646</v>
      </c>
      <c r="H9" s="10" t="s">
        <v>1664</v>
      </c>
    </row>
    <row r="10" spans="1:8" ht="43.95" customHeight="1" x14ac:dyDescent="0.3">
      <c r="A10" s="6">
        <v>6</v>
      </c>
      <c r="B10" s="10" t="s">
        <v>1665</v>
      </c>
      <c r="C10" s="10" t="s">
        <v>1666</v>
      </c>
      <c r="D10" s="10" t="s">
        <v>1667</v>
      </c>
      <c r="E10" s="6" t="s">
        <v>1668</v>
      </c>
      <c r="F10" s="6" t="s">
        <v>1639</v>
      </c>
      <c r="G10" s="10" t="s">
        <v>1238</v>
      </c>
      <c r="H10" s="10" t="s">
        <v>1669</v>
      </c>
    </row>
    <row r="11" spans="1:8" ht="43.95" customHeight="1" x14ac:dyDescent="0.3">
      <c r="A11" s="6">
        <v>7</v>
      </c>
      <c r="B11" s="10" t="s">
        <v>1670</v>
      </c>
      <c r="C11" s="10" t="s">
        <v>1671</v>
      </c>
      <c r="D11" s="10" t="s">
        <v>1672</v>
      </c>
      <c r="E11" s="6" t="s">
        <v>1656</v>
      </c>
      <c r="F11" s="6" t="s">
        <v>1657</v>
      </c>
      <c r="G11" s="10" t="s">
        <v>1646</v>
      </c>
      <c r="H11" s="10" t="s">
        <v>1673</v>
      </c>
    </row>
    <row r="12" spans="1:8" ht="43.95" customHeight="1" x14ac:dyDescent="0.3">
      <c r="A12" s="6">
        <v>8</v>
      </c>
      <c r="B12" s="10" t="s">
        <v>1674</v>
      </c>
      <c r="C12" s="10" t="s">
        <v>669</v>
      </c>
      <c r="D12" s="10" t="s">
        <v>1675</v>
      </c>
      <c r="E12" s="6" t="s">
        <v>1656</v>
      </c>
      <c r="F12" s="6" t="s">
        <v>1639</v>
      </c>
      <c r="G12" s="10" t="s">
        <v>1646</v>
      </c>
      <c r="H12" s="10" t="s">
        <v>1676</v>
      </c>
    </row>
    <row r="13" spans="1:8" ht="43.95" customHeight="1" x14ac:dyDescent="0.3">
      <c r="A13" s="6">
        <v>9</v>
      </c>
      <c r="B13" s="10" t="s">
        <v>1677</v>
      </c>
      <c r="C13" s="10" t="s">
        <v>1678</v>
      </c>
      <c r="D13" s="10" t="s">
        <v>1679</v>
      </c>
      <c r="E13" s="6" t="s">
        <v>1680</v>
      </c>
      <c r="F13" s="6" t="s">
        <v>1663</v>
      </c>
      <c r="G13" s="10" t="s">
        <v>1646</v>
      </c>
      <c r="H13" s="10" t="s">
        <v>1681</v>
      </c>
    </row>
    <row r="14" spans="1:8" ht="43.95" customHeight="1" x14ac:dyDescent="0.3">
      <c r="A14" s="6">
        <v>10</v>
      </c>
      <c r="B14" s="10" t="s">
        <v>1682</v>
      </c>
      <c r="C14" s="10" t="s">
        <v>1683</v>
      </c>
      <c r="D14" s="10" t="s">
        <v>1684</v>
      </c>
      <c r="E14" s="6" t="s">
        <v>1656</v>
      </c>
      <c r="F14" s="6" t="s">
        <v>1639</v>
      </c>
      <c r="G14" s="10" t="s">
        <v>1646</v>
      </c>
      <c r="H14" s="10" t="s">
        <v>1685</v>
      </c>
    </row>
    <row r="15" spans="1:8" ht="43.95" customHeight="1" x14ac:dyDescent="0.3">
      <c r="A15" s="6">
        <v>11</v>
      </c>
      <c r="B15" s="10" t="s">
        <v>1686</v>
      </c>
      <c r="C15" s="10" t="s">
        <v>1687</v>
      </c>
      <c r="D15" s="10" t="s">
        <v>1688</v>
      </c>
      <c r="E15" s="6" t="s">
        <v>1689</v>
      </c>
      <c r="F15" s="6" t="s">
        <v>1663</v>
      </c>
      <c r="G15" s="10" t="s">
        <v>1646</v>
      </c>
      <c r="H15" s="10" t="s">
        <v>1690</v>
      </c>
    </row>
    <row r="16" spans="1:8" ht="43.95" customHeight="1" x14ac:dyDescent="0.3">
      <c r="A16" s="6">
        <v>12</v>
      </c>
      <c r="B16" s="10" t="s">
        <v>1691</v>
      </c>
      <c r="C16" s="10" t="s">
        <v>1692</v>
      </c>
      <c r="D16" s="10" t="s">
        <v>1693</v>
      </c>
      <c r="E16" s="6" t="s">
        <v>1694</v>
      </c>
      <c r="F16" s="6" t="s">
        <v>1639</v>
      </c>
      <c r="G16" s="10" t="s">
        <v>1646</v>
      </c>
      <c r="H16" s="10" t="s">
        <v>1695</v>
      </c>
    </row>
    <row r="17" spans="1:8" ht="43.95" customHeight="1" x14ac:dyDescent="0.3">
      <c r="A17" s="6">
        <v>13</v>
      </c>
      <c r="B17" s="10" t="s">
        <v>1696</v>
      </c>
      <c r="C17" s="10" t="s">
        <v>1697</v>
      </c>
      <c r="D17" s="10" t="s">
        <v>1698</v>
      </c>
      <c r="E17" s="6" t="s">
        <v>1656</v>
      </c>
      <c r="F17" s="6" t="s">
        <v>1639</v>
      </c>
      <c r="G17" s="10" t="s">
        <v>1646</v>
      </c>
      <c r="H17" s="10" t="s">
        <v>1699</v>
      </c>
    </row>
    <row r="18" spans="1:8" ht="43.95" customHeight="1" x14ac:dyDescent="0.3">
      <c r="A18" s="6">
        <v>14</v>
      </c>
      <c r="B18" s="10" t="s">
        <v>1700</v>
      </c>
      <c r="C18" s="10" t="s">
        <v>1701</v>
      </c>
      <c r="D18" s="10" t="s">
        <v>1702</v>
      </c>
      <c r="E18" s="6" t="s">
        <v>1656</v>
      </c>
      <c r="F18" s="6" t="s">
        <v>1639</v>
      </c>
      <c r="G18" s="10" t="s">
        <v>1646</v>
      </c>
      <c r="H18" s="10" t="s">
        <v>1703</v>
      </c>
    </row>
    <row r="19" spans="1:8" ht="43.95" customHeight="1" x14ac:dyDescent="0.3">
      <c r="A19" s="6">
        <v>15</v>
      </c>
      <c r="B19" s="10" t="s">
        <v>1704</v>
      </c>
      <c r="C19" s="10" t="s">
        <v>1705</v>
      </c>
      <c r="D19" s="10" t="s">
        <v>1706</v>
      </c>
      <c r="E19" s="6" t="s">
        <v>1656</v>
      </c>
      <c r="F19" s="6" t="s">
        <v>1663</v>
      </c>
      <c r="G19" s="10" t="s">
        <v>1646</v>
      </c>
      <c r="H19" s="10" t="s">
        <v>1707</v>
      </c>
    </row>
    <row r="20" spans="1:8" ht="43.95" customHeight="1" x14ac:dyDescent="0.3">
      <c r="A20" s="6">
        <v>16</v>
      </c>
      <c r="B20" s="10" t="s">
        <v>1708</v>
      </c>
      <c r="C20" s="10" t="s">
        <v>1709</v>
      </c>
      <c r="D20" s="10" t="s">
        <v>1710</v>
      </c>
      <c r="E20" s="6" t="s">
        <v>1656</v>
      </c>
      <c r="F20" s="6" t="s">
        <v>1663</v>
      </c>
      <c r="G20" s="10" t="s">
        <v>1646</v>
      </c>
      <c r="H20" s="10" t="s">
        <v>1707</v>
      </c>
    </row>
    <row r="21" spans="1:8" ht="43.95" customHeight="1" x14ac:dyDescent="0.3">
      <c r="A21" s="6">
        <v>17</v>
      </c>
      <c r="B21" s="10" t="s">
        <v>1711</v>
      </c>
      <c r="C21" s="10" t="s">
        <v>1712</v>
      </c>
      <c r="D21" s="10" t="s">
        <v>1713</v>
      </c>
      <c r="E21" s="6" t="s">
        <v>1714</v>
      </c>
      <c r="F21" s="6" t="s">
        <v>1715</v>
      </c>
      <c r="G21" s="10" t="s">
        <v>1646</v>
      </c>
      <c r="H21" s="10" t="s">
        <v>1716</v>
      </c>
    </row>
    <row r="22" spans="1:8" ht="43.95" customHeight="1" x14ac:dyDescent="0.3">
      <c r="A22" s="6">
        <v>18</v>
      </c>
      <c r="B22" s="10" t="s">
        <v>1717</v>
      </c>
      <c r="C22" s="10" t="s">
        <v>1718</v>
      </c>
      <c r="D22" s="10" t="s">
        <v>1719</v>
      </c>
      <c r="E22" s="6" t="s">
        <v>1656</v>
      </c>
      <c r="F22" s="6" t="s">
        <v>1720</v>
      </c>
      <c r="G22" s="10" t="s">
        <v>1646</v>
      </c>
      <c r="H22" s="10" t="s">
        <v>1721</v>
      </c>
    </row>
    <row r="23" spans="1:8" ht="43.95" customHeight="1" x14ac:dyDescent="0.3">
      <c r="A23" s="6">
        <v>19</v>
      </c>
      <c r="B23" s="10" t="s">
        <v>1722</v>
      </c>
      <c r="C23" s="10" t="s">
        <v>1723</v>
      </c>
      <c r="D23" s="10" t="s">
        <v>1724</v>
      </c>
      <c r="E23" s="6" t="s">
        <v>1725</v>
      </c>
      <c r="F23" s="6" t="s">
        <v>1715</v>
      </c>
      <c r="G23" s="10" t="s">
        <v>1646</v>
      </c>
      <c r="H23" s="10" t="s">
        <v>1726</v>
      </c>
    </row>
    <row r="24" spans="1:8" ht="43.95" customHeight="1" x14ac:dyDescent="0.3">
      <c r="A24" s="6">
        <v>20</v>
      </c>
      <c r="B24" s="10" t="s">
        <v>1727</v>
      </c>
      <c r="C24" s="10" t="s">
        <v>1728</v>
      </c>
      <c r="D24" s="10" t="s">
        <v>1729</v>
      </c>
      <c r="E24" s="6" t="s">
        <v>1730</v>
      </c>
      <c r="F24" s="6" t="s">
        <v>1720</v>
      </c>
      <c r="G24" s="10" t="s">
        <v>1646</v>
      </c>
      <c r="H24" s="10" t="s">
        <v>1664</v>
      </c>
    </row>
    <row r="25" spans="1:8" ht="43.95" customHeight="1" x14ac:dyDescent="0.3">
      <c r="A25" s="6">
        <v>21</v>
      </c>
      <c r="B25" s="10" t="s">
        <v>1731</v>
      </c>
      <c r="C25" s="10" t="s">
        <v>1732</v>
      </c>
      <c r="D25" s="10" t="s">
        <v>1733</v>
      </c>
      <c r="E25" s="6" t="s">
        <v>1656</v>
      </c>
      <c r="F25" s="6" t="s">
        <v>1720</v>
      </c>
      <c r="G25" s="10" t="s">
        <v>1646</v>
      </c>
      <c r="H25" s="10" t="s">
        <v>1734</v>
      </c>
    </row>
    <row r="26" spans="1:8" ht="43.95" customHeight="1" x14ac:dyDescent="0.3">
      <c r="A26" s="6">
        <v>22</v>
      </c>
      <c r="B26" s="10" t="s">
        <v>1735</v>
      </c>
      <c r="C26" s="10" t="s">
        <v>1736</v>
      </c>
      <c r="D26" s="10" t="s">
        <v>1737</v>
      </c>
      <c r="E26" s="6" t="s">
        <v>1656</v>
      </c>
      <c r="F26" s="6" t="s">
        <v>1720</v>
      </c>
      <c r="G26" s="10" t="s">
        <v>1646</v>
      </c>
      <c r="H26" s="10" t="s">
        <v>1738</v>
      </c>
    </row>
    <row r="27" spans="1:8" ht="43.95" customHeight="1" x14ac:dyDescent="0.3">
      <c r="A27" s="6">
        <v>23</v>
      </c>
      <c r="B27" s="10" t="s">
        <v>1739</v>
      </c>
      <c r="C27" s="10" t="s">
        <v>1740</v>
      </c>
      <c r="D27" s="10" t="s">
        <v>1741</v>
      </c>
      <c r="E27" s="6" t="s">
        <v>1656</v>
      </c>
      <c r="F27" s="6" t="s">
        <v>1720</v>
      </c>
      <c r="G27" s="10" t="s">
        <v>1646</v>
      </c>
      <c r="H27" s="10" t="s">
        <v>1742</v>
      </c>
    </row>
    <row r="28" spans="1:8" ht="43.95" customHeight="1" x14ac:dyDescent="0.3">
      <c r="A28" s="6">
        <v>24</v>
      </c>
      <c r="B28" s="10" t="s">
        <v>1743</v>
      </c>
      <c r="C28" s="10" t="s">
        <v>1744</v>
      </c>
      <c r="D28" s="10" t="s">
        <v>1745</v>
      </c>
      <c r="E28" s="6" t="s">
        <v>1746</v>
      </c>
      <c r="F28" s="6" t="s">
        <v>1720</v>
      </c>
      <c r="G28" s="10" t="s">
        <v>1646</v>
      </c>
      <c r="H28" s="10" t="s">
        <v>1747</v>
      </c>
    </row>
    <row r="29" spans="1:8" ht="43.95" customHeight="1" x14ac:dyDescent="0.3">
      <c r="A29" s="6">
        <v>25</v>
      </c>
      <c r="B29" s="10" t="s">
        <v>1748</v>
      </c>
      <c r="C29" s="10" t="s">
        <v>1749</v>
      </c>
      <c r="D29" s="10" t="s">
        <v>1750</v>
      </c>
      <c r="E29" s="6" t="s">
        <v>1656</v>
      </c>
      <c r="F29" s="6" t="s">
        <v>1720</v>
      </c>
      <c r="G29" s="10" t="s">
        <v>1646</v>
      </c>
      <c r="H29" s="10" t="s">
        <v>1751</v>
      </c>
    </row>
    <row r="30" spans="1:8" ht="43.95" customHeight="1" x14ac:dyDescent="0.3">
      <c r="A30" s="6">
        <v>26</v>
      </c>
      <c r="B30" s="10" t="s">
        <v>1752</v>
      </c>
      <c r="C30" s="10" t="s">
        <v>1753</v>
      </c>
      <c r="D30" s="10" t="s">
        <v>1754</v>
      </c>
      <c r="E30" s="6" t="s">
        <v>1656</v>
      </c>
      <c r="F30" s="6" t="s">
        <v>1720</v>
      </c>
      <c r="G30" s="10" t="s">
        <v>1646</v>
      </c>
      <c r="H30" s="10" t="s">
        <v>1755</v>
      </c>
    </row>
    <row r="31" spans="1:8" ht="43.95" customHeight="1" x14ac:dyDescent="0.3">
      <c r="A31" s="6">
        <v>27</v>
      </c>
      <c r="B31" s="10" t="s">
        <v>1756</v>
      </c>
      <c r="C31" s="10" t="s">
        <v>1757</v>
      </c>
      <c r="D31" s="10" t="s">
        <v>1758</v>
      </c>
      <c r="E31" s="6" t="s">
        <v>1656</v>
      </c>
      <c r="F31" s="6" t="s">
        <v>1715</v>
      </c>
      <c r="G31" s="10" t="s">
        <v>1646</v>
      </c>
      <c r="H31" s="10" t="s">
        <v>1759</v>
      </c>
    </row>
    <row r="32" spans="1:8" ht="43.95" customHeight="1" x14ac:dyDescent="0.3">
      <c r="A32" s="6">
        <v>28</v>
      </c>
      <c r="B32" s="10" t="s">
        <v>1760</v>
      </c>
      <c r="C32" s="10" t="s">
        <v>1761</v>
      </c>
      <c r="D32" s="10" t="s">
        <v>1762</v>
      </c>
      <c r="E32" s="6" t="s">
        <v>1656</v>
      </c>
      <c r="F32" s="6" t="s">
        <v>1720</v>
      </c>
      <c r="G32" s="10" t="s">
        <v>1646</v>
      </c>
      <c r="H32" s="10" t="s">
        <v>1763</v>
      </c>
    </row>
    <row r="33" spans="1:8" ht="43.95" customHeight="1" x14ac:dyDescent="0.3">
      <c r="A33" s="6">
        <v>29</v>
      </c>
      <c r="B33" s="10" t="s">
        <v>1764</v>
      </c>
      <c r="C33" s="10" t="s">
        <v>1765</v>
      </c>
      <c r="D33" s="10" t="s">
        <v>1766</v>
      </c>
      <c r="E33" s="6" t="s">
        <v>1656</v>
      </c>
      <c r="F33" s="6" t="s">
        <v>1767</v>
      </c>
      <c r="G33" s="10" t="s">
        <v>1646</v>
      </c>
      <c r="H33" s="10" t="s">
        <v>1768</v>
      </c>
    </row>
    <row r="34" spans="1:8" ht="43.95" customHeight="1" x14ac:dyDescent="0.3">
      <c r="A34" s="6">
        <v>30</v>
      </c>
      <c r="B34" s="10" t="s">
        <v>1769</v>
      </c>
      <c r="C34" s="10" t="s">
        <v>1770</v>
      </c>
      <c r="D34" s="10" t="s">
        <v>1771</v>
      </c>
      <c r="E34" s="6" t="s">
        <v>1656</v>
      </c>
      <c r="F34" s="6" t="s">
        <v>1767</v>
      </c>
      <c r="G34" s="10" t="s">
        <v>1646</v>
      </c>
      <c r="H34" s="10" t="s">
        <v>1772</v>
      </c>
    </row>
    <row r="35" spans="1:8" ht="43.95" customHeight="1" x14ac:dyDescent="0.3">
      <c r="A35" s="6">
        <v>31</v>
      </c>
      <c r="B35" s="10" t="s">
        <v>1773</v>
      </c>
      <c r="C35" s="10" t="s">
        <v>1774</v>
      </c>
      <c r="D35" s="10" t="s">
        <v>1775</v>
      </c>
      <c r="E35" s="6" t="s">
        <v>1656</v>
      </c>
      <c r="F35" s="6" t="s">
        <v>1639</v>
      </c>
      <c r="G35" s="10" t="s">
        <v>1646</v>
      </c>
      <c r="H35" s="10" t="s">
        <v>1776</v>
      </c>
    </row>
    <row r="36" spans="1:8" ht="43.95" customHeight="1" x14ac:dyDescent="0.3">
      <c r="A36" s="6">
        <v>32</v>
      </c>
      <c r="B36" s="10" t="s">
        <v>1777</v>
      </c>
      <c r="C36" s="10" t="s">
        <v>1778</v>
      </c>
      <c r="D36" s="10" t="s">
        <v>1779</v>
      </c>
      <c r="E36" s="6" t="s">
        <v>1656</v>
      </c>
      <c r="F36" s="6" t="s">
        <v>1639</v>
      </c>
      <c r="G36" s="10" t="s">
        <v>1646</v>
      </c>
      <c r="H36" s="10" t="s">
        <v>1780</v>
      </c>
    </row>
    <row r="37" spans="1:8" ht="43.95" customHeight="1" x14ac:dyDescent="0.3">
      <c r="A37" s="6">
        <v>33</v>
      </c>
      <c r="B37" s="10" t="s">
        <v>1781</v>
      </c>
      <c r="C37" s="10" t="s">
        <v>1782</v>
      </c>
      <c r="D37" s="10" t="s">
        <v>1783</v>
      </c>
      <c r="E37" s="6" t="s">
        <v>1656</v>
      </c>
      <c r="F37" s="6" t="s">
        <v>1639</v>
      </c>
      <c r="G37" s="10" t="s">
        <v>1646</v>
      </c>
      <c r="H37" s="10" t="s">
        <v>1784</v>
      </c>
    </row>
    <row r="38" spans="1:8" ht="43.95" customHeight="1" x14ac:dyDescent="0.3">
      <c r="A38" s="6">
        <v>34</v>
      </c>
      <c r="B38" s="10" t="s">
        <v>1785</v>
      </c>
      <c r="C38" s="10" t="s">
        <v>1786</v>
      </c>
      <c r="D38" s="10" t="s">
        <v>1787</v>
      </c>
      <c r="E38" s="6" t="s">
        <v>1656</v>
      </c>
      <c r="F38" s="6" t="s">
        <v>1657</v>
      </c>
      <c r="G38" s="10" t="s">
        <v>1646</v>
      </c>
      <c r="H38" s="10" t="s">
        <v>1788</v>
      </c>
    </row>
    <row r="39" spans="1:8" ht="43.95" customHeight="1" x14ac:dyDescent="0.3">
      <c r="A39" s="6">
        <v>35</v>
      </c>
      <c r="B39" s="10" t="s">
        <v>1789</v>
      </c>
      <c r="C39" s="10" t="s">
        <v>1790</v>
      </c>
      <c r="D39" s="10" t="s">
        <v>1791</v>
      </c>
      <c r="E39" s="6" t="s">
        <v>1656</v>
      </c>
      <c r="F39" s="6" t="s">
        <v>1663</v>
      </c>
      <c r="G39" s="10" t="s">
        <v>1646</v>
      </c>
      <c r="H39" s="10" t="s">
        <v>1788</v>
      </c>
    </row>
    <row r="40" spans="1:8" ht="43.95" customHeight="1" x14ac:dyDescent="0.3">
      <c r="A40" s="6">
        <v>36</v>
      </c>
      <c r="B40" s="10" t="s">
        <v>1792</v>
      </c>
      <c r="C40" s="10" t="s">
        <v>1793</v>
      </c>
      <c r="D40" s="10" t="s">
        <v>1794</v>
      </c>
      <c r="E40" s="6" t="s">
        <v>1656</v>
      </c>
      <c r="F40" s="6" t="s">
        <v>1639</v>
      </c>
      <c r="G40" s="10" t="s">
        <v>1646</v>
      </c>
      <c r="H40" s="10" t="s">
        <v>1795</v>
      </c>
    </row>
    <row r="41" spans="1:8" ht="43.95" customHeight="1" x14ac:dyDescent="0.3">
      <c r="A41" s="6">
        <v>37</v>
      </c>
      <c r="B41" s="10" t="s">
        <v>1796</v>
      </c>
      <c r="C41" s="10" t="s">
        <v>1797</v>
      </c>
      <c r="D41" s="10" t="s">
        <v>1798</v>
      </c>
      <c r="E41" s="6" t="s">
        <v>1656</v>
      </c>
      <c r="F41" s="6" t="s">
        <v>1639</v>
      </c>
      <c r="G41" s="10" t="s">
        <v>1646</v>
      </c>
      <c r="H41" s="10" t="s">
        <v>1799</v>
      </c>
    </row>
    <row r="42" spans="1:8" ht="43.95" customHeight="1" x14ac:dyDescent="0.3">
      <c r="A42" s="6">
        <v>38</v>
      </c>
      <c r="B42" s="10" t="s">
        <v>1800</v>
      </c>
      <c r="C42" s="10" t="s">
        <v>1801</v>
      </c>
      <c r="D42" s="10" t="s">
        <v>1802</v>
      </c>
      <c r="E42" s="6" t="s">
        <v>1656</v>
      </c>
      <c r="F42" s="6" t="s">
        <v>1639</v>
      </c>
      <c r="G42" s="10" t="s">
        <v>1646</v>
      </c>
      <c r="H42" s="10" t="s">
        <v>1803</v>
      </c>
    </row>
    <row r="43" spans="1:8" ht="43.95" customHeight="1" x14ac:dyDescent="0.3">
      <c r="A43" s="6">
        <v>39</v>
      </c>
      <c r="B43" s="10" t="s">
        <v>1804</v>
      </c>
      <c r="C43" s="10" t="s">
        <v>1805</v>
      </c>
      <c r="D43" s="10" t="s">
        <v>1806</v>
      </c>
      <c r="E43" s="6" t="s">
        <v>1656</v>
      </c>
      <c r="F43" s="6" t="s">
        <v>1663</v>
      </c>
      <c r="G43" s="10" t="s">
        <v>1646</v>
      </c>
      <c r="H43" s="10" t="s">
        <v>1807</v>
      </c>
    </row>
    <row r="44" spans="1:8" ht="43.95" customHeight="1" x14ac:dyDescent="0.3">
      <c r="A44" s="6">
        <v>40</v>
      </c>
      <c r="B44" s="10" t="s">
        <v>1808</v>
      </c>
      <c r="C44" s="10" t="s">
        <v>1809</v>
      </c>
      <c r="D44" s="10" t="s">
        <v>1810</v>
      </c>
      <c r="E44" s="6" t="s">
        <v>1656</v>
      </c>
      <c r="F44" s="6" t="s">
        <v>1639</v>
      </c>
      <c r="G44" s="10" t="s">
        <v>1646</v>
      </c>
      <c r="H44" s="10" t="s">
        <v>1811</v>
      </c>
    </row>
    <row r="45" spans="1:8" ht="43.95" customHeight="1" x14ac:dyDescent="0.3">
      <c r="A45" s="6">
        <v>41</v>
      </c>
      <c r="B45" s="10" t="s">
        <v>1812</v>
      </c>
      <c r="C45" s="10" t="s">
        <v>1813</v>
      </c>
      <c r="D45" s="10" t="s">
        <v>1814</v>
      </c>
      <c r="E45" s="6" t="s">
        <v>1656</v>
      </c>
      <c r="F45" s="6" t="s">
        <v>1767</v>
      </c>
      <c r="G45" s="10" t="s">
        <v>1646</v>
      </c>
      <c r="H45" s="10" t="s">
        <v>1815</v>
      </c>
    </row>
    <row r="46" spans="1:8" ht="43.95" customHeight="1" x14ac:dyDescent="0.3">
      <c r="A46" s="6">
        <v>42</v>
      </c>
      <c r="B46" s="10" t="s">
        <v>1816</v>
      </c>
      <c r="C46" s="10" t="s">
        <v>1817</v>
      </c>
      <c r="D46" s="10" t="s">
        <v>1818</v>
      </c>
      <c r="E46" s="6" t="s">
        <v>1656</v>
      </c>
      <c r="F46" s="6" t="s">
        <v>1639</v>
      </c>
      <c r="G46" s="10" t="s">
        <v>1646</v>
      </c>
      <c r="H46" s="10" t="s">
        <v>1819</v>
      </c>
    </row>
    <row r="47" spans="1:8" ht="43.95" customHeight="1" x14ac:dyDescent="0.3">
      <c r="A47" s="6">
        <v>43</v>
      </c>
      <c r="B47" s="10" t="s">
        <v>1820</v>
      </c>
      <c r="C47" s="10" t="s">
        <v>1821</v>
      </c>
      <c r="D47" s="10" t="s">
        <v>1822</v>
      </c>
      <c r="E47" s="6" t="s">
        <v>1656</v>
      </c>
      <c r="F47" s="6" t="s">
        <v>1639</v>
      </c>
      <c r="G47" s="10" t="s">
        <v>1646</v>
      </c>
      <c r="H47" s="10" t="s">
        <v>1823</v>
      </c>
    </row>
    <row r="48" spans="1:8" ht="43.95" customHeight="1" x14ac:dyDescent="0.3">
      <c r="A48" s="6">
        <v>44</v>
      </c>
      <c r="B48" s="10" t="s">
        <v>1824</v>
      </c>
      <c r="C48" s="10" t="s">
        <v>1825</v>
      </c>
      <c r="D48" s="10" t="s">
        <v>1826</v>
      </c>
      <c r="E48" s="6" t="s">
        <v>1656</v>
      </c>
      <c r="F48" s="6" t="s">
        <v>1639</v>
      </c>
      <c r="G48" s="10" t="s">
        <v>1646</v>
      </c>
      <c r="H48" s="10" t="s">
        <v>1827</v>
      </c>
    </row>
    <row r="49" spans="1:8" ht="43.95" customHeight="1" x14ac:dyDescent="0.3">
      <c r="A49" s="6">
        <v>45</v>
      </c>
      <c r="B49" s="10" t="s">
        <v>1828</v>
      </c>
      <c r="C49" s="10" t="s">
        <v>1829</v>
      </c>
      <c r="D49" s="10" t="s">
        <v>1830</v>
      </c>
      <c r="E49" s="6" t="s">
        <v>1656</v>
      </c>
      <c r="F49" s="6" t="s">
        <v>1639</v>
      </c>
      <c r="G49" s="10" t="s">
        <v>1646</v>
      </c>
      <c r="H49" s="10" t="s">
        <v>1831</v>
      </c>
    </row>
    <row r="50" spans="1:8" ht="43.95" customHeight="1" x14ac:dyDescent="0.3">
      <c r="A50" s="6">
        <v>46</v>
      </c>
      <c r="B50" s="10" t="s">
        <v>1832</v>
      </c>
      <c r="C50" s="10" t="s">
        <v>1833</v>
      </c>
      <c r="D50" s="10" t="s">
        <v>1834</v>
      </c>
      <c r="E50" s="6" t="s">
        <v>1656</v>
      </c>
      <c r="F50" s="6" t="s">
        <v>1657</v>
      </c>
      <c r="G50" s="10" t="s">
        <v>1646</v>
      </c>
      <c r="H50" s="10" t="s">
        <v>1835</v>
      </c>
    </row>
    <row r="51" spans="1:8" ht="43.95" customHeight="1" x14ac:dyDescent="0.3">
      <c r="A51" s="6">
        <v>47</v>
      </c>
      <c r="B51" s="10" t="s">
        <v>1836</v>
      </c>
      <c r="C51" s="10" t="s">
        <v>1837</v>
      </c>
      <c r="D51" s="10" t="s">
        <v>1838</v>
      </c>
      <c r="E51" s="6" t="s">
        <v>1839</v>
      </c>
      <c r="F51" s="6" t="s">
        <v>1663</v>
      </c>
      <c r="G51" s="10" t="s">
        <v>1646</v>
      </c>
      <c r="H51" s="10" t="s">
        <v>1840</v>
      </c>
    </row>
    <row r="52" spans="1:8" ht="43.95" customHeight="1" x14ac:dyDescent="0.3">
      <c r="A52" s="6">
        <v>48</v>
      </c>
      <c r="B52" s="10" t="s">
        <v>1841</v>
      </c>
      <c r="C52" s="10" t="s">
        <v>1842</v>
      </c>
      <c r="D52" s="10" t="s">
        <v>1843</v>
      </c>
      <c r="E52" s="6" t="s">
        <v>1656</v>
      </c>
      <c r="F52" s="6" t="s">
        <v>1767</v>
      </c>
      <c r="G52" s="10" t="s">
        <v>1646</v>
      </c>
      <c r="H52" s="10" t="s">
        <v>1844</v>
      </c>
    </row>
    <row r="53" spans="1:8" ht="43.95" customHeight="1" x14ac:dyDescent="0.3">
      <c r="A53" s="6">
        <v>49</v>
      </c>
      <c r="B53" s="10" t="s">
        <v>1845</v>
      </c>
      <c r="C53" s="10" t="s">
        <v>1846</v>
      </c>
      <c r="D53" s="10" t="s">
        <v>1847</v>
      </c>
      <c r="E53" s="6" t="s">
        <v>1656</v>
      </c>
      <c r="F53" s="6" t="s">
        <v>1639</v>
      </c>
      <c r="G53" s="10" t="s">
        <v>1646</v>
      </c>
      <c r="H53" s="10" t="s">
        <v>1848</v>
      </c>
    </row>
    <row r="54" spans="1:8" ht="43.95" customHeight="1" x14ac:dyDescent="0.3">
      <c r="A54" s="6">
        <v>50</v>
      </c>
      <c r="B54" s="10" t="s">
        <v>1849</v>
      </c>
      <c r="C54" s="10" t="s">
        <v>1850</v>
      </c>
      <c r="D54" s="10" t="s">
        <v>1851</v>
      </c>
      <c r="E54" s="6" t="s">
        <v>1656</v>
      </c>
      <c r="F54" s="6" t="s">
        <v>1720</v>
      </c>
      <c r="G54" s="10" t="s">
        <v>1646</v>
      </c>
      <c r="H54" s="10" t="s">
        <v>1852</v>
      </c>
    </row>
    <row r="55" spans="1:8" ht="43.95" customHeight="1" x14ac:dyDescent="0.3">
      <c r="A55" s="6">
        <v>51</v>
      </c>
      <c r="B55" s="10" t="s">
        <v>1853</v>
      </c>
      <c r="C55" s="10" t="s">
        <v>1854</v>
      </c>
      <c r="D55" s="10" t="s">
        <v>1855</v>
      </c>
      <c r="E55" s="6" t="s">
        <v>1856</v>
      </c>
      <c r="F55" s="6" t="s">
        <v>1639</v>
      </c>
      <c r="G55" s="10" t="s">
        <v>1238</v>
      </c>
      <c r="H55" s="10" t="s">
        <v>1857</v>
      </c>
    </row>
    <row r="56" spans="1:8" ht="43.95" customHeight="1" x14ac:dyDescent="0.3">
      <c r="A56" s="6">
        <v>52</v>
      </c>
      <c r="B56" s="10" t="s">
        <v>1858</v>
      </c>
      <c r="C56" s="10" t="s">
        <v>1854</v>
      </c>
      <c r="D56" s="10" t="s">
        <v>1859</v>
      </c>
      <c r="E56" s="6" t="s">
        <v>1860</v>
      </c>
      <c r="F56" s="6" t="s">
        <v>1639</v>
      </c>
      <c r="G56" s="10" t="s">
        <v>1238</v>
      </c>
      <c r="H56" s="10" t="s">
        <v>1861</v>
      </c>
    </row>
    <row r="57" spans="1:8" ht="43.95" customHeight="1" x14ac:dyDescent="0.3">
      <c r="A57" s="6">
        <v>53</v>
      </c>
      <c r="B57" s="10" t="s">
        <v>1862</v>
      </c>
      <c r="C57" s="10" t="s">
        <v>1863</v>
      </c>
      <c r="D57" s="10" t="s">
        <v>1864</v>
      </c>
      <c r="E57" s="6" t="s">
        <v>1865</v>
      </c>
      <c r="F57" s="6" t="s">
        <v>1639</v>
      </c>
      <c r="G57" s="10" t="s">
        <v>1238</v>
      </c>
      <c r="H57" s="10" t="s">
        <v>1866</v>
      </c>
    </row>
    <row r="58" spans="1:8" ht="43.95" customHeight="1" x14ac:dyDescent="0.3">
      <c r="A58" s="6">
        <v>54</v>
      </c>
      <c r="B58" s="10" t="s">
        <v>1867</v>
      </c>
      <c r="C58" s="10" t="s">
        <v>1868</v>
      </c>
      <c r="D58" s="10" t="s">
        <v>1869</v>
      </c>
      <c r="E58" s="6" t="s">
        <v>1870</v>
      </c>
      <c r="F58" s="6" t="s">
        <v>1639</v>
      </c>
      <c r="G58" s="10" t="s">
        <v>1238</v>
      </c>
      <c r="H58" s="10" t="s">
        <v>1871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6A6A6"/>
  </sheetPr>
  <dimension ref="A1:K1244"/>
  <sheetViews>
    <sheetView showGridLines="0" workbookViewId="0">
      <pane ySplit="4" topLeftCell="A5" activePane="bottomLeft" state="frozen"/>
      <selection pane="bottomLeft"/>
    </sheetView>
  </sheetViews>
  <sheetFormatPr defaultRowHeight="14.4" x14ac:dyDescent="0.3"/>
  <cols>
    <col min="1" max="1" width="26" customWidth="1"/>
    <col min="2" max="3" width="30" customWidth="1"/>
    <col min="4" max="4" width="34" customWidth="1"/>
    <col min="5" max="5" width="6" customWidth="1"/>
    <col min="6" max="6" width="11" customWidth="1"/>
    <col min="7" max="7" width="8" customWidth="1"/>
    <col min="8" max="8" width="9" customWidth="1"/>
    <col min="9" max="9" width="10" customWidth="1"/>
    <col min="10" max="10" width="70" customWidth="1"/>
    <col min="11" max="11" width="60" customWidth="1"/>
  </cols>
  <sheetData>
    <row r="1" spans="1:11" ht="21" x14ac:dyDescent="0.4">
      <c r="A1" s="1" t="s">
        <v>1872</v>
      </c>
    </row>
    <row r="2" spans="1:11" x14ac:dyDescent="0.3">
      <c r="A2" s="2" t="s">
        <v>1873</v>
      </c>
    </row>
    <row r="4" spans="1:11" ht="30" customHeight="1" x14ac:dyDescent="0.3">
      <c r="A4" s="5" t="s">
        <v>884</v>
      </c>
      <c r="B4" s="5" t="s">
        <v>885</v>
      </c>
      <c r="C4" s="5" t="s">
        <v>886</v>
      </c>
      <c r="D4" s="5" t="s">
        <v>887</v>
      </c>
      <c r="E4" s="5" t="s">
        <v>129</v>
      </c>
      <c r="F4" s="5" t="s">
        <v>130</v>
      </c>
      <c r="G4" s="5" t="s">
        <v>1874</v>
      </c>
      <c r="H4" s="5" t="s">
        <v>132</v>
      </c>
      <c r="I4" s="5" t="s">
        <v>1875</v>
      </c>
      <c r="J4" s="5" t="s">
        <v>1876</v>
      </c>
      <c r="K4" s="5" t="s">
        <v>1877</v>
      </c>
    </row>
    <row r="5" spans="1:11" x14ac:dyDescent="0.3">
      <c r="A5" s="13" t="s">
        <v>1114</v>
      </c>
      <c r="B5" s="13" t="s">
        <v>1115</v>
      </c>
      <c r="C5" s="13" t="s">
        <v>1196</v>
      </c>
      <c r="D5" s="13" t="s">
        <v>1878</v>
      </c>
      <c r="E5" s="13">
        <v>4</v>
      </c>
      <c r="F5" s="13" t="s">
        <v>1879</v>
      </c>
      <c r="G5" s="13">
        <v>23</v>
      </c>
      <c r="H5" s="13">
        <v>0</v>
      </c>
      <c r="I5" s="13"/>
      <c r="J5" s="13" t="s">
        <v>1880</v>
      </c>
      <c r="K5" s="13" t="s">
        <v>1881</v>
      </c>
    </row>
    <row r="6" spans="1:11" x14ac:dyDescent="0.3">
      <c r="A6" s="13" t="s">
        <v>1114</v>
      </c>
      <c r="B6" s="13" t="s">
        <v>1115</v>
      </c>
      <c r="C6" s="13" t="s">
        <v>1196</v>
      </c>
      <c r="D6" s="13" t="s">
        <v>1197</v>
      </c>
      <c r="E6" s="13">
        <v>4</v>
      </c>
      <c r="F6" s="13" t="s">
        <v>768</v>
      </c>
      <c r="G6" s="13">
        <v>15</v>
      </c>
      <c r="H6" s="13">
        <v>15</v>
      </c>
      <c r="I6" s="3" t="s">
        <v>766</v>
      </c>
      <c r="J6" s="13" t="s">
        <v>767</v>
      </c>
      <c r="K6" s="13" t="s">
        <v>1882</v>
      </c>
    </row>
    <row r="7" spans="1:11" x14ac:dyDescent="0.3">
      <c r="A7" s="13" t="s">
        <v>1114</v>
      </c>
      <c r="B7" s="13" t="s">
        <v>1115</v>
      </c>
      <c r="C7" s="13" t="s">
        <v>1196</v>
      </c>
      <c r="D7" s="13" t="s">
        <v>1883</v>
      </c>
      <c r="E7" s="13">
        <v>4</v>
      </c>
      <c r="F7" s="13" t="s">
        <v>1884</v>
      </c>
      <c r="G7" s="13">
        <v>37</v>
      </c>
      <c r="H7" s="13">
        <v>0</v>
      </c>
      <c r="I7" s="13"/>
      <c r="J7" s="13" t="s">
        <v>1885</v>
      </c>
      <c r="K7" s="13" t="s">
        <v>1886</v>
      </c>
    </row>
    <row r="8" spans="1:11" x14ac:dyDescent="0.3">
      <c r="A8" s="13" t="s">
        <v>1114</v>
      </c>
      <c r="B8" s="13" t="s">
        <v>1115</v>
      </c>
      <c r="C8" s="13" t="s">
        <v>1196</v>
      </c>
      <c r="D8" s="13" t="s">
        <v>1887</v>
      </c>
      <c r="E8" s="13">
        <v>4</v>
      </c>
      <c r="F8" s="13" t="s">
        <v>1888</v>
      </c>
      <c r="G8" s="13">
        <v>8</v>
      </c>
      <c r="H8" s="13">
        <v>0</v>
      </c>
      <c r="I8" s="13"/>
      <c r="J8" s="13" t="s">
        <v>1889</v>
      </c>
      <c r="K8" s="13" t="s">
        <v>1890</v>
      </c>
    </row>
    <row r="9" spans="1:11" x14ac:dyDescent="0.3">
      <c r="A9" s="13" t="s">
        <v>1114</v>
      </c>
      <c r="B9" s="13" t="s">
        <v>1115</v>
      </c>
      <c r="C9" s="13" t="s">
        <v>1196</v>
      </c>
      <c r="D9" s="13" t="s">
        <v>1891</v>
      </c>
      <c r="E9" s="13">
        <v>4</v>
      </c>
      <c r="F9" s="13" t="s">
        <v>1892</v>
      </c>
      <c r="G9" s="13">
        <v>36</v>
      </c>
      <c r="H9" s="13">
        <v>0</v>
      </c>
      <c r="I9" s="13"/>
      <c r="J9" s="13" t="s">
        <v>1893</v>
      </c>
      <c r="K9" s="13" t="s">
        <v>1894</v>
      </c>
    </row>
    <row r="10" spans="1:11" x14ac:dyDescent="0.3">
      <c r="A10" s="13" t="s">
        <v>1114</v>
      </c>
      <c r="B10" s="13" t="s">
        <v>1115</v>
      </c>
      <c r="C10" s="13" t="s">
        <v>1116</v>
      </c>
      <c r="D10" s="13" t="s">
        <v>1895</v>
      </c>
      <c r="E10" s="13">
        <v>4</v>
      </c>
      <c r="F10" s="13" t="s">
        <v>1896</v>
      </c>
      <c r="G10" s="13">
        <v>5</v>
      </c>
      <c r="H10" s="13">
        <v>0</v>
      </c>
      <c r="I10" s="13"/>
      <c r="J10" s="13" t="s">
        <v>1897</v>
      </c>
      <c r="K10" s="13" t="s">
        <v>1898</v>
      </c>
    </row>
    <row r="11" spans="1:11" x14ac:dyDescent="0.3">
      <c r="A11" s="13" t="s">
        <v>1114</v>
      </c>
      <c r="B11" s="13" t="s">
        <v>1115</v>
      </c>
      <c r="C11" s="13" t="s">
        <v>1116</v>
      </c>
      <c r="D11" s="13" t="s">
        <v>1117</v>
      </c>
      <c r="E11" s="13">
        <v>4</v>
      </c>
      <c r="F11" s="13" t="s">
        <v>1118</v>
      </c>
      <c r="G11" s="13">
        <v>236</v>
      </c>
      <c r="H11" s="13">
        <v>0</v>
      </c>
      <c r="I11" s="3" t="s">
        <v>1112</v>
      </c>
      <c r="J11" s="13" t="s">
        <v>1113</v>
      </c>
      <c r="K11" s="13" t="s">
        <v>1899</v>
      </c>
    </row>
    <row r="12" spans="1:11" x14ac:dyDescent="0.3">
      <c r="A12" s="13" t="s">
        <v>1114</v>
      </c>
      <c r="B12" s="13" t="s">
        <v>1115</v>
      </c>
      <c r="C12" s="13" t="s">
        <v>1116</v>
      </c>
      <c r="D12" s="13" t="s">
        <v>1900</v>
      </c>
      <c r="E12" s="13">
        <v>4</v>
      </c>
      <c r="F12" s="13" t="s">
        <v>1901</v>
      </c>
      <c r="G12" s="13">
        <v>7</v>
      </c>
      <c r="H12" s="13">
        <v>0</v>
      </c>
      <c r="I12" s="13"/>
      <c r="J12" s="13" t="s">
        <v>1902</v>
      </c>
      <c r="K12" s="13" t="s">
        <v>1903</v>
      </c>
    </row>
    <row r="13" spans="1:11" x14ac:dyDescent="0.3">
      <c r="A13" s="13" t="s">
        <v>1114</v>
      </c>
      <c r="B13" s="13" t="s">
        <v>1115</v>
      </c>
      <c r="C13" s="13" t="s">
        <v>1904</v>
      </c>
      <c r="D13" s="13" t="s">
        <v>1905</v>
      </c>
      <c r="E13" s="13">
        <v>4</v>
      </c>
      <c r="F13" s="13" t="s">
        <v>1906</v>
      </c>
      <c r="G13" s="13">
        <v>14</v>
      </c>
      <c r="H13" s="13">
        <v>0</v>
      </c>
      <c r="I13" s="13"/>
      <c r="J13" s="13" t="s">
        <v>1907</v>
      </c>
      <c r="K13" s="13" t="s">
        <v>1908</v>
      </c>
    </row>
    <row r="14" spans="1:11" x14ac:dyDescent="0.3">
      <c r="A14" s="13" t="s">
        <v>1114</v>
      </c>
      <c r="B14" s="13" t="s">
        <v>1115</v>
      </c>
      <c r="C14" s="13" t="s">
        <v>1904</v>
      </c>
      <c r="D14" s="13" t="s">
        <v>1909</v>
      </c>
      <c r="E14" s="13">
        <v>4</v>
      </c>
      <c r="F14" s="13" t="s">
        <v>1910</v>
      </c>
      <c r="G14" s="13">
        <v>3</v>
      </c>
      <c r="H14" s="13">
        <v>0</v>
      </c>
      <c r="I14" s="13"/>
      <c r="J14" s="13" t="s">
        <v>1911</v>
      </c>
      <c r="K14" s="13" t="s">
        <v>1912</v>
      </c>
    </row>
    <row r="15" spans="1:11" x14ac:dyDescent="0.3">
      <c r="A15" s="13" t="s">
        <v>1114</v>
      </c>
      <c r="B15" s="13" t="s">
        <v>1115</v>
      </c>
      <c r="C15" s="13" t="s">
        <v>1904</v>
      </c>
      <c r="D15" s="13" t="s">
        <v>1913</v>
      </c>
      <c r="E15" s="13">
        <v>4</v>
      </c>
      <c r="F15" s="13" t="s">
        <v>1914</v>
      </c>
      <c r="G15" s="13">
        <v>73</v>
      </c>
      <c r="H15" s="13">
        <v>0</v>
      </c>
      <c r="I15" s="13"/>
      <c r="J15" s="13" t="s">
        <v>1915</v>
      </c>
      <c r="K15" s="13" t="s">
        <v>1916</v>
      </c>
    </row>
    <row r="16" spans="1:11" x14ac:dyDescent="0.3">
      <c r="A16" s="13" t="s">
        <v>1114</v>
      </c>
      <c r="B16" s="13" t="s">
        <v>1115</v>
      </c>
      <c r="C16" s="13" t="s">
        <v>1904</v>
      </c>
      <c r="D16" s="13" t="s">
        <v>1917</v>
      </c>
      <c r="E16" s="13">
        <v>4</v>
      </c>
      <c r="F16" s="13" t="s">
        <v>1918</v>
      </c>
      <c r="G16" s="13">
        <v>39</v>
      </c>
      <c r="H16" s="13">
        <v>0</v>
      </c>
      <c r="I16" s="13"/>
      <c r="J16" s="13" t="s">
        <v>1919</v>
      </c>
      <c r="K16" s="13" t="s">
        <v>1920</v>
      </c>
    </row>
    <row r="17" spans="1:11" x14ac:dyDescent="0.3">
      <c r="A17" s="13" t="s">
        <v>1114</v>
      </c>
      <c r="B17" s="13" t="s">
        <v>1115</v>
      </c>
      <c r="C17" s="13" t="s">
        <v>1904</v>
      </c>
      <c r="D17" s="13" t="s">
        <v>1921</v>
      </c>
      <c r="E17" s="13">
        <v>4</v>
      </c>
      <c r="F17" s="13" t="s">
        <v>1922</v>
      </c>
      <c r="G17" s="13">
        <v>3</v>
      </c>
      <c r="H17" s="13">
        <v>0</v>
      </c>
      <c r="I17" s="13"/>
      <c r="J17" s="13" t="s">
        <v>1923</v>
      </c>
      <c r="K17" s="13" t="s">
        <v>1924</v>
      </c>
    </row>
    <row r="18" spans="1:11" x14ac:dyDescent="0.3">
      <c r="A18" s="13" t="s">
        <v>1114</v>
      </c>
      <c r="B18" s="13" t="s">
        <v>1115</v>
      </c>
      <c r="C18" s="13" t="s">
        <v>1904</v>
      </c>
      <c r="D18" s="13" t="s">
        <v>1925</v>
      </c>
      <c r="E18" s="13">
        <v>4</v>
      </c>
      <c r="F18" s="13" t="s">
        <v>1926</v>
      </c>
      <c r="G18" s="13">
        <v>9</v>
      </c>
      <c r="H18" s="13">
        <v>0</v>
      </c>
      <c r="I18" s="13"/>
      <c r="J18" s="13" t="s">
        <v>1927</v>
      </c>
      <c r="K18" s="13" t="s">
        <v>1928</v>
      </c>
    </row>
    <row r="19" spans="1:11" x14ac:dyDescent="0.3">
      <c r="A19" s="13" t="s">
        <v>1114</v>
      </c>
      <c r="B19" s="13" t="s">
        <v>1115</v>
      </c>
      <c r="C19" s="13" t="s">
        <v>1904</v>
      </c>
      <c r="D19" s="13" t="s">
        <v>1929</v>
      </c>
      <c r="E19" s="13">
        <v>4</v>
      </c>
      <c r="F19" s="13" t="s">
        <v>1930</v>
      </c>
      <c r="G19" s="13">
        <v>5</v>
      </c>
      <c r="H19" s="13">
        <v>0</v>
      </c>
      <c r="I19" s="13"/>
      <c r="J19" s="13" t="s">
        <v>1931</v>
      </c>
      <c r="K19" s="13" t="s">
        <v>1932</v>
      </c>
    </row>
    <row r="20" spans="1:11" x14ac:dyDescent="0.3">
      <c r="A20" s="13" t="s">
        <v>1114</v>
      </c>
      <c r="B20" s="13" t="s">
        <v>1115</v>
      </c>
      <c r="C20" s="13" t="s">
        <v>1904</v>
      </c>
      <c r="D20" s="13" t="s">
        <v>1933</v>
      </c>
      <c r="E20" s="13">
        <v>4</v>
      </c>
      <c r="F20" s="13" t="s">
        <v>1934</v>
      </c>
      <c r="G20" s="13">
        <v>102</v>
      </c>
      <c r="H20" s="13">
        <v>0</v>
      </c>
      <c r="I20" s="13"/>
      <c r="J20" s="13" t="s">
        <v>1935</v>
      </c>
      <c r="K20" s="13" t="s">
        <v>1936</v>
      </c>
    </row>
    <row r="21" spans="1:11" x14ac:dyDescent="0.3">
      <c r="A21" s="13" t="s">
        <v>1114</v>
      </c>
      <c r="B21" s="13" t="s">
        <v>1115</v>
      </c>
      <c r="C21" s="13" t="s">
        <v>1904</v>
      </c>
      <c r="D21" s="13" t="s">
        <v>1937</v>
      </c>
      <c r="E21" s="13">
        <v>4</v>
      </c>
      <c r="F21" s="13" t="s">
        <v>1938</v>
      </c>
      <c r="G21" s="13">
        <v>2</v>
      </c>
      <c r="H21" s="13">
        <v>0</v>
      </c>
      <c r="I21" s="13"/>
      <c r="J21" s="13" t="s">
        <v>1939</v>
      </c>
      <c r="K21" s="13" t="s">
        <v>1940</v>
      </c>
    </row>
    <row r="22" spans="1:11" x14ac:dyDescent="0.3">
      <c r="A22" s="13" t="s">
        <v>1114</v>
      </c>
      <c r="B22" s="13" t="s">
        <v>1115</v>
      </c>
      <c r="C22" s="13" t="s">
        <v>1904</v>
      </c>
      <c r="D22" s="13" t="s">
        <v>1941</v>
      </c>
      <c r="E22" s="13">
        <v>4</v>
      </c>
      <c r="F22" s="13" t="s">
        <v>1942</v>
      </c>
      <c r="G22" s="13">
        <v>16</v>
      </c>
      <c r="H22" s="13">
        <v>0</v>
      </c>
      <c r="I22" s="13"/>
      <c r="J22" s="13" t="s">
        <v>1943</v>
      </c>
      <c r="K22" s="13" t="s">
        <v>1944</v>
      </c>
    </row>
    <row r="23" spans="1:11" x14ac:dyDescent="0.3">
      <c r="A23" s="13" t="s">
        <v>1114</v>
      </c>
      <c r="B23" s="13" t="s">
        <v>1115</v>
      </c>
      <c r="C23" s="13" t="s">
        <v>1904</v>
      </c>
      <c r="D23" s="13" t="s">
        <v>1945</v>
      </c>
      <c r="E23" s="13">
        <v>4</v>
      </c>
      <c r="F23" s="13" t="s">
        <v>1946</v>
      </c>
      <c r="G23" s="13">
        <v>86</v>
      </c>
      <c r="H23" s="13">
        <v>0</v>
      </c>
      <c r="I23" s="13"/>
      <c r="J23" s="13" t="s">
        <v>1947</v>
      </c>
      <c r="K23" s="13" t="s">
        <v>1948</v>
      </c>
    </row>
    <row r="24" spans="1:11" x14ac:dyDescent="0.3">
      <c r="A24" s="13" t="s">
        <v>1114</v>
      </c>
      <c r="B24" s="13" t="s">
        <v>1115</v>
      </c>
      <c r="C24" s="13" t="s">
        <v>1904</v>
      </c>
      <c r="D24" s="13" t="s">
        <v>1949</v>
      </c>
      <c r="E24" s="13">
        <v>4</v>
      </c>
      <c r="F24" s="13" t="s">
        <v>1950</v>
      </c>
      <c r="G24" s="13">
        <v>3</v>
      </c>
      <c r="H24" s="13">
        <v>0</v>
      </c>
      <c r="I24" s="13"/>
      <c r="J24" s="13" t="s">
        <v>1951</v>
      </c>
      <c r="K24" s="13" t="s">
        <v>1952</v>
      </c>
    </row>
    <row r="25" spans="1:11" x14ac:dyDescent="0.3">
      <c r="A25" s="13" t="s">
        <v>1114</v>
      </c>
      <c r="B25" s="13" t="s">
        <v>1115</v>
      </c>
      <c r="C25" s="13" t="s">
        <v>1904</v>
      </c>
      <c r="D25" s="13" t="s">
        <v>1953</v>
      </c>
      <c r="E25" s="13">
        <v>4</v>
      </c>
      <c r="F25" s="13" t="s">
        <v>1954</v>
      </c>
      <c r="G25" s="13">
        <v>15</v>
      </c>
      <c r="H25" s="13">
        <v>0</v>
      </c>
      <c r="I25" s="13"/>
      <c r="J25" s="13" t="s">
        <v>1955</v>
      </c>
      <c r="K25" s="13" t="s">
        <v>1956</v>
      </c>
    </row>
    <row r="26" spans="1:11" x14ac:dyDescent="0.3">
      <c r="A26" s="13" t="s">
        <v>1114</v>
      </c>
      <c r="B26" s="13" t="s">
        <v>1115</v>
      </c>
      <c r="C26" s="13" t="s">
        <v>1904</v>
      </c>
      <c r="D26" s="13" t="s">
        <v>1957</v>
      </c>
      <c r="E26" s="13">
        <v>4</v>
      </c>
      <c r="F26" s="13" t="s">
        <v>1958</v>
      </c>
      <c r="G26" s="13">
        <v>5</v>
      </c>
      <c r="H26" s="13">
        <v>0</v>
      </c>
      <c r="I26" s="13"/>
      <c r="J26" s="13" t="s">
        <v>1959</v>
      </c>
      <c r="K26" s="13" t="s">
        <v>1960</v>
      </c>
    </row>
    <row r="27" spans="1:11" x14ac:dyDescent="0.3">
      <c r="A27" s="13" t="s">
        <v>1114</v>
      </c>
      <c r="B27" s="13" t="s">
        <v>1961</v>
      </c>
      <c r="C27" s="13" t="s">
        <v>1962</v>
      </c>
      <c r="D27" s="13"/>
      <c r="E27" s="13">
        <v>3</v>
      </c>
      <c r="F27" s="13" t="s">
        <v>1963</v>
      </c>
      <c r="G27" s="13">
        <v>1</v>
      </c>
      <c r="H27" s="13">
        <v>0</v>
      </c>
      <c r="I27" s="13"/>
      <c r="J27" s="13" t="s">
        <v>1964</v>
      </c>
      <c r="K27" s="13" t="s">
        <v>1965</v>
      </c>
    </row>
    <row r="28" spans="1:11" x14ac:dyDescent="0.3">
      <c r="A28" s="13" t="s">
        <v>1114</v>
      </c>
      <c r="B28" s="13" t="s">
        <v>1961</v>
      </c>
      <c r="C28" s="13" t="s">
        <v>1966</v>
      </c>
      <c r="D28" s="13"/>
      <c r="E28" s="13">
        <v>3</v>
      </c>
      <c r="F28" s="13" t="s">
        <v>1967</v>
      </c>
      <c r="G28" s="13">
        <v>7</v>
      </c>
      <c r="H28" s="13">
        <v>0</v>
      </c>
      <c r="I28" s="13"/>
      <c r="J28" s="13" t="s">
        <v>1968</v>
      </c>
      <c r="K28" s="13" t="s">
        <v>1969</v>
      </c>
    </row>
    <row r="29" spans="1:11" x14ac:dyDescent="0.3">
      <c r="A29" s="13" t="s">
        <v>1114</v>
      </c>
      <c r="B29" s="13" t="s">
        <v>1961</v>
      </c>
      <c r="C29" s="13" t="s">
        <v>1970</v>
      </c>
      <c r="D29" s="13"/>
      <c r="E29" s="13">
        <v>3</v>
      </c>
      <c r="F29" s="13" t="s">
        <v>1971</v>
      </c>
      <c r="G29" s="13">
        <v>5</v>
      </c>
      <c r="H29" s="13">
        <v>0</v>
      </c>
      <c r="I29" s="13"/>
      <c r="J29" s="13" t="s">
        <v>1972</v>
      </c>
      <c r="K29" s="13" t="s">
        <v>1973</v>
      </c>
    </row>
    <row r="30" spans="1:11" x14ac:dyDescent="0.3">
      <c r="A30" s="13" t="s">
        <v>1114</v>
      </c>
      <c r="B30" s="13" t="s">
        <v>1961</v>
      </c>
      <c r="C30" s="13" t="s">
        <v>1974</v>
      </c>
      <c r="D30" s="13"/>
      <c r="E30" s="13">
        <v>3</v>
      </c>
      <c r="F30" s="13" t="s">
        <v>1975</v>
      </c>
      <c r="G30" s="13">
        <v>2</v>
      </c>
      <c r="H30" s="13">
        <v>0</v>
      </c>
      <c r="I30" s="13"/>
      <c r="J30" s="13" t="s">
        <v>1976</v>
      </c>
      <c r="K30" s="13" t="s">
        <v>1977</v>
      </c>
    </row>
    <row r="31" spans="1:11" x14ac:dyDescent="0.3">
      <c r="A31" s="13" t="s">
        <v>1114</v>
      </c>
      <c r="B31" s="13" t="s">
        <v>1961</v>
      </c>
      <c r="C31" s="13" t="s">
        <v>1978</v>
      </c>
      <c r="D31" s="13"/>
      <c r="E31" s="13">
        <v>3</v>
      </c>
      <c r="F31" s="13" t="s">
        <v>1979</v>
      </c>
      <c r="G31" s="13">
        <v>148</v>
      </c>
      <c r="H31" s="13">
        <v>0</v>
      </c>
      <c r="I31" s="13"/>
      <c r="J31" s="13" t="s">
        <v>1980</v>
      </c>
      <c r="K31" s="13" t="s">
        <v>1981</v>
      </c>
    </row>
    <row r="32" spans="1:11" x14ac:dyDescent="0.3">
      <c r="A32" s="13" t="s">
        <v>1114</v>
      </c>
      <c r="B32" s="13" t="s">
        <v>1982</v>
      </c>
      <c r="C32" s="13" t="s">
        <v>1983</v>
      </c>
      <c r="D32" s="13"/>
      <c r="E32" s="13">
        <v>3</v>
      </c>
      <c r="F32" s="13" t="s">
        <v>1984</v>
      </c>
      <c r="G32" s="13">
        <v>2</v>
      </c>
      <c r="H32" s="13">
        <v>0</v>
      </c>
      <c r="I32" s="13"/>
      <c r="J32" s="13" t="s">
        <v>1985</v>
      </c>
      <c r="K32" s="13" t="s">
        <v>1986</v>
      </c>
    </row>
    <row r="33" spans="1:11" x14ac:dyDescent="0.3">
      <c r="A33" s="13" t="s">
        <v>1114</v>
      </c>
      <c r="B33" s="13" t="s">
        <v>1982</v>
      </c>
      <c r="C33" s="13" t="s">
        <v>1987</v>
      </c>
      <c r="D33" s="13"/>
      <c r="E33" s="13">
        <v>3</v>
      </c>
      <c r="F33" s="13" t="s">
        <v>1988</v>
      </c>
      <c r="G33" s="13">
        <v>34</v>
      </c>
      <c r="H33" s="13">
        <v>0</v>
      </c>
      <c r="I33" s="13"/>
      <c r="J33" s="13" t="s">
        <v>1989</v>
      </c>
      <c r="K33" s="13" t="s">
        <v>1990</v>
      </c>
    </row>
    <row r="34" spans="1:11" x14ac:dyDescent="0.3">
      <c r="A34" s="13" t="s">
        <v>1114</v>
      </c>
      <c r="B34" s="13" t="s">
        <v>1982</v>
      </c>
      <c r="C34" s="13" t="s">
        <v>1991</v>
      </c>
      <c r="D34" s="13"/>
      <c r="E34" s="13">
        <v>3</v>
      </c>
      <c r="F34" s="13" t="s">
        <v>1992</v>
      </c>
      <c r="G34" s="13">
        <v>3</v>
      </c>
      <c r="H34" s="13">
        <v>0</v>
      </c>
      <c r="I34" s="13"/>
      <c r="J34" s="13" t="s">
        <v>1993</v>
      </c>
      <c r="K34" s="13" t="s">
        <v>1994</v>
      </c>
    </row>
    <row r="35" spans="1:11" x14ac:dyDescent="0.3">
      <c r="A35" s="13" t="s">
        <v>1114</v>
      </c>
      <c r="B35" s="13" t="s">
        <v>1982</v>
      </c>
      <c r="C35" s="13" t="s">
        <v>1995</v>
      </c>
      <c r="D35" s="13"/>
      <c r="E35" s="13">
        <v>3</v>
      </c>
      <c r="F35" s="13" t="s">
        <v>1996</v>
      </c>
      <c r="G35" s="13">
        <v>1</v>
      </c>
      <c r="H35" s="13">
        <v>0</v>
      </c>
      <c r="I35" s="13"/>
      <c r="J35" s="13" t="s">
        <v>1997</v>
      </c>
      <c r="K35" s="13" t="s">
        <v>1998</v>
      </c>
    </row>
    <row r="36" spans="1:11" x14ac:dyDescent="0.3">
      <c r="A36" s="13" t="s">
        <v>1114</v>
      </c>
      <c r="B36" s="13" t="s">
        <v>1982</v>
      </c>
      <c r="C36" s="13" t="s">
        <v>1999</v>
      </c>
      <c r="D36" s="13"/>
      <c r="E36" s="13">
        <v>3</v>
      </c>
      <c r="F36" s="13" t="s">
        <v>2000</v>
      </c>
      <c r="G36" s="13">
        <v>1</v>
      </c>
      <c r="H36" s="13">
        <v>0</v>
      </c>
      <c r="I36" s="13"/>
      <c r="J36" s="13" t="s">
        <v>2001</v>
      </c>
      <c r="K36" s="13" t="s">
        <v>2002</v>
      </c>
    </row>
    <row r="37" spans="1:11" x14ac:dyDescent="0.3">
      <c r="A37" s="13" t="s">
        <v>1114</v>
      </c>
      <c r="B37" s="13" t="s">
        <v>1982</v>
      </c>
      <c r="C37" s="13" t="s">
        <v>2003</v>
      </c>
      <c r="D37" s="13"/>
      <c r="E37" s="13">
        <v>3</v>
      </c>
      <c r="F37" s="13" t="s">
        <v>2004</v>
      </c>
      <c r="G37" s="13">
        <v>41</v>
      </c>
      <c r="H37" s="13">
        <v>0</v>
      </c>
      <c r="I37" s="13"/>
      <c r="J37" s="13" t="s">
        <v>2005</v>
      </c>
      <c r="K37" s="13" t="s">
        <v>2006</v>
      </c>
    </row>
    <row r="38" spans="1:11" x14ac:dyDescent="0.3">
      <c r="A38" s="13" t="s">
        <v>1114</v>
      </c>
      <c r="B38" s="13" t="s">
        <v>1982</v>
      </c>
      <c r="C38" s="13" t="s">
        <v>2007</v>
      </c>
      <c r="D38" s="13"/>
      <c r="E38" s="13">
        <v>3</v>
      </c>
      <c r="F38" s="13" t="s">
        <v>2008</v>
      </c>
      <c r="G38" s="13">
        <v>11</v>
      </c>
      <c r="H38" s="13">
        <v>0</v>
      </c>
      <c r="I38" s="13"/>
      <c r="J38" s="13" t="s">
        <v>2009</v>
      </c>
      <c r="K38" s="13" t="s">
        <v>2010</v>
      </c>
    </row>
    <row r="39" spans="1:11" x14ac:dyDescent="0.3">
      <c r="A39" s="13" t="s">
        <v>1114</v>
      </c>
      <c r="B39" s="13" t="s">
        <v>1982</v>
      </c>
      <c r="C39" s="13" t="s">
        <v>2011</v>
      </c>
      <c r="D39" s="13"/>
      <c r="E39" s="13">
        <v>3</v>
      </c>
      <c r="F39" s="13" t="s">
        <v>2012</v>
      </c>
      <c r="G39" s="13">
        <v>24</v>
      </c>
      <c r="H39" s="13">
        <v>0</v>
      </c>
      <c r="I39" s="13"/>
      <c r="J39" s="13" t="s">
        <v>2013</v>
      </c>
      <c r="K39" s="13" t="s">
        <v>2014</v>
      </c>
    </row>
    <row r="40" spans="1:11" x14ac:dyDescent="0.3">
      <c r="A40" s="13" t="s">
        <v>1114</v>
      </c>
      <c r="B40" s="13" t="s">
        <v>1982</v>
      </c>
      <c r="C40" s="13" t="s">
        <v>2015</v>
      </c>
      <c r="D40" s="13"/>
      <c r="E40" s="13">
        <v>3</v>
      </c>
      <c r="F40" s="13" t="s">
        <v>2016</v>
      </c>
      <c r="G40" s="13">
        <v>105</v>
      </c>
      <c r="H40" s="13">
        <v>0</v>
      </c>
      <c r="I40" s="13"/>
      <c r="J40" s="13" t="s">
        <v>2017</v>
      </c>
      <c r="K40" s="13" t="s">
        <v>2018</v>
      </c>
    </row>
    <row r="41" spans="1:11" x14ac:dyDescent="0.3">
      <c r="A41" s="13" t="s">
        <v>1114</v>
      </c>
      <c r="B41" s="13" t="s">
        <v>1982</v>
      </c>
      <c r="C41" s="13" t="s">
        <v>2019</v>
      </c>
      <c r="D41" s="13"/>
      <c r="E41" s="13">
        <v>3</v>
      </c>
      <c r="F41" s="13" t="s">
        <v>2020</v>
      </c>
      <c r="G41" s="13">
        <v>1</v>
      </c>
      <c r="H41" s="13">
        <v>0</v>
      </c>
      <c r="I41" s="13"/>
      <c r="J41" s="13" t="s">
        <v>2021</v>
      </c>
      <c r="K41" s="13" t="s">
        <v>2022</v>
      </c>
    </row>
    <row r="42" spans="1:11" x14ac:dyDescent="0.3">
      <c r="A42" s="13" t="s">
        <v>1114</v>
      </c>
      <c r="B42" s="13" t="s">
        <v>1982</v>
      </c>
      <c r="C42" s="13" t="s">
        <v>2023</v>
      </c>
      <c r="D42" s="13"/>
      <c r="E42" s="13">
        <v>3</v>
      </c>
      <c r="F42" s="13" t="s">
        <v>2024</v>
      </c>
      <c r="G42" s="13">
        <v>4</v>
      </c>
      <c r="H42" s="13">
        <v>0</v>
      </c>
      <c r="I42" s="13"/>
      <c r="J42" s="13" t="s">
        <v>2025</v>
      </c>
      <c r="K42" s="13" t="s">
        <v>2026</v>
      </c>
    </row>
    <row r="43" spans="1:11" x14ac:dyDescent="0.3">
      <c r="A43" s="13" t="s">
        <v>1114</v>
      </c>
      <c r="B43" s="13" t="s">
        <v>1982</v>
      </c>
      <c r="C43" s="13" t="s">
        <v>2027</v>
      </c>
      <c r="D43" s="13"/>
      <c r="E43" s="13">
        <v>3</v>
      </c>
      <c r="F43" s="13" t="s">
        <v>2028</v>
      </c>
      <c r="G43" s="13">
        <v>20</v>
      </c>
      <c r="H43" s="13">
        <v>0</v>
      </c>
      <c r="I43" s="13"/>
      <c r="J43" s="13" t="s">
        <v>2029</v>
      </c>
      <c r="K43" s="13" t="s">
        <v>2030</v>
      </c>
    </row>
    <row r="44" spans="1:11" x14ac:dyDescent="0.3">
      <c r="A44" s="13" t="s">
        <v>1114</v>
      </c>
      <c r="B44" s="13" t="s">
        <v>1982</v>
      </c>
      <c r="C44" s="13" t="s">
        <v>2031</v>
      </c>
      <c r="D44" s="13"/>
      <c r="E44" s="13">
        <v>3</v>
      </c>
      <c r="F44" s="13" t="s">
        <v>2032</v>
      </c>
      <c r="G44" s="13">
        <v>27</v>
      </c>
      <c r="H44" s="13">
        <v>0</v>
      </c>
      <c r="I44" s="13"/>
      <c r="J44" s="13" t="s">
        <v>2033</v>
      </c>
      <c r="K44" s="13" t="s">
        <v>2034</v>
      </c>
    </row>
    <row r="45" spans="1:11" x14ac:dyDescent="0.3">
      <c r="A45" s="13" t="s">
        <v>972</v>
      </c>
      <c r="B45" s="13" t="s">
        <v>2035</v>
      </c>
      <c r="C45" s="13"/>
      <c r="D45" s="13"/>
      <c r="E45" s="13">
        <v>2</v>
      </c>
      <c r="F45" s="13" t="s">
        <v>2036</v>
      </c>
      <c r="G45" s="13">
        <v>206</v>
      </c>
      <c r="H45" s="13">
        <v>0</v>
      </c>
      <c r="I45" s="13"/>
      <c r="J45" s="13" t="s">
        <v>2037</v>
      </c>
      <c r="K45" s="13" t="s">
        <v>2038</v>
      </c>
    </row>
    <row r="46" spans="1:11" x14ac:dyDescent="0.3">
      <c r="A46" s="13" t="s">
        <v>972</v>
      </c>
      <c r="B46" s="13" t="s">
        <v>2039</v>
      </c>
      <c r="C46" s="13"/>
      <c r="D46" s="13"/>
      <c r="E46" s="13">
        <v>2</v>
      </c>
      <c r="F46" s="13" t="s">
        <v>2040</v>
      </c>
      <c r="G46" s="13">
        <v>1380</v>
      </c>
      <c r="H46" s="13">
        <v>0</v>
      </c>
      <c r="I46" s="13"/>
      <c r="J46" s="13" t="s">
        <v>2041</v>
      </c>
      <c r="K46" s="13" t="s">
        <v>2042</v>
      </c>
    </row>
    <row r="47" spans="1:11" x14ac:dyDescent="0.3">
      <c r="A47" s="13" t="s">
        <v>972</v>
      </c>
      <c r="B47" s="13" t="s">
        <v>2043</v>
      </c>
      <c r="C47" s="13"/>
      <c r="D47" s="13"/>
      <c r="E47" s="13">
        <v>2</v>
      </c>
      <c r="F47" s="13" t="s">
        <v>2044</v>
      </c>
      <c r="G47" s="13">
        <v>640</v>
      </c>
      <c r="H47" s="13">
        <v>0</v>
      </c>
      <c r="I47" s="13"/>
      <c r="J47" s="13" t="s">
        <v>2045</v>
      </c>
      <c r="K47" s="13" t="s">
        <v>2046</v>
      </c>
    </row>
    <row r="48" spans="1:11" x14ac:dyDescent="0.3">
      <c r="A48" s="13" t="s">
        <v>972</v>
      </c>
      <c r="B48" s="13" t="s">
        <v>2047</v>
      </c>
      <c r="C48" s="13"/>
      <c r="D48" s="13"/>
      <c r="E48" s="13">
        <v>2</v>
      </c>
      <c r="F48" s="13" t="s">
        <v>2048</v>
      </c>
      <c r="G48" s="13">
        <v>103</v>
      </c>
      <c r="H48" s="13">
        <v>0</v>
      </c>
      <c r="I48" s="13"/>
      <c r="J48" s="13" t="s">
        <v>2049</v>
      </c>
      <c r="K48" s="13" t="s">
        <v>2050</v>
      </c>
    </row>
    <row r="49" spans="1:11" x14ac:dyDescent="0.3">
      <c r="A49" s="13" t="s">
        <v>972</v>
      </c>
      <c r="B49" s="13" t="s">
        <v>2051</v>
      </c>
      <c r="C49" s="13"/>
      <c r="D49" s="13"/>
      <c r="E49" s="13">
        <v>2</v>
      </c>
      <c r="F49" s="13" t="s">
        <v>2052</v>
      </c>
      <c r="G49" s="13">
        <v>32</v>
      </c>
      <c r="H49" s="13">
        <v>0</v>
      </c>
      <c r="I49" s="13"/>
      <c r="J49" s="13" t="s">
        <v>2053</v>
      </c>
      <c r="K49" s="13" t="s">
        <v>2054</v>
      </c>
    </row>
    <row r="50" spans="1:11" x14ac:dyDescent="0.3">
      <c r="A50" s="13" t="s">
        <v>972</v>
      </c>
      <c r="B50" s="13" t="s">
        <v>2055</v>
      </c>
      <c r="C50" s="13"/>
      <c r="D50" s="13"/>
      <c r="E50" s="13">
        <v>2</v>
      </c>
      <c r="F50" s="13" t="s">
        <v>2056</v>
      </c>
      <c r="G50" s="13">
        <v>11</v>
      </c>
      <c r="H50" s="13">
        <v>0</v>
      </c>
      <c r="I50" s="13"/>
      <c r="J50" s="13" t="s">
        <v>2057</v>
      </c>
      <c r="K50" s="13" t="s">
        <v>2058</v>
      </c>
    </row>
    <row r="51" spans="1:11" x14ac:dyDescent="0.3">
      <c r="A51" s="13" t="s">
        <v>972</v>
      </c>
      <c r="B51" s="13" t="s">
        <v>2059</v>
      </c>
      <c r="C51" s="13"/>
      <c r="D51" s="13"/>
      <c r="E51" s="13">
        <v>2</v>
      </c>
      <c r="F51" s="13" t="s">
        <v>2060</v>
      </c>
      <c r="G51" s="13">
        <v>166</v>
      </c>
      <c r="H51" s="13">
        <v>0</v>
      </c>
      <c r="I51" s="13"/>
      <c r="J51" s="13" t="s">
        <v>2061</v>
      </c>
      <c r="K51" s="13" t="s">
        <v>2062</v>
      </c>
    </row>
    <row r="52" spans="1:11" x14ac:dyDescent="0.3">
      <c r="A52" s="13" t="s">
        <v>972</v>
      </c>
      <c r="B52" s="13" t="s">
        <v>1137</v>
      </c>
      <c r="C52" s="13" t="s">
        <v>1138</v>
      </c>
      <c r="D52" s="13"/>
      <c r="E52" s="13">
        <v>3</v>
      </c>
      <c r="F52" s="13" t="s">
        <v>800</v>
      </c>
      <c r="G52" s="13">
        <v>66</v>
      </c>
      <c r="H52" s="13">
        <v>63</v>
      </c>
      <c r="I52" s="3" t="s">
        <v>798</v>
      </c>
      <c r="J52" s="13" t="s">
        <v>799</v>
      </c>
      <c r="K52" s="13" t="s">
        <v>2063</v>
      </c>
    </row>
    <row r="53" spans="1:11" x14ac:dyDescent="0.3">
      <c r="A53" s="13" t="s">
        <v>972</v>
      </c>
      <c r="B53" s="13" t="s">
        <v>1137</v>
      </c>
      <c r="C53" s="13" t="s">
        <v>2064</v>
      </c>
      <c r="D53" s="13"/>
      <c r="E53" s="13">
        <v>3</v>
      </c>
      <c r="F53" s="13" t="s">
        <v>2065</v>
      </c>
      <c r="G53" s="13">
        <v>542</v>
      </c>
      <c r="H53" s="13">
        <v>0</v>
      </c>
      <c r="I53" s="13"/>
      <c r="J53" s="13" t="s">
        <v>2066</v>
      </c>
      <c r="K53" s="13" t="s">
        <v>2067</v>
      </c>
    </row>
    <row r="54" spans="1:11" x14ac:dyDescent="0.3">
      <c r="A54" s="13" t="s">
        <v>972</v>
      </c>
      <c r="B54" s="13" t="s">
        <v>1137</v>
      </c>
      <c r="C54" s="13" t="s">
        <v>2068</v>
      </c>
      <c r="D54" s="13"/>
      <c r="E54" s="13">
        <v>3</v>
      </c>
      <c r="F54" s="13" t="s">
        <v>2069</v>
      </c>
      <c r="G54" s="13">
        <v>597</v>
      </c>
      <c r="H54" s="13">
        <v>0</v>
      </c>
      <c r="I54" s="13"/>
      <c r="J54" s="13" t="s">
        <v>2070</v>
      </c>
      <c r="K54" s="13" t="s">
        <v>2071</v>
      </c>
    </row>
    <row r="55" spans="1:11" x14ac:dyDescent="0.3">
      <c r="A55" s="13" t="s">
        <v>972</v>
      </c>
      <c r="B55" s="13" t="s">
        <v>2072</v>
      </c>
      <c r="C55" s="13"/>
      <c r="D55" s="13"/>
      <c r="E55" s="13">
        <v>2</v>
      </c>
      <c r="F55" s="13" t="s">
        <v>2073</v>
      </c>
      <c r="G55" s="13">
        <v>119</v>
      </c>
      <c r="H55" s="13">
        <v>0</v>
      </c>
      <c r="I55" s="13"/>
      <c r="J55" s="13" t="s">
        <v>2074</v>
      </c>
      <c r="K55" s="13" t="s">
        <v>2075</v>
      </c>
    </row>
    <row r="56" spans="1:11" x14ac:dyDescent="0.3">
      <c r="A56" s="13" t="s">
        <v>972</v>
      </c>
      <c r="B56" s="13" t="s">
        <v>2076</v>
      </c>
      <c r="C56" s="13"/>
      <c r="D56" s="13"/>
      <c r="E56" s="13">
        <v>2</v>
      </c>
      <c r="F56" s="13" t="s">
        <v>2077</v>
      </c>
      <c r="G56" s="13">
        <v>88</v>
      </c>
      <c r="H56" s="13">
        <v>0</v>
      </c>
      <c r="I56" s="13"/>
      <c r="J56" s="13" t="s">
        <v>2078</v>
      </c>
      <c r="K56" s="13" t="s">
        <v>2079</v>
      </c>
    </row>
    <row r="57" spans="1:11" x14ac:dyDescent="0.3">
      <c r="A57" s="13" t="s">
        <v>972</v>
      </c>
      <c r="B57" s="13" t="s">
        <v>2080</v>
      </c>
      <c r="C57" s="13"/>
      <c r="D57" s="13"/>
      <c r="E57" s="13">
        <v>2</v>
      </c>
      <c r="F57" s="13" t="s">
        <v>2081</v>
      </c>
      <c r="G57" s="13">
        <v>240</v>
      </c>
      <c r="H57" s="13">
        <v>0</v>
      </c>
      <c r="I57" s="13"/>
      <c r="J57" s="13" t="s">
        <v>2082</v>
      </c>
      <c r="K57" s="13" t="s">
        <v>2083</v>
      </c>
    </row>
    <row r="58" spans="1:11" x14ac:dyDescent="0.3">
      <c r="A58" s="13" t="s">
        <v>972</v>
      </c>
      <c r="B58" s="13" t="s">
        <v>2084</v>
      </c>
      <c r="C58" s="13"/>
      <c r="D58" s="13"/>
      <c r="E58" s="13">
        <v>2</v>
      </c>
      <c r="F58" s="13" t="s">
        <v>2085</v>
      </c>
      <c r="G58" s="13">
        <v>53</v>
      </c>
      <c r="H58" s="13">
        <v>0</v>
      </c>
      <c r="I58" s="13"/>
      <c r="J58" s="13" t="s">
        <v>2086</v>
      </c>
      <c r="K58" s="13" t="s">
        <v>2087</v>
      </c>
    </row>
    <row r="59" spans="1:11" x14ac:dyDescent="0.3">
      <c r="A59" s="13" t="s">
        <v>972</v>
      </c>
      <c r="B59" s="13" t="s">
        <v>2088</v>
      </c>
      <c r="C59" s="13"/>
      <c r="D59" s="13"/>
      <c r="E59" s="13">
        <v>2</v>
      </c>
      <c r="F59" s="13" t="s">
        <v>2089</v>
      </c>
      <c r="G59" s="13">
        <v>1884</v>
      </c>
      <c r="H59" s="13">
        <v>0</v>
      </c>
      <c r="I59" s="13"/>
      <c r="J59" s="13" t="s">
        <v>2090</v>
      </c>
      <c r="K59" s="13" t="s">
        <v>2091</v>
      </c>
    </row>
    <row r="60" spans="1:11" x14ac:dyDescent="0.3">
      <c r="A60" s="13" t="s">
        <v>972</v>
      </c>
      <c r="B60" s="13" t="s">
        <v>2092</v>
      </c>
      <c r="C60" s="13"/>
      <c r="D60" s="13"/>
      <c r="E60" s="13">
        <v>2</v>
      </c>
      <c r="F60" s="13" t="s">
        <v>2093</v>
      </c>
      <c r="G60" s="13">
        <v>126</v>
      </c>
      <c r="H60" s="13">
        <v>0</v>
      </c>
      <c r="I60" s="13"/>
      <c r="J60" s="13" t="s">
        <v>2094</v>
      </c>
      <c r="K60" s="13" t="s">
        <v>2095</v>
      </c>
    </row>
    <row r="61" spans="1:11" x14ac:dyDescent="0.3">
      <c r="A61" s="13" t="s">
        <v>972</v>
      </c>
      <c r="B61" s="13" t="s">
        <v>2096</v>
      </c>
      <c r="C61" s="13"/>
      <c r="D61" s="13"/>
      <c r="E61" s="13">
        <v>2</v>
      </c>
      <c r="F61" s="13" t="s">
        <v>2097</v>
      </c>
      <c r="G61" s="13">
        <v>95</v>
      </c>
      <c r="H61" s="13">
        <v>0</v>
      </c>
      <c r="I61" s="13"/>
      <c r="J61" s="13" t="s">
        <v>2098</v>
      </c>
      <c r="K61" s="13" t="s">
        <v>2099</v>
      </c>
    </row>
    <row r="62" spans="1:11" x14ac:dyDescent="0.3">
      <c r="A62" s="13" t="s">
        <v>972</v>
      </c>
      <c r="B62" s="13" t="s">
        <v>973</v>
      </c>
      <c r="C62" s="13" t="s">
        <v>2100</v>
      </c>
      <c r="D62" s="13"/>
      <c r="E62" s="13">
        <v>3</v>
      </c>
      <c r="F62" s="13" t="s">
        <v>2101</v>
      </c>
      <c r="G62" s="13">
        <v>202</v>
      </c>
      <c r="H62" s="13">
        <v>0</v>
      </c>
      <c r="I62" s="13"/>
      <c r="J62" s="13" t="s">
        <v>2102</v>
      </c>
      <c r="K62" s="13" t="s">
        <v>2103</v>
      </c>
    </row>
    <row r="63" spans="1:11" x14ac:dyDescent="0.3">
      <c r="A63" s="13" t="s">
        <v>972</v>
      </c>
      <c r="B63" s="13" t="s">
        <v>973</v>
      </c>
      <c r="C63" s="13" t="s">
        <v>2104</v>
      </c>
      <c r="D63" s="13"/>
      <c r="E63" s="13">
        <v>3</v>
      </c>
      <c r="F63" s="13" t="s">
        <v>2105</v>
      </c>
      <c r="G63" s="13">
        <v>14</v>
      </c>
      <c r="H63" s="13">
        <v>0</v>
      </c>
      <c r="I63" s="13"/>
      <c r="J63" s="13" t="s">
        <v>2106</v>
      </c>
      <c r="K63" s="13" t="s">
        <v>2107</v>
      </c>
    </row>
    <row r="64" spans="1:11" x14ac:dyDescent="0.3">
      <c r="A64" s="13" t="s">
        <v>972</v>
      </c>
      <c r="B64" s="13" t="s">
        <v>973</v>
      </c>
      <c r="C64" s="13" t="s">
        <v>2108</v>
      </c>
      <c r="D64" s="13"/>
      <c r="E64" s="13">
        <v>3</v>
      </c>
      <c r="F64" s="13" t="s">
        <v>2109</v>
      </c>
      <c r="G64" s="13">
        <v>133</v>
      </c>
      <c r="H64" s="13">
        <v>0</v>
      </c>
      <c r="I64" s="13"/>
      <c r="J64" s="13" t="s">
        <v>2110</v>
      </c>
      <c r="K64" s="13" t="s">
        <v>2111</v>
      </c>
    </row>
    <row r="65" spans="1:11" x14ac:dyDescent="0.3">
      <c r="A65" s="13" t="s">
        <v>972</v>
      </c>
      <c r="B65" s="13" t="s">
        <v>973</v>
      </c>
      <c r="C65" s="13" t="s">
        <v>974</v>
      </c>
      <c r="D65" s="13"/>
      <c r="E65" s="13">
        <v>3</v>
      </c>
      <c r="F65" s="13" t="s">
        <v>791</v>
      </c>
      <c r="G65" s="13">
        <v>166</v>
      </c>
      <c r="H65" s="13">
        <v>0</v>
      </c>
      <c r="I65" s="3" t="s">
        <v>789</v>
      </c>
      <c r="J65" s="13" t="s">
        <v>790</v>
      </c>
      <c r="K65" s="13" t="s">
        <v>2112</v>
      </c>
    </row>
    <row r="66" spans="1:11" x14ac:dyDescent="0.3">
      <c r="A66" s="13" t="s">
        <v>972</v>
      </c>
      <c r="B66" s="13" t="s">
        <v>2113</v>
      </c>
      <c r="C66" s="13"/>
      <c r="D66" s="13"/>
      <c r="E66" s="13">
        <v>2</v>
      </c>
      <c r="F66" s="13" t="s">
        <v>2114</v>
      </c>
      <c r="G66" s="13">
        <v>584</v>
      </c>
      <c r="H66" s="13">
        <v>0</v>
      </c>
      <c r="I66" s="13"/>
      <c r="J66" s="13" t="s">
        <v>2115</v>
      </c>
      <c r="K66" s="13" t="s">
        <v>2116</v>
      </c>
    </row>
    <row r="67" spans="1:11" x14ac:dyDescent="0.3">
      <c r="A67" s="13" t="s">
        <v>1059</v>
      </c>
      <c r="B67" s="13" t="s">
        <v>1060</v>
      </c>
      <c r="C67" s="13" t="s">
        <v>1060</v>
      </c>
      <c r="D67" s="13"/>
      <c r="E67" s="13">
        <v>3</v>
      </c>
      <c r="F67" s="13" t="s">
        <v>1061</v>
      </c>
      <c r="G67" s="13">
        <v>782</v>
      </c>
      <c r="H67" s="13">
        <v>0</v>
      </c>
      <c r="I67" s="3" t="s">
        <v>1057</v>
      </c>
      <c r="J67" s="13" t="s">
        <v>1058</v>
      </c>
      <c r="K67" s="13" t="s">
        <v>2117</v>
      </c>
    </row>
    <row r="68" spans="1:11" x14ac:dyDescent="0.3">
      <c r="A68" s="13" t="s">
        <v>1059</v>
      </c>
      <c r="B68" s="13" t="s">
        <v>2118</v>
      </c>
      <c r="C68" s="13" t="s">
        <v>2119</v>
      </c>
      <c r="D68" s="13"/>
      <c r="E68" s="13">
        <v>3</v>
      </c>
      <c r="F68" s="13" t="s">
        <v>2120</v>
      </c>
      <c r="G68" s="13">
        <v>1016</v>
      </c>
      <c r="H68" s="13">
        <v>0</v>
      </c>
      <c r="I68" s="13"/>
      <c r="J68" s="13" t="s">
        <v>2121</v>
      </c>
      <c r="K68" s="13" t="s">
        <v>2122</v>
      </c>
    </row>
    <row r="69" spans="1:11" x14ac:dyDescent="0.3">
      <c r="A69" s="13" t="s">
        <v>1059</v>
      </c>
      <c r="B69" s="13" t="s">
        <v>1129</v>
      </c>
      <c r="C69" s="13" t="s">
        <v>2123</v>
      </c>
      <c r="D69" s="13" t="s">
        <v>2124</v>
      </c>
      <c r="E69" s="13">
        <v>4</v>
      </c>
      <c r="F69" s="13" t="s">
        <v>2125</v>
      </c>
      <c r="G69" s="13">
        <v>64</v>
      </c>
      <c r="H69" s="13">
        <v>0</v>
      </c>
      <c r="I69" s="13"/>
      <c r="J69" s="13" t="s">
        <v>2126</v>
      </c>
      <c r="K69" s="13" t="s">
        <v>2127</v>
      </c>
    </row>
    <row r="70" spans="1:11" x14ac:dyDescent="0.3">
      <c r="A70" s="13" t="s">
        <v>1059</v>
      </c>
      <c r="B70" s="13" t="s">
        <v>1129</v>
      </c>
      <c r="C70" s="13" t="s">
        <v>2123</v>
      </c>
      <c r="D70" s="13" t="s">
        <v>2128</v>
      </c>
      <c r="E70" s="13">
        <v>4</v>
      </c>
      <c r="F70" s="13" t="s">
        <v>2129</v>
      </c>
      <c r="G70" s="13">
        <v>123</v>
      </c>
      <c r="H70" s="13">
        <v>0</v>
      </c>
      <c r="I70" s="13"/>
      <c r="J70" s="13" t="s">
        <v>2130</v>
      </c>
      <c r="K70" s="13" t="s">
        <v>2131</v>
      </c>
    </row>
    <row r="71" spans="1:11" x14ac:dyDescent="0.3">
      <c r="A71" s="13" t="s">
        <v>1059</v>
      </c>
      <c r="B71" s="13" t="s">
        <v>1129</v>
      </c>
      <c r="C71" s="13" t="s">
        <v>2123</v>
      </c>
      <c r="D71" s="13" t="s">
        <v>2132</v>
      </c>
      <c r="E71" s="13">
        <v>4</v>
      </c>
      <c r="F71" s="13" t="s">
        <v>2133</v>
      </c>
      <c r="G71" s="13">
        <v>36</v>
      </c>
      <c r="H71" s="13">
        <v>0</v>
      </c>
      <c r="I71" s="13"/>
      <c r="J71" s="13" t="s">
        <v>2134</v>
      </c>
      <c r="K71" s="13" t="s">
        <v>2135</v>
      </c>
    </row>
    <row r="72" spans="1:11" x14ac:dyDescent="0.3">
      <c r="A72" s="13" t="s">
        <v>1059</v>
      </c>
      <c r="B72" s="13" t="s">
        <v>1129</v>
      </c>
      <c r="C72" s="13" t="s">
        <v>2123</v>
      </c>
      <c r="D72" s="13" t="s">
        <v>2136</v>
      </c>
      <c r="E72" s="13">
        <v>4</v>
      </c>
      <c r="F72" s="13" t="s">
        <v>2137</v>
      </c>
      <c r="G72" s="13">
        <v>12</v>
      </c>
      <c r="H72" s="13">
        <v>0</v>
      </c>
      <c r="I72" s="13"/>
      <c r="J72" s="13" t="s">
        <v>2138</v>
      </c>
      <c r="K72" s="13" t="s">
        <v>2139</v>
      </c>
    </row>
    <row r="73" spans="1:11" x14ac:dyDescent="0.3">
      <c r="A73" s="13" t="s">
        <v>1059</v>
      </c>
      <c r="B73" s="13" t="s">
        <v>1129</v>
      </c>
      <c r="C73" s="13" t="s">
        <v>1130</v>
      </c>
      <c r="D73" s="13"/>
      <c r="E73" s="13">
        <v>3</v>
      </c>
      <c r="F73" s="13" t="s">
        <v>1131</v>
      </c>
      <c r="G73" s="13">
        <v>484</v>
      </c>
      <c r="H73" s="13">
        <v>0</v>
      </c>
      <c r="I73" s="3" t="s">
        <v>1127</v>
      </c>
      <c r="J73" s="13" t="s">
        <v>1128</v>
      </c>
      <c r="K73" s="13" t="s">
        <v>2140</v>
      </c>
    </row>
    <row r="74" spans="1:11" x14ac:dyDescent="0.3">
      <c r="A74" s="13" t="s">
        <v>1059</v>
      </c>
      <c r="B74" s="13" t="s">
        <v>1129</v>
      </c>
      <c r="C74" s="13" t="s">
        <v>2141</v>
      </c>
      <c r="D74" s="13"/>
      <c r="E74" s="13">
        <v>3</v>
      </c>
      <c r="F74" s="13" t="s">
        <v>2142</v>
      </c>
      <c r="G74" s="13">
        <v>151</v>
      </c>
      <c r="H74" s="13">
        <v>0</v>
      </c>
      <c r="I74" s="13"/>
      <c r="J74" s="13" t="s">
        <v>2143</v>
      </c>
      <c r="K74" s="13" t="s">
        <v>2144</v>
      </c>
    </row>
    <row r="75" spans="1:11" x14ac:dyDescent="0.3">
      <c r="A75" s="13" t="s">
        <v>1059</v>
      </c>
      <c r="B75" s="13" t="s">
        <v>1129</v>
      </c>
      <c r="C75" s="13" t="s">
        <v>2145</v>
      </c>
      <c r="D75" s="13"/>
      <c r="E75" s="13">
        <v>3</v>
      </c>
      <c r="F75" s="13" t="s">
        <v>2146</v>
      </c>
      <c r="G75" s="13">
        <v>40</v>
      </c>
      <c r="H75" s="13">
        <v>0</v>
      </c>
      <c r="I75" s="13"/>
      <c r="J75" s="13" t="s">
        <v>2147</v>
      </c>
      <c r="K75" s="13" t="s">
        <v>2148</v>
      </c>
    </row>
    <row r="76" spans="1:11" x14ac:dyDescent="0.3">
      <c r="A76" s="13" t="s">
        <v>935</v>
      </c>
      <c r="B76" s="13" t="s">
        <v>936</v>
      </c>
      <c r="C76" s="13" t="s">
        <v>937</v>
      </c>
      <c r="D76" s="13"/>
      <c r="E76" s="13">
        <v>3</v>
      </c>
      <c r="F76" s="13" t="s">
        <v>163</v>
      </c>
      <c r="G76" s="13">
        <v>585</v>
      </c>
      <c r="H76" s="13">
        <v>542</v>
      </c>
      <c r="I76" s="3" t="s">
        <v>756</v>
      </c>
      <c r="J76" s="13" t="s">
        <v>30</v>
      </c>
      <c r="K76" s="13" t="s">
        <v>169</v>
      </c>
    </row>
    <row r="77" spans="1:11" x14ac:dyDescent="0.3">
      <c r="A77" s="13" t="s">
        <v>935</v>
      </c>
      <c r="B77" s="13" t="s">
        <v>936</v>
      </c>
      <c r="C77" s="13" t="s">
        <v>2149</v>
      </c>
      <c r="D77" s="13"/>
      <c r="E77" s="13">
        <v>3</v>
      </c>
      <c r="F77" s="13" t="s">
        <v>2150</v>
      </c>
      <c r="G77" s="13">
        <v>87</v>
      </c>
      <c r="H77" s="13">
        <v>70</v>
      </c>
      <c r="I77" s="13"/>
      <c r="J77" s="13" t="s">
        <v>2151</v>
      </c>
      <c r="K77" s="13" t="s">
        <v>2152</v>
      </c>
    </row>
    <row r="78" spans="1:11" x14ac:dyDescent="0.3">
      <c r="A78" s="13" t="s">
        <v>935</v>
      </c>
      <c r="B78" s="13" t="s">
        <v>936</v>
      </c>
      <c r="C78" s="13" t="s">
        <v>953</v>
      </c>
      <c r="D78" s="13"/>
      <c r="E78" s="13">
        <v>3</v>
      </c>
      <c r="F78" s="13" t="s">
        <v>233</v>
      </c>
      <c r="G78" s="13">
        <v>300</v>
      </c>
      <c r="H78" s="13">
        <v>265</v>
      </c>
      <c r="I78" s="3" t="s">
        <v>758</v>
      </c>
      <c r="J78" s="13" t="s">
        <v>60</v>
      </c>
      <c r="K78" s="13" t="s">
        <v>239</v>
      </c>
    </row>
    <row r="79" spans="1:11" x14ac:dyDescent="0.3">
      <c r="A79" s="13" t="s">
        <v>935</v>
      </c>
      <c r="B79" s="13" t="s">
        <v>936</v>
      </c>
      <c r="C79" s="13" t="s">
        <v>2153</v>
      </c>
      <c r="D79" s="13"/>
      <c r="E79" s="13">
        <v>3</v>
      </c>
      <c r="F79" s="13" t="s">
        <v>2154</v>
      </c>
      <c r="G79" s="13">
        <v>92</v>
      </c>
      <c r="H79" s="13">
        <v>91</v>
      </c>
      <c r="I79" s="13"/>
      <c r="J79" s="13" t="s">
        <v>2155</v>
      </c>
      <c r="K79" s="13" t="s">
        <v>2156</v>
      </c>
    </row>
    <row r="80" spans="1:11" x14ac:dyDescent="0.3">
      <c r="A80" s="13" t="s">
        <v>935</v>
      </c>
      <c r="B80" s="13" t="s">
        <v>955</v>
      </c>
      <c r="C80" s="13" t="s">
        <v>2157</v>
      </c>
      <c r="D80" s="13"/>
      <c r="E80" s="13">
        <v>3</v>
      </c>
      <c r="F80" s="13" t="s">
        <v>2158</v>
      </c>
      <c r="G80" s="13">
        <v>205</v>
      </c>
      <c r="H80" s="13">
        <v>189</v>
      </c>
      <c r="I80" s="13"/>
      <c r="J80" s="13" t="s">
        <v>2159</v>
      </c>
      <c r="K80" s="13" t="s">
        <v>2160</v>
      </c>
    </row>
    <row r="81" spans="1:11" x14ac:dyDescent="0.3">
      <c r="A81" s="13" t="s">
        <v>935</v>
      </c>
      <c r="B81" s="13" t="s">
        <v>955</v>
      </c>
      <c r="C81" s="13" t="s">
        <v>2161</v>
      </c>
      <c r="D81" s="13"/>
      <c r="E81" s="13">
        <v>3</v>
      </c>
      <c r="F81" s="13" t="s">
        <v>2162</v>
      </c>
      <c r="G81" s="13">
        <v>117</v>
      </c>
      <c r="H81" s="13">
        <v>0</v>
      </c>
      <c r="I81" s="13"/>
      <c r="J81" s="13" t="s">
        <v>2163</v>
      </c>
      <c r="K81" s="13" t="s">
        <v>2164</v>
      </c>
    </row>
    <row r="82" spans="1:11" x14ac:dyDescent="0.3">
      <c r="A82" s="13" t="s">
        <v>935</v>
      </c>
      <c r="B82" s="13" t="s">
        <v>955</v>
      </c>
      <c r="C82" s="13" t="s">
        <v>940</v>
      </c>
      <c r="D82" s="13"/>
      <c r="E82" s="13">
        <v>3</v>
      </c>
      <c r="F82" s="13" t="s">
        <v>318</v>
      </c>
      <c r="G82" s="13">
        <v>173</v>
      </c>
      <c r="H82" s="13">
        <v>166</v>
      </c>
      <c r="I82" s="3" t="s">
        <v>759</v>
      </c>
      <c r="J82" s="13" t="s">
        <v>317</v>
      </c>
      <c r="K82" s="13" t="s">
        <v>326</v>
      </c>
    </row>
    <row r="83" spans="1:11" x14ac:dyDescent="0.3">
      <c r="A83" s="13" t="s">
        <v>935</v>
      </c>
      <c r="B83" s="13" t="s">
        <v>1212</v>
      </c>
      <c r="C83" s="13" t="s">
        <v>1213</v>
      </c>
      <c r="D83" s="13" t="s">
        <v>2165</v>
      </c>
      <c r="E83" s="13">
        <v>4</v>
      </c>
      <c r="F83" s="13" t="s">
        <v>2166</v>
      </c>
      <c r="G83" s="13">
        <v>120</v>
      </c>
      <c r="H83" s="13">
        <v>117</v>
      </c>
      <c r="I83" s="13"/>
      <c r="J83" s="13" t="s">
        <v>2167</v>
      </c>
      <c r="K83" s="13" t="s">
        <v>2168</v>
      </c>
    </row>
    <row r="84" spans="1:11" x14ac:dyDescent="0.3">
      <c r="A84" s="13" t="s">
        <v>935</v>
      </c>
      <c r="B84" s="13" t="s">
        <v>1212</v>
      </c>
      <c r="C84" s="13" t="s">
        <v>1213</v>
      </c>
      <c r="D84" s="13" t="s">
        <v>1214</v>
      </c>
      <c r="E84" s="13">
        <v>4</v>
      </c>
      <c r="F84" s="13" t="s">
        <v>763</v>
      </c>
      <c r="G84" s="13">
        <v>881</v>
      </c>
      <c r="H84" s="13">
        <v>872</v>
      </c>
      <c r="I84" s="3" t="s">
        <v>761</v>
      </c>
      <c r="J84" s="13" t="s">
        <v>762</v>
      </c>
      <c r="K84" s="13" t="s">
        <v>2169</v>
      </c>
    </row>
    <row r="85" spans="1:11" x14ac:dyDescent="0.3">
      <c r="A85" s="13" t="s">
        <v>935</v>
      </c>
      <c r="B85" s="13" t="s">
        <v>1212</v>
      </c>
      <c r="C85" s="13" t="s">
        <v>2170</v>
      </c>
      <c r="D85" s="13" t="s">
        <v>2171</v>
      </c>
      <c r="E85" s="13">
        <v>4</v>
      </c>
      <c r="F85" s="13" t="s">
        <v>2172</v>
      </c>
      <c r="G85" s="13">
        <v>83</v>
      </c>
      <c r="H85" s="13">
        <v>0</v>
      </c>
      <c r="I85" s="13"/>
      <c r="J85" s="13" t="s">
        <v>2173</v>
      </c>
      <c r="K85" s="13" t="s">
        <v>2174</v>
      </c>
    </row>
    <row r="86" spans="1:11" x14ac:dyDescent="0.3">
      <c r="A86" s="13" t="s">
        <v>935</v>
      </c>
      <c r="B86" s="13" t="s">
        <v>1212</v>
      </c>
      <c r="C86" s="13" t="s">
        <v>2170</v>
      </c>
      <c r="D86" s="13" t="s">
        <v>2175</v>
      </c>
      <c r="E86" s="13">
        <v>4</v>
      </c>
      <c r="F86" s="13" t="s">
        <v>2176</v>
      </c>
      <c r="G86" s="13">
        <v>152</v>
      </c>
      <c r="H86" s="13">
        <v>0</v>
      </c>
      <c r="I86" s="13"/>
      <c r="J86" s="13" t="s">
        <v>2177</v>
      </c>
      <c r="K86" s="13" t="s">
        <v>2178</v>
      </c>
    </row>
    <row r="87" spans="1:11" x14ac:dyDescent="0.3">
      <c r="A87" s="13" t="s">
        <v>935</v>
      </c>
      <c r="B87" s="13" t="s">
        <v>1212</v>
      </c>
      <c r="C87" s="13" t="s">
        <v>2170</v>
      </c>
      <c r="D87" s="13" t="s">
        <v>2179</v>
      </c>
      <c r="E87" s="13">
        <v>4</v>
      </c>
      <c r="F87" s="13" t="s">
        <v>2180</v>
      </c>
      <c r="G87" s="13">
        <v>148</v>
      </c>
      <c r="H87" s="13">
        <v>0</v>
      </c>
      <c r="I87" s="13"/>
      <c r="J87" s="13" t="s">
        <v>2181</v>
      </c>
      <c r="K87" s="13" t="s">
        <v>2182</v>
      </c>
    </row>
    <row r="88" spans="1:11" x14ac:dyDescent="0.3">
      <c r="A88" s="13" t="s">
        <v>935</v>
      </c>
      <c r="B88" s="13" t="s">
        <v>940</v>
      </c>
      <c r="C88" s="13" t="s">
        <v>941</v>
      </c>
      <c r="D88" s="13"/>
      <c r="E88" s="13">
        <v>3</v>
      </c>
      <c r="F88" s="13" t="s">
        <v>219</v>
      </c>
      <c r="G88" s="13">
        <v>404</v>
      </c>
      <c r="H88" s="13">
        <v>406</v>
      </c>
      <c r="I88" s="3" t="s">
        <v>757</v>
      </c>
      <c r="J88" s="13" t="s">
        <v>54</v>
      </c>
      <c r="K88" s="13" t="s">
        <v>225</v>
      </c>
    </row>
    <row r="89" spans="1:11" x14ac:dyDescent="0.3">
      <c r="A89" s="13" t="s">
        <v>2183</v>
      </c>
      <c r="B89" s="13" t="s">
        <v>2184</v>
      </c>
      <c r="C89" s="13" t="s">
        <v>2185</v>
      </c>
      <c r="D89" s="13"/>
      <c r="E89" s="13">
        <v>3</v>
      </c>
      <c r="F89" s="13" t="s">
        <v>2186</v>
      </c>
      <c r="G89" s="13">
        <v>6</v>
      </c>
      <c r="H89" s="13">
        <v>0</v>
      </c>
      <c r="I89" s="13"/>
      <c r="J89" s="13" t="s">
        <v>2187</v>
      </c>
      <c r="K89" s="13" t="s">
        <v>2188</v>
      </c>
    </row>
    <row r="90" spans="1:11" x14ac:dyDescent="0.3">
      <c r="A90" s="13" t="s">
        <v>2183</v>
      </c>
      <c r="B90" s="13" t="s">
        <v>2184</v>
      </c>
      <c r="C90" s="13" t="s">
        <v>2189</v>
      </c>
      <c r="D90" s="13"/>
      <c r="E90" s="13">
        <v>3</v>
      </c>
      <c r="F90" s="13" t="s">
        <v>2190</v>
      </c>
      <c r="G90" s="13">
        <v>236</v>
      </c>
      <c r="H90" s="13">
        <v>0</v>
      </c>
      <c r="I90" s="13"/>
      <c r="J90" s="13" t="s">
        <v>2191</v>
      </c>
      <c r="K90" s="13" t="s">
        <v>2192</v>
      </c>
    </row>
    <row r="91" spans="1:11" x14ac:dyDescent="0.3">
      <c r="A91" s="13" t="s">
        <v>2183</v>
      </c>
      <c r="B91" s="13" t="s">
        <v>2184</v>
      </c>
      <c r="C91" s="13" t="s">
        <v>2193</v>
      </c>
      <c r="D91" s="13"/>
      <c r="E91" s="13">
        <v>3</v>
      </c>
      <c r="F91" s="13" t="s">
        <v>2194</v>
      </c>
      <c r="G91" s="13">
        <v>13</v>
      </c>
      <c r="H91" s="13">
        <v>0</v>
      </c>
      <c r="I91" s="13"/>
      <c r="J91" s="13" t="s">
        <v>2195</v>
      </c>
      <c r="K91" s="13" t="s">
        <v>2196</v>
      </c>
    </row>
    <row r="92" spans="1:11" x14ac:dyDescent="0.3">
      <c r="A92" s="13" t="s">
        <v>2183</v>
      </c>
      <c r="B92" s="13" t="s">
        <v>2184</v>
      </c>
      <c r="C92" s="13" t="s">
        <v>2197</v>
      </c>
      <c r="D92" s="13"/>
      <c r="E92" s="13">
        <v>3</v>
      </c>
      <c r="F92" s="13" t="s">
        <v>2198</v>
      </c>
      <c r="G92" s="13">
        <v>81</v>
      </c>
      <c r="H92" s="13">
        <v>0</v>
      </c>
      <c r="I92" s="13"/>
      <c r="J92" s="13" t="s">
        <v>2199</v>
      </c>
      <c r="K92" s="13" t="s">
        <v>2200</v>
      </c>
    </row>
    <row r="93" spans="1:11" x14ac:dyDescent="0.3">
      <c r="A93" s="13" t="s">
        <v>2183</v>
      </c>
      <c r="B93" s="13" t="s">
        <v>2184</v>
      </c>
      <c r="C93" s="13" t="s">
        <v>2201</v>
      </c>
      <c r="D93" s="13"/>
      <c r="E93" s="13">
        <v>3</v>
      </c>
      <c r="F93" s="13" t="s">
        <v>2202</v>
      </c>
      <c r="G93" s="13">
        <v>3</v>
      </c>
      <c r="H93" s="13">
        <v>0</v>
      </c>
      <c r="I93" s="13"/>
      <c r="J93" s="13" t="s">
        <v>2203</v>
      </c>
      <c r="K93" s="13" t="s">
        <v>2204</v>
      </c>
    </row>
    <row r="94" spans="1:11" x14ac:dyDescent="0.3">
      <c r="A94" s="13" t="s">
        <v>2183</v>
      </c>
      <c r="B94" s="13" t="s">
        <v>2184</v>
      </c>
      <c r="C94" s="13" t="s">
        <v>2205</v>
      </c>
      <c r="D94" s="13"/>
      <c r="E94" s="13">
        <v>3</v>
      </c>
      <c r="F94" s="13" t="s">
        <v>2206</v>
      </c>
      <c r="G94" s="13">
        <v>15</v>
      </c>
      <c r="H94" s="13">
        <v>0</v>
      </c>
      <c r="I94" s="13"/>
      <c r="J94" s="13" t="s">
        <v>2207</v>
      </c>
      <c r="K94" s="13" t="s">
        <v>2208</v>
      </c>
    </row>
    <row r="95" spans="1:11" x14ac:dyDescent="0.3">
      <c r="A95" s="13" t="s">
        <v>2183</v>
      </c>
      <c r="B95" s="13" t="s">
        <v>2209</v>
      </c>
      <c r="C95" s="13" t="s">
        <v>2210</v>
      </c>
      <c r="D95" s="13"/>
      <c r="E95" s="13">
        <v>3</v>
      </c>
      <c r="F95" s="13" t="s">
        <v>2211</v>
      </c>
      <c r="G95" s="13">
        <v>406</v>
      </c>
      <c r="H95" s="13">
        <v>0</v>
      </c>
      <c r="I95" s="13"/>
      <c r="J95" s="13" t="s">
        <v>2212</v>
      </c>
      <c r="K95" s="13" t="s">
        <v>2213</v>
      </c>
    </row>
    <row r="96" spans="1:11" x14ac:dyDescent="0.3">
      <c r="A96" s="13" t="s">
        <v>2183</v>
      </c>
      <c r="B96" s="13" t="s">
        <v>2209</v>
      </c>
      <c r="C96" s="13" t="s">
        <v>2214</v>
      </c>
      <c r="D96" s="13"/>
      <c r="E96" s="13">
        <v>3</v>
      </c>
      <c r="F96" s="13" t="s">
        <v>2215</v>
      </c>
      <c r="G96" s="13">
        <v>119</v>
      </c>
      <c r="H96" s="13">
        <v>0</v>
      </c>
      <c r="I96" s="13"/>
      <c r="J96" s="13" t="s">
        <v>2216</v>
      </c>
      <c r="K96" s="13" t="s">
        <v>2217</v>
      </c>
    </row>
    <row r="97" spans="1:11" x14ac:dyDescent="0.3">
      <c r="A97" s="13" t="s">
        <v>2183</v>
      </c>
      <c r="B97" s="13" t="s">
        <v>2209</v>
      </c>
      <c r="C97" s="13" t="s">
        <v>2218</v>
      </c>
      <c r="D97" s="13"/>
      <c r="E97" s="13">
        <v>3</v>
      </c>
      <c r="F97" s="13" t="s">
        <v>2219</v>
      </c>
      <c r="G97" s="13">
        <v>78</v>
      </c>
      <c r="H97" s="13">
        <v>0</v>
      </c>
      <c r="I97" s="13"/>
      <c r="J97" s="13" t="s">
        <v>2220</v>
      </c>
      <c r="K97" s="13" t="s">
        <v>2221</v>
      </c>
    </row>
    <row r="98" spans="1:11" x14ac:dyDescent="0.3">
      <c r="A98" s="13" t="s">
        <v>2183</v>
      </c>
      <c r="B98" s="13" t="s">
        <v>2209</v>
      </c>
      <c r="C98" s="13" t="s">
        <v>2222</v>
      </c>
      <c r="D98" s="13"/>
      <c r="E98" s="13">
        <v>3</v>
      </c>
      <c r="F98" s="13" t="s">
        <v>2223</v>
      </c>
      <c r="G98" s="13">
        <v>15</v>
      </c>
      <c r="H98" s="13">
        <v>0</v>
      </c>
      <c r="I98" s="13"/>
      <c r="J98" s="13" t="s">
        <v>2224</v>
      </c>
      <c r="K98" s="13" t="s">
        <v>2225</v>
      </c>
    </row>
    <row r="99" spans="1:11" x14ac:dyDescent="0.3">
      <c r="A99" s="13" t="s">
        <v>2183</v>
      </c>
      <c r="B99" s="13" t="s">
        <v>2209</v>
      </c>
      <c r="C99" s="13" t="s">
        <v>2226</v>
      </c>
      <c r="D99" s="13"/>
      <c r="E99" s="13">
        <v>3</v>
      </c>
      <c r="F99" s="13" t="s">
        <v>2227</v>
      </c>
      <c r="G99" s="13">
        <v>443</v>
      </c>
      <c r="H99" s="13">
        <v>0</v>
      </c>
      <c r="I99" s="13"/>
      <c r="J99" s="13" t="s">
        <v>2228</v>
      </c>
      <c r="K99" s="13" t="s">
        <v>2229</v>
      </c>
    </row>
    <row r="100" spans="1:11" x14ac:dyDescent="0.3">
      <c r="A100" s="13" t="s">
        <v>2183</v>
      </c>
      <c r="B100" s="13" t="s">
        <v>2209</v>
      </c>
      <c r="C100" s="13" t="s">
        <v>2230</v>
      </c>
      <c r="D100" s="13"/>
      <c r="E100" s="13">
        <v>3</v>
      </c>
      <c r="F100" s="13" t="s">
        <v>2231</v>
      </c>
      <c r="G100" s="13">
        <v>26</v>
      </c>
      <c r="H100" s="13">
        <v>0</v>
      </c>
      <c r="I100" s="13"/>
      <c r="J100" s="13" t="s">
        <v>2232</v>
      </c>
      <c r="K100" s="13" t="s">
        <v>2233</v>
      </c>
    </row>
    <row r="101" spans="1:11" x14ac:dyDescent="0.3">
      <c r="A101" s="13" t="s">
        <v>1079</v>
      </c>
      <c r="B101" s="13" t="s">
        <v>2234</v>
      </c>
      <c r="C101" s="13" t="s">
        <v>2235</v>
      </c>
      <c r="D101" s="13"/>
      <c r="E101" s="13">
        <v>3</v>
      </c>
      <c r="F101" s="13" t="s">
        <v>2236</v>
      </c>
      <c r="G101" s="13">
        <v>368</v>
      </c>
      <c r="H101" s="13">
        <v>0</v>
      </c>
      <c r="I101" s="13"/>
      <c r="J101" s="13" t="s">
        <v>2237</v>
      </c>
      <c r="K101" s="13" t="s">
        <v>2238</v>
      </c>
    </row>
    <row r="102" spans="1:11" x14ac:dyDescent="0.3">
      <c r="A102" s="13" t="s">
        <v>1079</v>
      </c>
      <c r="B102" s="13" t="s">
        <v>2234</v>
      </c>
      <c r="C102" s="13" t="s">
        <v>2239</v>
      </c>
      <c r="D102" s="13"/>
      <c r="E102" s="13">
        <v>3</v>
      </c>
      <c r="F102" s="13" t="s">
        <v>2240</v>
      </c>
      <c r="G102" s="13">
        <v>30</v>
      </c>
      <c r="H102" s="13">
        <v>0</v>
      </c>
      <c r="I102" s="13"/>
      <c r="J102" s="13" t="s">
        <v>2241</v>
      </c>
      <c r="K102" s="13" t="s">
        <v>2242</v>
      </c>
    </row>
    <row r="103" spans="1:11" x14ac:dyDescent="0.3">
      <c r="A103" s="13" t="s">
        <v>1079</v>
      </c>
      <c r="B103" s="13" t="s">
        <v>2234</v>
      </c>
      <c r="C103" s="13" t="s">
        <v>2243</v>
      </c>
      <c r="D103" s="13"/>
      <c r="E103" s="13">
        <v>3</v>
      </c>
      <c r="F103" s="13" t="s">
        <v>2244</v>
      </c>
      <c r="G103" s="13">
        <v>671</v>
      </c>
      <c r="H103" s="13">
        <v>0</v>
      </c>
      <c r="I103" s="13"/>
      <c r="J103" s="13" t="s">
        <v>2245</v>
      </c>
      <c r="K103" s="13" t="s">
        <v>2246</v>
      </c>
    </row>
    <row r="104" spans="1:11" x14ac:dyDescent="0.3">
      <c r="A104" s="13" t="s">
        <v>1079</v>
      </c>
      <c r="B104" s="13" t="s">
        <v>2234</v>
      </c>
      <c r="C104" s="13" t="s">
        <v>2247</v>
      </c>
      <c r="D104" s="13" t="s">
        <v>2248</v>
      </c>
      <c r="E104" s="13">
        <v>4</v>
      </c>
      <c r="F104" s="13" t="s">
        <v>2249</v>
      </c>
      <c r="G104" s="13">
        <v>104</v>
      </c>
      <c r="H104" s="13">
        <v>0</v>
      </c>
      <c r="I104" s="13"/>
      <c r="J104" s="13" t="s">
        <v>2250</v>
      </c>
      <c r="K104" s="13" t="s">
        <v>2251</v>
      </c>
    </row>
    <row r="105" spans="1:11" x14ac:dyDescent="0.3">
      <c r="A105" s="13" t="s">
        <v>1079</v>
      </c>
      <c r="B105" s="13" t="s">
        <v>2234</v>
      </c>
      <c r="C105" s="13" t="s">
        <v>2247</v>
      </c>
      <c r="D105" s="13" t="s">
        <v>2252</v>
      </c>
      <c r="E105" s="13">
        <v>4</v>
      </c>
      <c r="F105" s="13" t="s">
        <v>2253</v>
      </c>
      <c r="G105" s="13">
        <v>5</v>
      </c>
      <c r="H105" s="13">
        <v>0</v>
      </c>
      <c r="I105" s="13"/>
      <c r="J105" s="13" t="s">
        <v>2254</v>
      </c>
      <c r="K105" s="13" t="s">
        <v>2255</v>
      </c>
    </row>
    <row r="106" spans="1:11" x14ac:dyDescent="0.3">
      <c r="A106" s="13" t="s">
        <v>1079</v>
      </c>
      <c r="B106" s="13" t="s">
        <v>2234</v>
      </c>
      <c r="C106" s="13" t="s">
        <v>2256</v>
      </c>
      <c r="D106" s="13"/>
      <c r="E106" s="13">
        <v>3</v>
      </c>
      <c r="F106" s="13" t="s">
        <v>2257</v>
      </c>
      <c r="G106" s="13">
        <v>142</v>
      </c>
      <c r="H106" s="13">
        <v>0</v>
      </c>
      <c r="I106" s="13"/>
      <c r="J106" s="13" t="s">
        <v>2258</v>
      </c>
      <c r="K106" s="13" t="s">
        <v>2259</v>
      </c>
    </row>
    <row r="107" spans="1:11" x14ac:dyDescent="0.3">
      <c r="A107" s="13" t="s">
        <v>1079</v>
      </c>
      <c r="B107" s="13" t="s">
        <v>2234</v>
      </c>
      <c r="C107" s="13" t="s">
        <v>2260</v>
      </c>
      <c r="D107" s="13"/>
      <c r="E107" s="13">
        <v>3</v>
      </c>
      <c r="F107" s="13" t="s">
        <v>2261</v>
      </c>
      <c r="G107" s="13">
        <v>132</v>
      </c>
      <c r="H107" s="13">
        <v>0</v>
      </c>
      <c r="I107" s="13"/>
      <c r="J107" s="13" t="s">
        <v>2262</v>
      </c>
      <c r="K107" s="13" t="s">
        <v>2263</v>
      </c>
    </row>
    <row r="108" spans="1:11" x14ac:dyDescent="0.3">
      <c r="A108" s="13" t="s">
        <v>1079</v>
      </c>
      <c r="B108" s="13" t="s">
        <v>2234</v>
      </c>
      <c r="C108" s="13" t="s">
        <v>2264</v>
      </c>
      <c r="D108" s="13"/>
      <c r="E108" s="13">
        <v>3</v>
      </c>
      <c r="F108" s="13" t="s">
        <v>2265</v>
      </c>
      <c r="G108" s="13">
        <v>38</v>
      </c>
      <c r="H108" s="13">
        <v>0</v>
      </c>
      <c r="I108" s="13"/>
      <c r="J108" s="13" t="s">
        <v>2266</v>
      </c>
      <c r="K108" s="13" t="s">
        <v>2267</v>
      </c>
    </row>
    <row r="109" spans="1:11" x14ac:dyDescent="0.3">
      <c r="A109" s="13" t="s">
        <v>1079</v>
      </c>
      <c r="B109" s="13" t="s">
        <v>2268</v>
      </c>
      <c r="C109" s="13" t="s">
        <v>2269</v>
      </c>
      <c r="D109" s="13"/>
      <c r="E109" s="13">
        <v>3</v>
      </c>
      <c r="F109" s="13" t="s">
        <v>2270</v>
      </c>
      <c r="G109" s="13">
        <v>65</v>
      </c>
      <c r="H109" s="13">
        <v>0</v>
      </c>
      <c r="I109" s="13"/>
      <c r="J109" s="13" t="s">
        <v>2271</v>
      </c>
      <c r="K109" s="13" t="s">
        <v>2272</v>
      </c>
    </row>
    <row r="110" spans="1:11" x14ac:dyDescent="0.3">
      <c r="A110" s="13" t="s">
        <v>1079</v>
      </c>
      <c r="B110" s="13" t="s">
        <v>2268</v>
      </c>
      <c r="C110" s="13" t="s">
        <v>2273</v>
      </c>
      <c r="D110" s="13" t="s">
        <v>2274</v>
      </c>
      <c r="E110" s="13">
        <v>4</v>
      </c>
      <c r="F110" s="13" t="s">
        <v>2275</v>
      </c>
      <c r="G110" s="13">
        <v>9</v>
      </c>
      <c r="H110" s="13">
        <v>0</v>
      </c>
      <c r="I110" s="13"/>
      <c r="J110" s="13" t="s">
        <v>2276</v>
      </c>
      <c r="K110" s="13" t="s">
        <v>2277</v>
      </c>
    </row>
    <row r="111" spans="1:11" x14ac:dyDescent="0.3">
      <c r="A111" s="13" t="s">
        <v>1079</v>
      </c>
      <c r="B111" s="13" t="s">
        <v>2268</v>
      </c>
      <c r="C111" s="13" t="s">
        <v>2273</v>
      </c>
      <c r="D111" s="13" t="s">
        <v>2278</v>
      </c>
      <c r="E111" s="13">
        <v>4</v>
      </c>
      <c r="F111" s="13" t="s">
        <v>2279</v>
      </c>
      <c r="G111" s="13">
        <v>14</v>
      </c>
      <c r="H111" s="13">
        <v>0</v>
      </c>
      <c r="I111" s="13"/>
      <c r="J111" s="13" t="s">
        <v>2280</v>
      </c>
      <c r="K111" s="13" t="s">
        <v>2281</v>
      </c>
    </row>
    <row r="112" spans="1:11" x14ac:dyDescent="0.3">
      <c r="A112" s="13" t="s">
        <v>1079</v>
      </c>
      <c r="B112" s="13" t="s">
        <v>2268</v>
      </c>
      <c r="C112" s="13" t="s">
        <v>2273</v>
      </c>
      <c r="D112" s="13" t="s">
        <v>2282</v>
      </c>
      <c r="E112" s="13">
        <v>4</v>
      </c>
      <c r="F112" s="13" t="s">
        <v>2283</v>
      </c>
      <c r="G112" s="13">
        <v>14</v>
      </c>
      <c r="H112" s="13">
        <v>0</v>
      </c>
      <c r="I112" s="13"/>
      <c r="J112" s="13" t="s">
        <v>2284</v>
      </c>
      <c r="K112" s="13" t="s">
        <v>2285</v>
      </c>
    </row>
    <row r="113" spans="1:11" x14ac:dyDescent="0.3">
      <c r="A113" s="13" t="s">
        <v>1079</v>
      </c>
      <c r="B113" s="13" t="s">
        <v>2268</v>
      </c>
      <c r="C113" s="13" t="s">
        <v>2286</v>
      </c>
      <c r="D113" s="13"/>
      <c r="E113" s="13">
        <v>3</v>
      </c>
      <c r="F113" s="13" t="s">
        <v>2287</v>
      </c>
      <c r="G113" s="13">
        <v>186</v>
      </c>
      <c r="H113" s="13">
        <v>0</v>
      </c>
      <c r="I113" s="13"/>
      <c r="J113" s="13" t="s">
        <v>2288</v>
      </c>
      <c r="K113" s="13" t="s">
        <v>2289</v>
      </c>
    </row>
    <row r="114" spans="1:11" x14ac:dyDescent="0.3">
      <c r="A114" s="13" t="s">
        <v>1079</v>
      </c>
      <c r="B114" s="13" t="s">
        <v>2268</v>
      </c>
      <c r="C114" s="13" t="s">
        <v>2290</v>
      </c>
      <c r="D114" s="13"/>
      <c r="E114" s="13">
        <v>3</v>
      </c>
      <c r="F114" s="13" t="s">
        <v>2291</v>
      </c>
      <c r="G114" s="13">
        <v>49</v>
      </c>
      <c r="H114" s="13">
        <v>0</v>
      </c>
      <c r="I114" s="13"/>
      <c r="J114" s="13" t="s">
        <v>2292</v>
      </c>
      <c r="K114" s="13" t="s">
        <v>2293</v>
      </c>
    </row>
    <row r="115" spans="1:11" x14ac:dyDescent="0.3">
      <c r="A115" s="13" t="s">
        <v>1079</v>
      </c>
      <c r="B115" s="13" t="s">
        <v>2268</v>
      </c>
      <c r="C115" s="13" t="s">
        <v>2294</v>
      </c>
      <c r="D115" s="13" t="s">
        <v>2295</v>
      </c>
      <c r="E115" s="13">
        <v>4</v>
      </c>
      <c r="F115" s="13" t="s">
        <v>2296</v>
      </c>
      <c r="G115" s="13">
        <v>46</v>
      </c>
      <c r="H115" s="13">
        <v>0</v>
      </c>
      <c r="I115" s="13"/>
      <c r="J115" s="13" t="s">
        <v>2297</v>
      </c>
      <c r="K115" s="13" t="s">
        <v>2298</v>
      </c>
    </row>
    <row r="116" spans="1:11" x14ac:dyDescent="0.3">
      <c r="A116" s="13" t="s">
        <v>1079</v>
      </c>
      <c r="B116" s="13" t="s">
        <v>2268</v>
      </c>
      <c r="C116" s="13" t="s">
        <v>2294</v>
      </c>
      <c r="D116" s="13" t="s">
        <v>2299</v>
      </c>
      <c r="E116" s="13">
        <v>4</v>
      </c>
      <c r="F116" s="13" t="s">
        <v>2300</v>
      </c>
      <c r="G116" s="13">
        <v>214</v>
      </c>
      <c r="H116" s="13">
        <v>0</v>
      </c>
      <c r="I116" s="13"/>
      <c r="J116" s="13" t="s">
        <v>2301</v>
      </c>
      <c r="K116" s="13" t="s">
        <v>2302</v>
      </c>
    </row>
    <row r="117" spans="1:11" x14ac:dyDescent="0.3">
      <c r="A117" s="13" t="s">
        <v>1079</v>
      </c>
      <c r="B117" s="13" t="s">
        <v>2268</v>
      </c>
      <c r="C117" s="13" t="s">
        <v>2294</v>
      </c>
      <c r="D117" s="13" t="s">
        <v>2303</v>
      </c>
      <c r="E117" s="13">
        <v>4</v>
      </c>
      <c r="F117" s="13" t="s">
        <v>2304</v>
      </c>
      <c r="G117" s="13">
        <v>119</v>
      </c>
      <c r="H117" s="13">
        <v>0</v>
      </c>
      <c r="I117" s="13"/>
      <c r="J117" s="13" t="s">
        <v>2305</v>
      </c>
      <c r="K117" s="13" t="s">
        <v>2306</v>
      </c>
    </row>
    <row r="118" spans="1:11" x14ac:dyDescent="0.3">
      <c r="A118" s="13" t="s">
        <v>1079</v>
      </c>
      <c r="B118" s="13" t="s">
        <v>2268</v>
      </c>
      <c r="C118" s="13" t="s">
        <v>2307</v>
      </c>
      <c r="D118" s="13"/>
      <c r="E118" s="13">
        <v>3</v>
      </c>
      <c r="F118" s="13" t="s">
        <v>2308</v>
      </c>
      <c r="G118" s="13">
        <v>78</v>
      </c>
      <c r="H118" s="13">
        <v>0</v>
      </c>
      <c r="I118" s="13"/>
      <c r="J118" s="13" t="s">
        <v>2309</v>
      </c>
      <c r="K118" s="13" t="s">
        <v>2310</v>
      </c>
    </row>
    <row r="119" spans="1:11" x14ac:dyDescent="0.3">
      <c r="A119" s="13" t="s">
        <v>1079</v>
      </c>
      <c r="B119" s="13" t="s">
        <v>2268</v>
      </c>
      <c r="C119" s="13" t="s">
        <v>2311</v>
      </c>
      <c r="D119" s="13"/>
      <c r="E119" s="13">
        <v>3</v>
      </c>
      <c r="F119" s="13" t="s">
        <v>2312</v>
      </c>
      <c r="G119" s="13">
        <v>23</v>
      </c>
      <c r="H119" s="13">
        <v>0</v>
      </c>
      <c r="I119" s="13"/>
      <c r="J119" s="13" t="s">
        <v>2313</v>
      </c>
      <c r="K119" s="13" t="s">
        <v>2314</v>
      </c>
    </row>
    <row r="120" spans="1:11" x14ac:dyDescent="0.3">
      <c r="A120" s="13" t="s">
        <v>1079</v>
      </c>
      <c r="B120" s="13" t="s">
        <v>2268</v>
      </c>
      <c r="C120" s="13" t="s">
        <v>2315</v>
      </c>
      <c r="D120" s="13"/>
      <c r="E120" s="13">
        <v>3</v>
      </c>
      <c r="F120" s="13" t="s">
        <v>2316</v>
      </c>
      <c r="G120" s="13">
        <v>40</v>
      </c>
      <c r="H120" s="13">
        <v>0</v>
      </c>
      <c r="I120" s="13"/>
      <c r="J120" s="13" t="s">
        <v>2317</v>
      </c>
      <c r="K120" s="13" t="s">
        <v>2318</v>
      </c>
    </row>
    <row r="121" spans="1:11" x14ac:dyDescent="0.3">
      <c r="A121" s="13" t="s">
        <v>1079</v>
      </c>
      <c r="B121" s="13" t="s">
        <v>2319</v>
      </c>
      <c r="C121" s="13"/>
      <c r="D121" s="13"/>
      <c r="E121" s="13">
        <v>2</v>
      </c>
      <c r="F121" s="13" t="s">
        <v>2320</v>
      </c>
      <c r="G121" s="13">
        <v>91</v>
      </c>
      <c r="H121" s="13">
        <v>0</v>
      </c>
      <c r="I121" s="13"/>
      <c r="J121" s="13" t="s">
        <v>2321</v>
      </c>
      <c r="K121" s="13" t="s">
        <v>2322</v>
      </c>
    </row>
    <row r="122" spans="1:11" x14ac:dyDescent="0.3">
      <c r="A122" s="13" t="s">
        <v>1079</v>
      </c>
      <c r="B122" s="13" t="s">
        <v>2323</v>
      </c>
      <c r="C122" s="13"/>
      <c r="D122" s="13"/>
      <c r="E122" s="13">
        <v>2</v>
      </c>
      <c r="F122" s="13" t="s">
        <v>2324</v>
      </c>
      <c r="G122" s="13">
        <v>40</v>
      </c>
      <c r="H122" s="13">
        <v>0</v>
      </c>
      <c r="I122" s="13"/>
      <c r="J122" s="13" t="s">
        <v>2325</v>
      </c>
      <c r="K122" s="13" t="s">
        <v>2326</v>
      </c>
    </row>
    <row r="123" spans="1:11" x14ac:dyDescent="0.3">
      <c r="A123" s="13" t="s">
        <v>1079</v>
      </c>
      <c r="B123" s="13" t="s">
        <v>2327</v>
      </c>
      <c r="C123" s="13" t="s">
        <v>2328</v>
      </c>
      <c r="D123" s="13"/>
      <c r="E123" s="13">
        <v>3</v>
      </c>
      <c r="F123" s="13" t="s">
        <v>2329</v>
      </c>
      <c r="G123" s="13">
        <v>24</v>
      </c>
      <c r="H123" s="13">
        <v>0</v>
      </c>
      <c r="I123" s="13"/>
      <c r="J123" s="13" t="s">
        <v>2330</v>
      </c>
      <c r="K123" s="13" t="s">
        <v>2331</v>
      </c>
    </row>
    <row r="124" spans="1:11" x14ac:dyDescent="0.3">
      <c r="A124" s="13" t="s">
        <v>1079</v>
      </c>
      <c r="B124" s="13" t="s">
        <v>2327</v>
      </c>
      <c r="C124" s="13" t="s">
        <v>2332</v>
      </c>
      <c r="D124" s="13"/>
      <c r="E124" s="13">
        <v>3</v>
      </c>
      <c r="F124" s="13" t="s">
        <v>2333</v>
      </c>
      <c r="G124" s="13">
        <v>16</v>
      </c>
      <c r="H124" s="13">
        <v>0</v>
      </c>
      <c r="I124" s="13"/>
      <c r="J124" s="13" t="s">
        <v>2334</v>
      </c>
      <c r="K124" s="13" t="s">
        <v>2335</v>
      </c>
    </row>
    <row r="125" spans="1:11" x14ac:dyDescent="0.3">
      <c r="A125" s="13" t="s">
        <v>1079</v>
      </c>
      <c r="B125" s="13" t="s">
        <v>2327</v>
      </c>
      <c r="C125" s="13" t="s">
        <v>2336</v>
      </c>
      <c r="D125" s="13"/>
      <c r="E125" s="13">
        <v>3</v>
      </c>
      <c r="F125" s="13" t="s">
        <v>2337</v>
      </c>
      <c r="G125" s="13">
        <v>1</v>
      </c>
      <c r="H125" s="13">
        <v>0</v>
      </c>
      <c r="I125" s="13"/>
      <c r="J125" s="13" t="s">
        <v>2338</v>
      </c>
      <c r="K125" s="13" t="s">
        <v>2339</v>
      </c>
    </row>
    <row r="126" spans="1:11" x14ac:dyDescent="0.3">
      <c r="A126" s="13" t="s">
        <v>1079</v>
      </c>
      <c r="B126" s="13" t="s">
        <v>2327</v>
      </c>
      <c r="C126" s="13" t="s">
        <v>2340</v>
      </c>
      <c r="D126" s="13"/>
      <c r="E126" s="13">
        <v>3</v>
      </c>
      <c r="F126" s="13" t="s">
        <v>2341</v>
      </c>
      <c r="G126" s="13">
        <v>17</v>
      </c>
      <c r="H126" s="13">
        <v>0</v>
      </c>
      <c r="I126" s="13"/>
      <c r="J126" s="13" t="s">
        <v>2342</v>
      </c>
      <c r="K126" s="13" t="s">
        <v>2343</v>
      </c>
    </row>
    <row r="127" spans="1:11" x14ac:dyDescent="0.3">
      <c r="A127" s="13" t="s">
        <v>1079</v>
      </c>
      <c r="B127" s="13" t="s">
        <v>2327</v>
      </c>
      <c r="C127" s="13" t="s">
        <v>2344</v>
      </c>
      <c r="D127" s="13"/>
      <c r="E127" s="13">
        <v>3</v>
      </c>
      <c r="F127" s="13" t="s">
        <v>2345</v>
      </c>
      <c r="G127" s="13">
        <v>119</v>
      </c>
      <c r="H127" s="13">
        <v>0</v>
      </c>
      <c r="I127" s="13"/>
      <c r="J127" s="13" t="s">
        <v>2346</v>
      </c>
      <c r="K127" s="13" t="s">
        <v>2347</v>
      </c>
    </row>
    <row r="128" spans="1:11" x14ac:dyDescent="0.3">
      <c r="A128" s="13" t="s">
        <v>1079</v>
      </c>
      <c r="B128" s="13" t="s">
        <v>2327</v>
      </c>
      <c r="C128" s="13" t="s">
        <v>2348</v>
      </c>
      <c r="D128" s="13"/>
      <c r="E128" s="13">
        <v>3</v>
      </c>
      <c r="F128" s="13" t="s">
        <v>2349</v>
      </c>
      <c r="G128" s="13">
        <v>135</v>
      </c>
      <c r="H128" s="13">
        <v>0</v>
      </c>
      <c r="I128" s="13"/>
      <c r="J128" s="13" t="s">
        <v>2350</v>
      </c>
      <c r="K128" s="13" t="s">
        <v>2351</v>
      </c>
    </row>
    <row r="129" spans="1:11" x14ac:dyDescent="0.3">
      <c r="A129" s="13" t="s">
        <v>1079</v>
      </c>
      <c r="B129" s="13" t="s">
        <v>2327</v>
      </c>
      <c r="C129" s="13" t="s">
        <v>2352</v>
      </c>
      <c r="D129" s="13"/>
      <c r="E129" s="13">
        <v>3</v>
      </c>
      <c r="F129" s="13" t="s">
        <v>2353</v>
      </c>
      <c r="G129" s="13">
        <v>204</v>
      </c>
      <c r="H129" s="13">
        <v>0</v>
      </c>
      <c r="I129" s="13"/>
      <c r="J129" s="13" t="s">
        <v>2354</v>
      </c>
      <c r="K129" s="13" t="s">
        <v>2355</v>
      </c>
    </row>
    <row r="130" spans="1:11" x14ac:dyDescent="0.3">
      <c r="A130" s="13" t="s">
        <v>1079</v>
      </c>
      <c r="B130" s="13" t="s">
        <v>2327</v>
      </c>
      <c r="C130" s="13" t="s">
        <v>2356</v>
      </c>
      <c r="D130" s="13"/>
      <c r="E130" s="13">
        <v>3</v>
      </c>
      <c r="F130" s="13" t="s">
        <v>2357</v>
      </c>
      <c r="G130" s="13">
        <v>13</v>
      </c>
      <c r="H130" s="13">
        <v>0</v>
      </c>
      <c r="I130" s="13"/>
      <c r="J130" s="13" t="s">
        <v>2358</v>
      </c>
      <c r="K130" s="13" t="s">
        <v>2359</v>
      </c>
    </row>
    <row r="131" spans="1:11" x14ac:dyDescent="0.3">
      <c r="A131" s="13" t="s">
        <v>1079</v>
      </c>
      <c r="B131" s="13" t="s">
        <v>2360</v>
      </c>
      <c r="C131" s="13" t="s">
        <v>2361</v>
      </c>
      <c r="D131" s="13"/>
      <c r="E131" s="13">
        <v>3</v>
      </c>
      <c r="F131" s="13" t="s">
        <v>2362</v>
      </c>
      <c r="G131" s="13">
        <v>114</v>
      </c>
      <c r="H131" s="13">
        <v>0</v>
      </c>
      <c r="I131" s="13"/>
      <c r="J131" s="13" t="s">
        <v>2363</v>
      </c>
      <c r="K131" s="13" t="s">
        <v>2364</v>
      </c>
    </row>
    <row r="132" spans="1:11" x14ac:dyDescent="0.3">
      <c r="A132" s="13" t="s">
        <v>1079</v>
      </c>
      <c r="B132" s="13" t="s">
        <v>2360</v>
      </c>
      <c r="C132" s="13" t="s">
        <v>2365</v>
      </c>
      <c r="D132" s="13"/>
      <c r="E132" s="13">
        <v>3</v>
      </c>
      <c r="F132" s="13" t="s">
        <v>2366</v>
      </c>
      <c r="G132" s="13">
        <v>283</v>
      </c>
      <c r="H132" s="13">
        <v>0</v>
      </c>
      <c r="I132" s="13"/>
      <c r="J132" s="13" t="s">
        <v>2367</v>
      </c>
      <c r="K132" s="13" t="s">
        <v>2368</v>
      </c>
    </row>
    <row r="133" spans="1:11" x14ac:dyDescent="0.3">
      <c r="A133" s="13" t="s">
        <v>1079</v>
      </c>
      <c r="B133" s="13" t="s">
        <v>2360</v>
      </c>
      <c r="C133" s="13" t="s">
        <v>2369</v>
      </c>
      <c r="D133" s="13"/>
      <c r="E133" s="13">
        <v>3</v>
      </c>
      <c r="F133" s="13" t="s">
        <v>2370</v>
      </c>
      <c r="G133" s="13">
        <v>104</v>
      </c>
      <c r="H133" s="13">
        <v>0</v>
      </c>
      <c r="I133" s="13"/>
      <c r="J133" s="13" t="s">
        <v>2371</v>
      </c>
      <c r="K133" s="13" t="s">
        <v>2372</v>
      </c>
    </row>
    <row r="134" spans="1:11" x14ac:dyDescent="0.3">
      <c r="A134" s="13" t="s">
        <v>1079</v>
      </c>
      <c r="B134" s="13" t="s">
        <v>2373</v>
      </c>
      <c r="C134" s="13" t="s">
        <v>2374</v>
      </c>
      <c r="D134" s="13" t="s">
        <v>2375</v>
      </c>
      <c r="E134" s="13">
        <v>4</v>
      </c>
      <c r="F134" s="13" t="s">
        <v>2376</v>
      </c>
      <c r="G134" s="13">
        <v>41</v>
      </c>
      <c r="H134" s="13">
        <v>0</v>
      </c>
      <c r="I134" s="13"/>
      <c r="J134" s="13" t="s">
        <v>2377</v>
      </c>
      <c r="K134" s="13" t="s">
        <v>2378</v>
      </c>
    </row>
    <row r="135" spans="1:11" x14ac:dyDescent="0.3">
      <c r="A135" s="13" t="s">
        <v>1079</v>
      </c>
      <c r="B135" s="13" t="s">
        <v>2379</v>
      </c>
      <c r="C135" s="13" t="s">
        <v>2380</v>
      </c>
      <c r="D135" s="13"/>
      <c r="E135" s="13">
        <v>3</v>
      </c>
      <c r="F135" s="13" t="s">
        <v>2381</v>
      </c>
      <c r="G135" s="13">
        <v>6</v>
      </c>
      <c r="H135" s="13">
        <v>0</v>
      </c>
      <c r="I135" s="13"/>
      <c r="J135" s="13" t="s">
        <v>2382</v>
      </c>
      <c r="K135" s="13" t="s">
        <v>2383</v>
      </c>
    </row>
    <row r="136" spans="1:11" x14ac:dyDescent="0.3">
      <c r="A136" s="13" t="s">
        <v>1079</v>
      </c>
      <c r="B136" s="13" t="s">
        <v>2379</v>
      </c>
      <c r="C136" s="13" t="s">
        <v>2384</v>
      </c>
      <c r="D136" s="13"/>
      <c r="E136" s="13">
        <v>3</v>
      </c>
      <c r="F136" s="13" t="s">
        <v>2385</v>
      </c>
      <c r="G136" s="13">
        <v>8</v>
      </c>
      <c r="H136" s="13">
        <v>0</v>
      </c>
      <c r="I136" s="13"/>
      <c r="J136" s="13" t="s">
        <v>2386</v>
      </c>
      <c r="K136" s="13" t="s">
        <v>2387</v>
      </c>
    </row>
    <row r="137" spans="1:11" x14ac:dyDescent="0.3">
      <c r="A137" s="13" t="s">
        <v>1079</v>
      </c>
      <c r="B137" s="13" t="s">
        <v>2379</v>
      </c>
      <c r="C137" s="13" t="s">
        <v>2388</v>
      </c>
      <c r="D137" s="13"/>
      <c r="E137" s="13">
        <v>3</v>
      </c>
      <c r="F137" s="13" t="s">
        <v>2389</v>
      </c>
      <c r="G137" s="13">
        <v>94</v>
      </c>
      <c r="H137" s="13">
        <v>0</v>
      </c>
      <c r="I137" s="13"/>
      <c r="J137" s="13" t="s">
        <v>2390</v>
      </c>
      <c r="K137" s="13" t="s">
        <v>2391</v>
      </c>
    </row>
    <row r="138" spans="1:11" x14ac:dyDescent="0.3">
      <c r="A138" s="13" t="s">
        <v>1079</v>
      </c>
      <c r="B138" s="13" t="s">
        <v>2379</v>
      </c>
      <c r="C138" s="13" t="s">
        <v>2392</v>
      </c>
      <c r="D138" s="13" t="s">
        <v>2393</v>
      </c>
      <c r="E138" s="13">
        <v>4</v>
      </c>
      <c r="F138" s="13" t="s">
        <v>2394</v>
      </c>
      <c r="G138" s="13">
        <v>38</v>
      </c>
      <c r="H138" s="13">
        <v>0</v>
      </c>
      <c r="I138" s="13"/>
      <c r="J138" s="13" t="s">
        <v>2395</v>
      </c>
      <c r="K138" s="13" t="s">
        <v>2396</v>
      </c>
    </row>
    <row r="139" spans="1:11" x14ac:dyDescent="0.3">
      <c r="A139" s="13" t="s">
        <v>1079</v>
      </c>
      <c r="B139" s="13" t="s">
        <v>2379</v>
      </c>
      <c r="C139" s="13" t="s">
        <v>2392</v>
      </c>
      <c r="D139" s="13" t="s">
        <v>2397</v>
      </c>
      <c r="E139" s="13">
        <v>4</v>
      </c>
      <c r="F139" s="13" t="s">
        <v>2398</v>
      </c>
      <c r="G139" s="13">
        <v>49</v>
      </c>
      <c r="H139" s="13">
        <v>0</v>
      </c>
      <c r="I139" s="13"/>
      <c r="J139" s="13" t="s">
        <v>2399</v>
      </c>
      <c r="K139" s="13" t="s">
        <v>2400</v>
      </c>
    </row>
    <row r="140" spans="1:11" x14ac:dyDescent="0.3">
      <c r="A140" s="13" t="s">
        <v>1079</v>
      </c>
      <c r="B140" s="13" t="s">
        <v>2379</v>
      </c>
      <c r="C140" s="13" t="s">
        <v>2392</v>
      </c>
      <c r="D140" s="13" t="s">
        <v>2401</v>
      </c>
      <c r="E140" s="13">
        <v>4</v>
      </c>
      <c r="F140" s="13" t="s">
        <v>2402</v>
      </c>
      <c r="G140" s="13">
        <v>168</v>
      </c>
      <c r="H140" s="13">
        <v>0</v>
      </c>
      <c r="I140" s="13"/>
      <c r="J140" s="13" t="s">
        <v>2403</v>
      </c>
      <c r="K140" s="13" t="s">
        <v>2404</v>
      </c>
    </row>
    <row r="141" spans="1:11" x14ac:dyDescent="0.3">
      <c r="A141" s="13" t="s">
        <v>1079</v>
      </c>
      <c r="B141" s="13" t="s">
        <v>2379</v>
      </c>
      <c r="C141" s="13" t="s">
        <v>2405</v>
      </c>
      <c r="D141" s="13"/>
      <c r="E141" s="13">
        <v>3</v>
      </c>
      <c r="F141" s="13" t="s">
        <v>2406</v>
      </c>
      <c r="G141" s="13">
        <v>11</v>
      </c>
      <c r="H141" s="13">
        <v>0</v>
      </c>
      <c r="I141" s="13"/>
      <c r="J141" s="13" t="s">
        <v>2407</v>
      </c>
      <c r="K141" s="13" t="s">
        <v>2408</v>
      </c>
    </row>
    <row r="142" spans="1:11" x14ac:dyDescent="0.3">
      <c r="A142" s="13" t="s">
        <v>1079</v>
      </c>
      <c r="B142" s="13" t="s">
        <v>2379</v>
      </c>
      <c r="C142" s="13" t="s">
        <v>2409</v>
      </c>
      <c r="D142" s="13"/>
      <c r="E142" s="13">
        <v>3</v>
      </c>
      <c r="F142" s="13" t="s">
        <v>2410</v>
      </c>
      <c r="G142" s="13">
        <v>23</v>
      </c>
      <c r="H142" s="13">
        <v>0</v>
      </c>
      <c r="I142" s="13"/>
      <c r="J142" s="13" t="s">
        <v>2411</v>
      </c>
      <c r="K142" s="13" t="s">
        <v>2412</v>
      </c>
    </row>
    <row r="143" spans="1:11" x14ac:dyDescent="0.3">
      <c r="A143" s="13" t="s">
        <v>1079</v>
      </c>
      <c r="B143" s="13" t="s">
        <v>2379</v>
      </c>
      <c r="C143" s="13" t="s">
        <v>2413</v>
      </c>
      <c r="D143" s="13"/>
      <c r="E143" s="13">
        <v>3</v>
      </c>
      <c r="F143" s="13" t="s">
        <v>2414</v>
      </c>
      <c r="G143" s="13">
        <v>7</v>
      </c>
      <c r="H143" s="13">
        <v>0</v>
      </c>
      <c r="I143" s="13"/>
      <c r="J143" s="13" t="s">
        <v>2415</v>
      </c>
      <c r="K143" s="13" t="s">
        <v>2416</v>
      </c>
    </row>
    <row r="144" spans="1:11" x14ac:dyDescent="0.3">
      <c r="A144" s="13" t="s">
        <v>1079</v>
      </c>
      <c r="B144" s="13" t="s">
        <v>2417</v>
      </c>
      <c r="C144" s="13"/>
      <c r="D144" s="13"/>
      <c r="E144" s="13">
        <v>2</v>
      </c>
      <c r="F144" s="13" t="s">
        <v>2418</v>
      </c>
      <c r="G144" s="13">
        <v>128</v>
      </c>
      <c r="H144" s="13">
        <v>0</v>
      </c>
      <c r="I144" s="13"/>
      <c r="J144" s="13" t="s">
        <v>2419</v>
      </c>
      <c r="K144" s="13" t="s">
        <v>2420</v>
      </c>
    </row>
    <row r="145" spans="1:11" x14ac:dyDescent="0.3">
      <c r="A145" s="13" t="s">
        <v>1079</v>
      </c>
      <c r="B145" s="13" t="s">
        <v>2421</v>
      </c>
      <c r="C145" s="13"/>
      <c r="D145" s="13"/>
      <c r="E145" s="13">
        <v>2</v>
      </c>
      <c r="F145" s="13" t="s">
        <v>2422</v>
      </c>
      <c r="G145" s="13">
        <v>1</v>
      </c>
      <c r="H145" s="13">
        <v>0</v>
      </c>
      <c r="I145" s="13"/>
      <c r="J145" s="13" t="s">
        <v>2423</v>
      </c>
      <c r="K145" s="13" t="s">
        <v>2424</v>
      </c>
    </row>
    <row r="146" spans="1:11" x14ac:dyDescent="0.3">
      <c r="A146" s="13" t="s">
        <v>1079</v>
      </c>
      <c r="B146" s="13" t="s">
        <v>1080</v>
      </c>
      <c r="C146" s="13" t="s">
        <v>2425</v>
      </c>
      <c r="D146" s="13"/>
      <c r="E146" s="13">
        <v>3</v>
      </c>
      <c r="F146" s="13" t="s">
        <v>2426</v>
      </c>
      <c r="G146" s="13">
        <v>362</v>
      </c>
      <c r="H146" s="13">
        <v>0</v>
      </c>
      <c r="I146" s="13"/>
      <c r="J146" s="13" t="s">
        <v>2427</v>
      </c>
      <c r="K146" s="13" t="s">
        <v>2428</v>
      </c>
    </row>
    <row r="147" spans="1:11" x14ac:dyDescent="0.3">
      <c r="A147" s="13" t="s">
        <v>1079</v>
      </c>
      <c r="B147" s="13" t="s">
        <v>1080</v>
      </c>
      <c r="C147" s="13" t="s">
        <v>1081</v>
      </c>
      <c r="D147" s="13"/>
      <c r="E147" s="13">
        <v>3</v>
      </c>
      <c r="F147" s="13" t="s">
        <v>1082</v>
      </c>
      <c r="G147" s="13">
        <v>798</v>
      </c>
      <c r="H147" s="13">
        <v>0</v>
      </c>
      <c r="I147" s="3" t="s">
        <v>1077</v>
      </c>
      <c r="J147" s="13" t="s">
        <v>1078</v>
      </c>
      <c r="K147" s="13" t="s">
        <v>2429</v>
      </c>
    </row>
    <row r="148" spans="1:11" x14ac:dyDescent="0.3">
      <c r="A148" s="13" t="s">
        <v>1079</v>
      </c>
      <c r="B148" s="13" t="s">
        <v>1080</v>
      </c>
      <c r="C148" s="13" t="s">
        <v>2430</v>
      </c>
      <c r="D148" s="13"/>
      <c r="E148" s="13">
        <v>3</v>
      </c>
      <c r="F148" s="13" t="s">
        <v>2431</v>
      </c>
      <c r="G148" s="13">
        <v>56</v>
      </c>
      <c r="H148" s="13">
        <v>0</v>
      </c>
      <c r="I148" s="13"/>
      <c r="J148" s="13" t="s">
        <v>2432</v>
      </c>
      <c r="K148" s="13" t="s">
        <v>2433</v>
      </c>
    </row>
    <row r="149" spans="1:11" x14ac:dyDescent="0.3">
      <c r="A149" s="13" t="s">
        <v>918</v>
      </c>
      <c r="B149" s="13" t="s">
        <v>2434</v>
      </c>
      <c r="C149" s="13" t="s">
        <v>2435</v>
      </c>
      <c r="D149" s="13"/>
      <c r="E149" s="13">
        <v>3</v>
      </c>
      <c r="F149" s="13" t="s">
        <v>2436</v>
      </c>
      <c r="G149" s="13">
        <v>65</v>
      </c>
      <c r="H149" s="13">
        <v>0</v>
      </c>
      <c r="I149" s="13"/>
      <c r="J149" s="13" t="s">
        <v>2437</v>
      </c>
      <c r="K149" s="13" t="s">
        <v>2438</v>
      </c>
    </row>
    <row r="150" spans="1:11" x14ac:dyDescent="0.3">
      <c r="A150" s="13" t="s">
        <v>918</v>
      </c>
      <c r="B150" s="13" t="s">
        <v>2434</v>
      </c>
      <c r="C150" s="13" t="s">
        <v>2439</v>
      </c>
      <c r="D150" s="13"/>
      <c r="E150" s="13">
        <v>3</v>
      </c>
      <c r="F150" s="13" t="s">
        <v>2440</v>
      </c>
      <c r="G150" s="13">
        <v>6</v>
      </c>
      <c r="H150" s="13">
        <v>6</v>
      </c>
      <c r="I150" s="13"/>
      <c r="J150" s="13" t="s">
        <v>2441</v>
      </c>
      <c r="K150" s="13" t="s">
        <v>2442</v>
      </c>
    </row>
    <row r="151" spans="1:11" x14ac:dyDescent="0.3">
      <c r="A151" s="13" t="s">
        <v>918</v>
      </c>
      <c r="B151" s="13" t="s">
        <v>2434</v>
      </c>
      <c r="C151" s="13" t="s">
        <v>2443</v>
      </c>
      <c r="D151" s="13"/>
      <c r="E151" s="13">
        <v>3</v>
      </c>
      <c r="F151" s="13" t="s">
        <v>2444</v>
      </c>
      <c r="G151" s="13">
        <v>4</v>
      </c>
      <c r="H151" s="13">
        <v>0</v>
      </c>
      <c r="I151" s="13"/>
      <c r="J151" s="13" t="s">
        <v>2445</v>
      </c>
      <c r="K151" s="13" t="s">
        <v>2446</v>
      </c>
    </row>
    <row r="152" spans="1:11" x14ac:dyDescent="0.3">
      <c r="A152" s="13" t="s">
        <v>918</v>
      </c>
      <c r="B152" s="13" t="s">
        <v>2434</v>
      </c>
      <c r="C152" s="13" t="s">
        <v>2447</v>
      </c>
      <c r="D152" s="13"/>
      <c r="E152" s="13">
        <v>3</v>
      </c>
      <c r="F152" s="13" t="s">
        <v>2448</v>
      </c>
      <c r="G152" s="13">
        <v>5</v>
      </c>
      <c r="H152" s="13">
        <v>0</v>
      </c>
      <c r="I152" s="13"/>
      <c r="J152" s="13" t="s">
        <v>2449</v>
      </c>
      <c r="K152" s="13" t="s">
        <v>2450</v>
      </c>
    </row>
    <row r="153" spans="1:11" x14ac:dyDescent="0.3">
      <c r="A153" s="13" t="s">
        <v>918</v>
      </c>
      <c r="B153" s="13" t="s">
        <v>2434</v>
      </c>
      <c r="C153" s="13" t="s">
        <v>2451</v>
      </c>
      <c r="D153" s="13"/>
      <c r="E153" s="13">
        <v>3</v>
      </c>
      <c r="F153" s="13" t="s">
        <v>2452</v>
      </c>
      <c r="G153" s="13">
        <v>46</v>
      </c>
      <c r="H153" s="13">
        <v>0</v>
      </c>
      <c r="I153" s="13"/>
      <c r="J153" s="13" t="s">
        <v>2453</v>
      </c>
      <c r="K153" s="13" t="s">
        <v>2454</v>
      </c>
    </row>
    <row r="154" spans="1:11" x14ac:dyDescent="0.3">
      <c r="A154" s="13" t="s">
        <v>918</v>
      </c>
      <c r="B154" s="13" t="s">
        <v>2434</v>
      </c>
      <c r="C154" s="13" t="s">
        <v>2455</v>
      </c>
      <c r="D154" s="13"/>
      <c r="E154" s="13">
        <v>3</v>
      </c>
      <c r="F154" s="13" t="s">
        <v>2456</v>
      </c>
      <c r="G154" s="13">
        <v>41</v>
      </c>
      <c r="H154" s="13">
        <v>0</v>
      </c>
      <c r="I154" s="13"/>
      <c r="J154" s="13" t="s">
        <v>2457</v>
      </c>
      <c r="K154" s="13" t="s">
        <v>2458</v>
      </c>
    </row>
    <row r="155" spans="1:11" x14ac:dyDescent="0.3">
      <c r="A155" s="13" t="s">
        <v>918</v>
      </c>
      <c r="B155" s="13" t="s">
        <v>2434</v>
      </c>
      <c r="C155" s="13" t="s">
        <v>2459</v>
      </c>
      <c r="D155" s="13"/>
      <c r="E155" s="13">
        <v>3</v>
      </c>
      <c r="F155" s="13" t="s">
        <v>2460</v>
      </c>
      <c r="G155" s="13">
        <v>82</v>
      </c>
      <c r="H155" s="13">
        <v>0</v>
      </c>
      <c r="I155" s="13"/>
      <c r="J155" s="13" t="s">
        <v>2461</v>
      </c>
      <c r="K155" s="13" t="s">
        <v>2462</v>
      </c>
    </row>
    <row r="156" spans="1:11" x14ac:dyDescent="0.3">
      <c r="A156" s="13" t="s">
        <v>918</v>
      </c>
      <c r="B156" s="13" t="s">
        <v>2463</v>
      </c>
      <c r="C156" s="13" t="s">
        <v>2464</v>
      </c>
      <c r="D156" s="13"/>
      <c r="E156" s="13">
        <v>3</v>
      </c>
      <c r="F156" s="13" t="s">
        <v>2465</v>
      </c>
      <c r="G156" s="13">
        <v>154</v>
      </c>
      <c r="H156" s="13">
        <v>0</v>
      </c>
      <c r="I156" s="13"/>
      <c r="J156" s="13" t="s">
        <v>2466</v>
      </c>
      <c r="K156" s="13" t="s">
        <v>2467</v>
      </c>
    </row>
    <row r="157" spans="1:11" x14ac:dyDescent="0.3">
      <c r="A157" s="13" t="s">
        <v>918</v>
      </c>
      <c r="B157" s="13" t="s">
        <v>2463</v>
      </c>
      <c r="C157" s="13" t="s">
        <v>2468</v>
      </c>
      <c r="D157" s="13"/>
      <c r="E157" s="13">
        <v>3</v>
      </c>
      <c r="F157" s="13" t="s">
        <v>2469</v>
      </c>
      <c r="G157" s="13">
        <v>57</v>
      </c>
      <c r="H157" s="13">
        <v>0</v>
      </c>
      <c r="I157" s="13"/>
      <c r="J157" s="13" t="s">
        <v>2470</v>
      </c>
      <c r="K157" s="13" t="s">
        <v>2471</v>
      </c>
    </row>
    <row r="158" spans="1:11" x14ac:dyDescent="0.3">
      <c r="A158" s="13" t="s">
        <v>918</v>
      </c>
      <c r="B158" s="13" t="s">
        <v>2463</v>
      </c>
      <c r="C158" s="13" t="s">
        <v>2472</v>
      </c>
      <c r="D158" s="13"/>
      <c r="E158" s="13">
        <v>3</v>
      </c>
      <c r="F158" s="13" t="s">
        <v>2473</v>
      </c>
      <c r="G158" s="13">
        <v>124</v>
      </c>
      <c r="H158" s="13">
        <v>0</v>
      </c>
      <c r="I158" s="13"/>
      <c r="J158" s="13" t="s">
        <v>2474</v>
      </c>
      <c r="K158" s="13" t="s">
        <v>2475</v>
      </c>
    </row>
    <row r="159" spans="1:11" x14ac:dyDescent="0.3">
      <c r="A159" s="13" t="s">
        <v>918</v>
      </c>
      <c r="B159" s="13" t="s">
        <v>2463</v>
      </c>
      <c r="C159" s="13" t="s">
        <v>2476</v>
      </c>
      <c r="D159" s="13"/>
      <c r="E159" s="13">
        <v>3</v>
      </c>
      <c r="F159" s="13" t="s">
        <v>2477</v>
      </c>
      <c r="G159" s="13">
        <v>51</v>
      </c>
      <c r="H159" s="13">
        <v>0</v>
      </c>
      <c r="I159" s="13"/>
      <c r="J159" s="13" t="s">
        <v>2478</v>
      </c>
      <c r="K159" s="13" t="s">
        <v>2479</v>
      </c>
    </row>
    <row r="160" spans="1:11" x14ac:dyDescent="0.3">
      <c r="A160" s="13" t="s">
        <v>918</v>
      </c>
      <c r="B160" s="13" t="s">
        <v>2480</v>
      </c>
      <c r="C160" s="13"/>
      <c r="D160" s="13"/>
      <c r="E160" s="13">
        <v>2</v>
      </c>
      <c r="F160" s="13" t="s">
        <v>2481</v>
      </c>
      <c r="G160" s="13">
        <v>277</v>
      </c>
      <c r="H160" s="13">
        <v>0</v>
      </c>
      <c r="I160" s="13"/>
      <c r="J160" s="13" t="s">
        <v>2482</v>
      </c>
      <c r="K160" s="13" t="s">
        <v>2483</v>
      </c>
    </row>
    <row r="161" spans="1:11" x14ac:dyDescent="0.3">
      <c r="A161" s="13" t="s">
        <v>918</v>
      </c>
      <c r="B161" s="13" t="s">
        <v>1038</v>
      </c>
      <c r="C161" s="13" t="s">
        <v>1094</v>
      </c>
      <c r="D161" s="13"/>
      <c r="E161" s="13">
        <v>3</v>
      </c>
      <c r="F161" s="13" t="s">
        <v>275</v>
      </c>
      <c r="G161" s="13">
        <v>55</v>
      </c>
      <c r="H161" s="13">
        <v>0</v>
      </c>
      <c r="I161" s="3" t="s">
        <v>1093</v>
      </c>
      <c r="J161" s="13" t="s">
        <v>77</v>
      </c>
      <c r="K161" s="13" t="s">
        <v>281</v>
      </c>
    </row>
    <row r="162" spans="1:11" x14ac:dyDescent="0.3">
      <c r="A162" s="13" t="s">
        <v>918</v>
      </c>
      <c r="B162" s="13" t="s">
        <v>1038</v>
      </c>
      <c r="C162" s="13" t="s">
        <v>2484</v>
      </c>
      <c r="D162" s="13"/>
      <c r="E162" s="13">
        <v>3</v>
      </c>
      <c r="F162" s="13" t="s">
        <v>2485</v>
      </c>
      <c r="G162" s="13">
        <v>14</v>
      </c>
      <c r="H162" s="13">
        <v>0</v>
      </c>
      <c r="I162" s="13"/>
      <c r="J162" s="13" t="s">
        <v>2486</v>
      </c>
      <c r="K162" s="13" t="s">
        <v>2487</v>
      </c>
    </row>
    <row r="163" spans="1:11" x14ac:dyDescent="0.3">
      <c r="A163" s="13" t="s">
        <v>918</v>
      </c>
      <c r="B163" s="13" t="s">
        <v>1038</v>
      </c>
      <c r="C163" s="13" t="s">
        <v>2488</v>
      </c>
      <c r="D163" s="13"/>
      <c r="E163" s="13">
        <v>3</v>
      </c>
      <c r="F163" s="13" t="s">
        <v>2489</v>
      </c>
      <c r="G163" s="13">
        <v>12</v>
      </c>
      <c r="H163" s="13">
        <v>0</v>
      </c>
      <c r="I163" s="13"/>
      <c r="J163" s="13" t="s">
        <v>2490</v>
      </c>
      <c r="K163" s="13" t="s">
        <v>2491</v>
      </c>
    </row>
    <row r="164" spans="1:11" x14ac:dyDescent="0.3">
      <c r="A164" s="13" t="s">
        <v>918</v>
      </c>
      <c r="B164" s="13" t="s">
        <v>1038</v>
      </c>
      <c r="C164" s="13" t="s">
        <v>2492</v>
      </c>
      <c r="D164" s="13"/>
      <c r="E164" s="13">
        <v>3</v>
      </c>
      <c r="F164" s="13" t="s">
        <v>2493</v>
      </c>
      <c r="G164" s="13">
        <v>14</v>
      </c>
      <c r="H164" s="13">
        <v>0</v>
      </c>
      <c r="I164" s="13"/>
      <c r="J164" s="13" t="s">
        <v>2494</v>
      </c>
      <c r="K164" s="13" t="s">
        <v>2495</v>
      </c>
    </row>
    <row r="165" spans="1:11" x14ac:dyDescent="0.3">
      <c r="A165" s="13" t="s">
        <v>918</v>
      </c>
      <c r="B165" s="13" t="s">
        <v>1038</v>
      </c>
      <c r="C165" s="13" t="s">
        <v>1155</v>
      </c>
      <c r="D165" s="13"/>
      <c r="E165" s="13">
        <v>3</v>
      </c>
      <c r="F165" s="13" t="s">
        <v>1156</v>
      </c>
      <c r="G165" s="13">
        <v>139</v>
      </c>
      <c r="H165" s="13">
        <v>0</v>
      </c>
      <c r="I165" s="3" t="s">
        <v>1153</v>
      </c>
      <c r="J165" s="13" t="s">
        <v>1154</v>
      </c>
      <c r="K165" s="13" t="s">
        <v>2496</v>
      </c>
    </row>
    <row r="166" spans="1:11" x14ac:dyDescent="0.3">
      <c r="A166" s="13" t="s">
        <v>918</v>
      </c>
      <c r="B166" s="13" t="s">
        <v>1038</v>
      </c>
      <c r="C166" s="13" t="s">
        <v>1039</v>
      </c>
      <c r="D166" s="13"/>
      <c r="E166" s="13">
        <v>3</v>
      </c>
      <c r="F166" s="13" t="s">
        <v>254</v>
      </c>
      <c r="G166" s="13">
        <v>50</v>
      </c>
      <c r="H166" s="13">
        <v>0</v>
      </c>
      <c r="I166" s="3" t="s">
        <v>1037</v>
      </c>
      <c r="J166" s="13" t="s">
        <v>68</v>
      </c>
      <c r="K166" s="13" t="s">
        <v>260</v>
      </c>
    </row>
    <row r="167" spans="1:11" x14ac:dyDescent="0.3">
      <c r="A167" s="13" t="s">
        <v>918</v>
      </c>
      <c r="B167" s="13" t="s">
        <v>1038</v>
      </c>
      <c r="C167" s="13" t="s">
        <v>2497</v>
      </c>
      <c r="D167" s="13"/>
      <c r="E167" s="13">
        <v>3</v>
      </c>
      <c r="F167" s="13" t="s">
        <v>2498</v>
      </c>
      <c r="G167" s="13">
        <v>139</v>
      </c>
      <c r="H167" s="13">
        <v>0</v>
      </c>
      <c r="I167" s="13"/>
      <c r="J167" s="13" t="s">
        <v>2499</v>
      </c>
      <c r="K167" s="13" t="s">
        <v>2500</v>
      </c>
    </row>
    <row r="168" spans="1:11" x14ac:dyDescent="0.3">
      <c r="A168" s="13" t="s">
        <v>918</v>
      </c>
      <c r="B168" s="13" t="s">
        <v>2501</v>
      </c>
      <c r="C168" s="13" t="s">
        <v>2502</v>
      </c>
      <c r="D168" s="13"/>
      <c r="E168" s="13">
        <v>3</v>
      </c>
      <c r="F168" s="13" t="s">
        <v>2503</v>
      </c>
      <c r="G168" s="13">
        <v>68</v>
      </c>
      <c r="H168" s="13">
        <v>0</v>
      </c>
      <c r="I168" s="13"/>
      <c r="J168" s="13" t="s">
        <v>2504</v>
      </c>
      <c r="K168" s="13" t="s">
        <v>2505</v>
      </c>
    </row>
    <row r="169" spans="1:11" x14ac:dyDescent="0.3">
      <c r="A169" s="13" t="s">
        <v>918</v>
      </c>
      <c r="B169" s="13" t="s">
        <v>2501</v>
      </c>
      <c r="C169" s="13" t="s">
        <v>2506</v>
      </c>
      <c r="D169" s="13"/>
      <c r="E169" s="13">
        <v>3</v>
      </c>
      <c r="F169" s="13" t="s">
        <v>2507</v>
      </c>
      <c r="G169" s="13">
        <v>182</v>
      </c>
      <c r="H169" s="13">
        <v>0</v>
      </c>
      <c r="I169" s="13"/>
      <c r="J169" s="13" t="s">
        <v>2508</v>
      </c>
      <c r="K169" s="13" t="s">
        <v>2509</v>
      </c>
    </row>
    <row r="170" spans="1:11" x14ac:dyDescent="0.3">
      <c r="A170" s="13" t="s">
        <v>918</v>
      </c>
      <c r="B170" s="13" t="s">
        <v>2501</v>
      </c>
      <c r="C170" s="13" t="s">
        <v>2510</v>
      </c>
      <c r="D170" s="13"/>
      <c r="E170" s="13">
        <v>3</v>
      </c>
      <c r="F170" s="13" t="s">
        <v>2511</v>
      </c>
      <c r="G170" s="13">
        <v>130</v>
      </c>
      <c r="H170" s="13">
        <v>0</v>
      </c>
      <c r="I170" s="13"/>
      <c r="J170" s="13" t="s">
        <v>2512</v>
      </c>
      <c r="K170" s="13" t="s">
        <v>2513</v>
      </c>
    </row>
    <row r="171" spans="1:11" x14ac:dyDescent="0.3">
      <c r="A171" s="13" t="s">
        <v>918</v>
      </c>
      <c r="B171" s="13" t="s">
        <v>2501</v>
      </c>
      <c r="C171" s="13" t="s">
        <v>2514</v>
      </c>
      <c r="D171" s="13"/>
      <c r="E171" s="13">
        <v>3</v>
      </c>
      <c r="F171" s="13" t="s">
        <v>2515</v>
      </c>
      <c r="G171" s="13">
        <v>11</v>
      </c>
      <c r="H171" s="13">
        <v>0</v>
      </c>
      <c r="I171" s="13"/>
      <c r="J171" s="13" t="s">
        <v>2516</v>
      </c>
      <c r="K171" s="13" t="s">
        <v>2517</v>
      </c>
    </row>
    <row r="172" spans="1:11" x14ac:dyDescent="0.3">
      <c r="A172" s="13" t="s">
        <v>918</v>
      </c>
      <c r="B172" s="13" t="s">
        <v>2518</v>
      </c>
      <c r="C172" s="13"/>
      <c r="D172" s="13"/>
      <c r="E172" s="13">
        <v>2</v>
      </c>
      <c r="F172" s="13" t="s">
        <v>2519</v>
      </c>
      <c r="G172" s="13">
        <v>583</v>
      </c>
      <c r="H172" s="13">
        <v>0</v>
      </c>
      <c r="I172" s="13"/>
      <c r="J172" s="13" t="s">
        <v>2520</v>
      </c>
      <c r="K172" s="13" t="s">
        <v>2521</v>
      </c>
    </row>
    <row r="173" spans="1:11" x14ac:dyDescent="0.3">
      <c r="A173" s="13" t="s">
        <v>918</v>
      </c>
      <c r="B173" s="13" t="s">
        <v>2522</v>
      </c>
      <c r="C173" s="13" t="s">
        <v>2523</v>
      </c>
      <c r="D173" s="13"/>
      <c r="E173" s="13">
        <v>3</v>
      </c>
      <c r="F173" s="13" t="s">
        <v>2524</v>
      </c>
      <c r="G173" s="13">
        <v>117</v>
      </c>
      <c r="H173" s="13">
        <v>0</v>
      </c>
      <c r="I173" s="13"/>
      <c r="J173" s="13" t="s">
        <v>2525</v>
      </c>
      <c r="K173" s="13" t="s">
        <v>2526</v>
      </c>
    </row>
    <row r="174" spans="1:11" x14ac:dyDescent="0.3">
      <c r="A174" s="13" t="s">
        <v>918</v>
      </c>
      <c r="B174" s="13" t="s">
        <v>2522</v>
      </c>
      <c r="C174" s="13" t="s">
        <v>2527</v>
      </c>
      <c r="D174" s="13"/>
      <c r="E174" s="13">
        <v>3</v>
      </c>
      <c r="F174" s="13" t="s">
        <v>2528</v>
      </c>
      <c r="G174" s="13">
        <v>95</v>
      </c>
      <c r="H174" s="13">
        <v>0</v>
      </c>
      <c r="I174" s="13"/>
      <c r="J174" s="13" t="s">
        <v>2529</v>
      </c>
      <c r="K174" s="13" t="s">
        <v>2530</v>
      </c>
    </row>
    <row r="175" spans="1:11" x14ac:dyDescent="0.3">
      <c r="A175" s="13" t="s">
        <v>918</v>
      </c>
      <c r="B175" s="13" t="s">
        <v>2522</v>
      </c>
      <c r="C175" s="13" t="s">
        <v>2531</v>
      </c>
      <c r="D175" s="13"/>
      <c r="E175" s="13">
        <v>3</v>
      </c>
      <c r="F175" s="13" t="s">
        <v>2532</v>
      </c>
      <c r="G175" s="13">
        <v>41</v>
      </c>
      <c r="H175" s="13">
        <v>0</v>
      </c>
      <c r="I175" s="13"/>
      <c r="J175" s="13" t="s">
        <v>2533</v>
      </c>
      <c r="K175" s="13" t="s">
        <v>2534</v>
      </c>
    </row>
    <row r="176" spans="1:11" x14ac:dyDescent="0.3">
      <c r="A176" s="13" t="s">
        <v>918</v>
      </c>
      <c r="B176" s="13" t="s">
        <v>2522</v>
      </c>
      <c r="C176" s="13" t="s">
        <v>2535</v>
      </c>
      <c r="D176" s="13" t="s">
        <v>2536</v>
      </c>
      <c r="E176" s="13">
        <v>4</v>
      </c>
      <c r="F176" s="13" t="s">
        <v>2537</v>
      </c>
      <c r="G176" s="13">
        <v>54</v>
      </c>
      <c r="H176" s="13">
        <v>0</v>
      </c>
      <c r="I176" s="13"/>
      <c r="J176" s="13" t="s">
        <v>2538</v>
      </c>
      <c r="K176" s="13" t="s">
        <v>2539</v>
      </c>
    </row>
    <row r="177" spans="1:11" x14ac:dyDescent="0.3">
      <c r="A177" s="13" t="s">
        <v>918</v>
      </c>
      <c r="B177" s="13" t="s">
        <v>2522</v>
      </c>
      <c r="C177" s="13" t="s">
        <v>2535</v>
      </c>
      <c r="D177" s="13" t="s">
        <v>2540</v>
      </c>
      <c r="E177" s="13">
        <v>4</v>
      </c>
      <c r="F177" s="13" t="s">
        <v>2541</v>
      </c>
      <c r="G177" s="13">
        <v>98</v>
      </c>
      <c r="H177" s="13">
        <v>0</v>
      </c>
      <c r="I177" s="13"/>
      <c r="J177" s="13" t="s">
        <v>2542</v>
      </c>
      <c r="K177" s="13" t="s">
        <v>2543</v>
      </c>
    </row>
    <row r="178" spans="1:11" x14ac:dyDescent="0.3">
      <c r="A178" s="13" t="s">
        <v>918</v>
      </c>
      <c r="B178" s="13" t="s">
        <v>2522</v>
      </c>
      <c r="C178" s="13" t="s">
        <v>2535</v>
      </c>
      <c r="D178" s="13" t="s">
        <v>2544</v>
      </c>
      <c r="E178" s="13">
        <v>4</v>
      </c>
      <c r="F178" s="13" t="s">
        <v>2545</v>
      </c>
      <c r="G178" s="13">
        <v>46</v>
      </c>
      <c r="H178" s="13">
        <v>0</v>
      </c>
      <c r="I178" s="13"/>
      <c r="J178" s="13" t="s">
        <v>2546</v>
      </c>
      <c r="K178" s="13" t="s">
        <v>2547</v>
      </c>
    </row>
    <row r="179" spans="1:11" x14ac:dyDescent="0.3">
      <c r="A179" s="13" t="s">
        <v>918</v>
      </c>
      <c r="B179" s="13" t="s">
        <v>2522</v>
      </c>
      <c r="C179" s="13" t="s">
        <v>2535</v>
      </c>
      <c r="D179" s="13" t="s">
        <v>2548</v>
      </c>
      <c r="E179" s="13">
        <v>4</v>
      </c>
      <c r="F179" s="13" t="s">
        <v>2549</v>
      </c>
      <c r="G179" s="13">
        <v>54</v>
      </c>
      <c r="H179" s="13">
        <v>0</v>
      </c>
      <c r="I179" s="13"/>
      <c r="J179" s="13" t="s">
        <v>2550</v>
      </c>
      <c r="K179" s="13" t="s">
        <v>2551</v>
      </c>
    </row>
    <row r="180" spans="1:11" x14ac:dyDescent="0.3">
      <c r="A180" s="13" t="s">
        <v>918</v>
      </c>
      <c r="B180" s="13" t="s">
        <v>2522</v>
      </c>
      <c r="C180" s="13" t="s">
        <v>2535</v>
      </c>
      <c r="D180" s="13" t="s">
        <v>2552</v>
      </c>
      <c r="E180" s="13">
        <v>4</v>
      </c>
      <c r="F180" s="13" t="s">
        <v>2553</v>
      </c>
      <c r="G180" s="13">
        <v>70</v>
      </c>
      <c r="H180" s="13">
        <v>0</v>
      </c>
      <c r="I180" s="13"/>
      <c r="J180" s="13" t="s">
        <v>2554</v>
      </c>
      <c r="K180" s="13" t="s">
        <v>2555</v>
      </c>
    </row>
    <row r="181" spans="1:11" x14ac:dyDescent="0.3">
      <c r="A181" s="13" t="s">
        <v>918</v>
      </c>
      <c r="B181" s="13" t="s">
        <v>2522</v>
      </c>
      <c r="C181" s="13" t="s">
        <v>2556</v>
      </c>
      <c r="D181" s="13"/>
      <c r="E181" s="13">
        <v>3</v>
      </c>
      <c r="F181" s="13" t="s">
        <v>2557</v>
      </c>
      <c r="G181" s="13">
        <v>33</v>
      </c>
      <c r="H181" s="13">
        <v>0</v>
      </c>
      <c r="I181" s="13"/>
      <c r="J181" s="13" t="s">
        <v>2558</v>
      </c>
      <c r="K181" s="13" t="s">
        <v>2559</v>
      </c>
    </row>
    <row r="182" spans="1:11" x14ac:dyDescent="0.3">
      <c r="A182" s="13" t="s">
        <v>918</v>
      </c>
      <c r="B182" s="13" t="s">
        <v>2522</v>
      </c>
      <c r="C182" s="13" t="s">
        <v>2560</v>
      </c>
      <c r="D182" s="13"/>
      <c r="E182" s="13">
        <v>3</v>
      </c>
      <c r="F182" s="13" t="s">
        <v>2561</v>
      </c>
      <c r="G182" s="13">
        <v>64</v>
      </c>
      <c r="H182" s="13">
        <v>0</v>
      </c>
      <c r="I182" s="13"/>
      <c r="J182" s="13" t="s">
        <v>2562</v>
      </c>
      <c r="K182" s="13" t="s">
        <v>2563</v>
      </c>
    </row>
    <row r="183" spans="1:11" x14ac:dyDescent="0.3">
      <c r="A183" s="13" t="s">
        <v>918</v>
      </c>
      <c r="B183" s="13" t="s">
        <v>2522</v>
      </c>
      <c r="C183" s="13" t="s">
        <v>2564</v>
      </c>
      <c r="D183" s="13"/>
      <c r="E183" s="13">
        <v>3</v>
      </c>
      <c r="F183" s="13" t="s">
        <v>2565</v>
      </c>
      <c r="G183" s="13">
        <v>65</v>
      </c>
      <c r="H183" s="13">
        <v>0</v>
      </c>
      <c r="I183" s="13"/>
      <c r="J183" s="13" t="s">
        <v>2566</v>
      </c>
      <c r="K183" s="13" t="s">
        <v>2567</v>
      </c>
    </row>
    <row r="184" spans="1:11" x14ac:dyDescent="0.3">
      <c r="A184" s="13" t="s">
        <v>918</v>
      </c>
      <c r="B184" s="13" t="s">
        <v>2522</v>
      </c>
      <c r="C184" s="13" t="s">
        <v>2568</v>
      </c>
      <c r="D184" s="13"/>
      <c r="E184" s="13">
        <v>3</v>
      </c>
      <c r="F184" s="13" t="s">
        <v>2569</v>
      </c>
      <c r="G184" s="13">
        <v>18</v>
      </c>
      <c r="H184" s="13">
        <v>0</v>
      </c>
      <c r="I184" s="13"/>
      <c r="J184" s="13" t="s">
        <v>2570</v>
      </c>
      <c r="K184" s="13" t="s">
        <v>2571</v>
      </c>
    </row>
    <row r="185" spans="1:11" x14ac:dyDescent="0.3">
      <c r="A185" s="13" t="s">
        <v>918</v>
      </c>
      <c r="B185" s="13" t="s">
        <v>2522</v>
      </c>
      <c r="C185" s="13" t="s">
        <v>2572</v>
      </c>
      <c r="D185" s="13"/>
      <c r="E185" s="13">
        <v>3</v>
      </c>
      <c r="F185" s="13" t="s">
        <v>2573</v>
      </c>
      <c r="G185" s="13">
        <v>33</v>
      </c>
      <c r="H185" s="13">
        <v>0</v>
      </c>
      <c r="I185" s="13"/>
      <c r="J185" s="13" t="s">
        <v>2574</v>
      </c>
      <c r="K185" s="13" t="s">
        <v>2575</v>
      </c>
    </row>
    <row r="186" spans="1:11" x14ac:dyDescent="0.3">
      <c r="A186" s="13" t="s">
        <v>918</v>
      </c>
      <c r="B186" s="13" t="s">
        <v>2522</v>
      </c>
      <c r="C186" s="13" t="s">
        <v>2576</v>
      </c>
      <c r="D186" s="13"/>
      <c r="E186" s="13">
        <v>3</v>
      </c>
      <c r="F186" s="13" t="s">
        <v>2577</v>
      </c>
      <c r="G186" s="13">
        <v>45</v>
      </c>
      <c r="H186" s="13">
        <v>0</v>
      </c>
      <c r="I186" s="13"/>
      <c r="J186" s="13" t="s">
        <v>2578</v>
      </c>
      <c r="K186" s="13" t="s">
        <v>2579</v>
      </c>
    </row>
    <row r="187" spans="1:11" x14ac:dyDescent="0.3">
      <c r="A187" s="13" t="s">
        <v>918</v>
      </c>
      <c r="B187" s="13" t="s">
        <v>2522</v>
      </c>
      <c r="C187" s="13" t="s">
        <v>2580</v>
      </c>
      <c r="D187" s="13"/>
      <c r="E187" s="13">
        <v>3</v>
      </c>
      <c r="F187" s="13" t="s">
        <v>2581</v>
      </c>
      <c r="G187" s="13">
        <v>236</v>
      </c>
      <c r="H187" s="13">
        <v>0</v>
      </c>
      <c r="I187" s="13"/>
      <c r="J187" s="13" t="s">
        <v>2582</v>
      </c>
      <c r="K187" s="13" t="s">
        <v>2583</v>
      </c>
    </row>
    <row r="188" spans="1:11" x14ac:dyDescent="0.3">
      <c r="A188" s="13" t="s">
        <v>918</v>
      </c>
      <c r="B188" s="13" t="s">
        <v>2522</v>
      </c>
      <c r="C188" s="13" t="s">
        <v>2584</v>
      </c>
      <c r="D188" s="13"/>
      <c r="E188" s="13">
        <v>3</v>
      </c>
      <c r="F188" s="13" t="s">
        <v>2585</v>
      </c>
      <c r="G188" s="13">
        <v>52</v>
      </c>
      <c r="H188" s="13">
        <v>0</v>
      </c>
      <c r="I188" s="13"/>
      <c r="J188" s="13" t="s">
        <v>2586</v>
      </c>
      <c r="K188" s="13" t="s">
        <v>2587</v>
      </c>
    </row>
    <row r="189" spans="1:11" x14ac:dyDescent="0.3">
      <c r="A189" s="13" t="s">
        <v>918</v>
      </c>
      <c r="B189" s="13" t="s">
        <v>919</v>
      </c>
      <c r="C189" s="13" t="s">
        <v>2588</v>
      </c>
      <c r="D189" s="13"/>
      <c r="E189" s="13">
        <v>3</v>
      </c>
      <c r="F189" s="13" t="s">
        <v>2589</v>
      </c>
      <c r="G189" s="13">
        <v>103</v>
      </c>
      <c r="H189" s="13">
        <v>0</v>
      </c>
      <c r="I189" s="13"/>
      <c r="J189" s="13" t="s">
        <v>2590</v>
      </c>
      <c r="K189" s="13" t="s">
        <v>2591</v>
      </c>
    </row>
    <row r="190" spans="1:11" x14ac:dyDescent="0.3">
      <c r="A190" s="13" t="s">
        <v>918</v>
      </c>
      <c r="B190" s="13" t="s">
        <v>919</v>
      </c>
      <c r="C190" s="13" t="s">
        <v>2592</v>
      </c>
      <c r="D190" s="13"/>
      <c r="E190" s="13">
        <v>3</v>
      </c>
      <c r="F190" s="13" t="s">
        <v>2593</v>
      </c>
      <c r="G190" s="13">
        <v>53</v>
      </c>
      <c r="H190" s="13">
        <v>0</v>
      </c>
      <c r="I190" s="13"/>
      <c r="J190" s="13" t="s">
        <v>2594</v>
      </c>
      <c r="K190" s="13" t="s">
        <v>2595</v>
      </c>
    </row>
    <row r="191" spans="1:11" x14ac:dyDescent="0.3">
      <c r="A191" s="13" t="s">
        <v>918</v>
      </c>
      <c r="B191" s="13" t="s">
        <v>919</v>
      </c>
      <c r="C191" s="13" t="s">
        <v>1124</v>
      </c>
      <c r="D191" s="13"/>
      <c r="E191" s="13">
        <v>3</v>
      </c>
      <c r="F191" s="13" t="s">
        <v>1125</v>
      </c>
      <c r="G191" s="13">
        <v>95</v>
      </c>
      <c r="H191" s="13">
        <v>0</v>
      </c>
      <c r="I191" s="3" t="s">
        <v>1122</v>
      </c>
      <c r="J191" s="13" t="s">
        <v>1123</v>
      </c>
      <c r="K191" s="13" t="s">
        <v>2596</v>
      </c>
    </row>
    <row r="192" spans="1:11" x14ac:dyDescent="0.3">
      <c r="A192" s="13" t="s">
        <v>918</v>
      </c>
      <c r="B192" s="13" t="s">
        <v>919</v>
      </c>
      <c r="C192" s="13" t="s">
        <v>2597</v>
      </c>
      <c r="D192" s="13"/>
      <c r="E192" s="13">
        <v>3</v>
      </c>
      <c r="F192" s="13" t="s">
        <v>2598</v>
      </c>
      <c r="G192" s="13">
        <v>118</v>
      </c>
      <c r="H192" s="13">
        <v>0</v>
      </c>
      <c r="I192" s="13"/>
      <c r="J192" s="13" t="s">
        <v>2599</v>
      </c>
      <c r="K192" s="13" t="s">
        <v>2600</v>
      </c>
    </row>
    <row r="193" spans="1:11" x14ac:dyDescent="0.3">
      <c r="A193" s="13" t="s">
        <v>918</v>
      </c>
      <c r="B193" s="13" t="s">
        <v>919</v>
      </c>
      <c r="C193" s="13" t="s">
        <v>2601</v>
      </c>
      <c r="D193" s="13"/>
      <c r="E193" s="13">
        <v>3</v>
      </c>
      <c r="F193" s="13" t="s">
        <v>2602</v>
      </c>
      <c r="G193" s="13">
        <v>44</v>
      </c>
      <c r="H193" s="13">
        <v>0</v>
      </c>
      <c r="I193" s="13"/>
      <c r="J193" s="13" t="s">
        <v>2603</v>
      </c>
      <c r="K193" s="13" t="s">
        <v>2604</v>
      </c>
    </row>
    <row r="194" spans="1:11" x14ac:dyDescent="0.3">
      <c r="A194" s="13" t="s">
        <v>918</v>
      </c>
      <c r="B194" s="13" t="s">
        <v>919</v>
      </c>
      <c r="C194" s="13" t="s">
        <v>2605</v>
      </c>
      <c r="D194" s="13"/>
      <c r="E194" s="13">
        <v>3</v>
      </c>
      <c r="F194" s="13" t="s">
        <v>2606</v>
      </c>
      <c r="G194" s="13">
        <v>200</v>
      </c>
      <c r="H194" s="13">
        <v>0</v>
      </c>
      <c r="I194" s="13"/>
      <c r="J194" s="13" t="s">
        <v>2607</v>
      </c>
      <c r="K194" s="13" t="s">
        <v>2608</v>
      </c>
    </row>
    <row r="195" spans="1:11" x14ac:dyDescent="0.3">
      <c r="A195" s="13" t="s">
        <v>918</v>
      </c>
      <c r="B195" s="13" t="s">
        <v>919</v>
      </c>
      <c r="C195" s="13" t="s">
        <v>920</v>
      </c>
      <c r="D195" s="13"/>
      <c r="E195" s="13">
        <v>3</v>
      </c>
      <c r="F195" s="13" t="s">
        <v>191</v>
      </c>
      <c r="G195" s="13">
        <v>463</v>
      </c>
      <c r="H195" s="13">
        <v>462</v>
      </c>
      <c r="I195" s="3" t="s">
        <v>765</v>
      </c>
      <c r="J195" s="13" t="s">
        <v>42</v>
      </c>
      <c r="K195" s="13" t="s">
        <v>197</v>
      </c>
    </row>
    <row r="196" spans="1:11" x14ac:dyDescent="0.3">
      <c r="A196" s="13" t="s">
        <v>2609</v>
      </c>
      <c r="B196" s="13" t="s">
        <v>2610</v>
      </c>
      <c r="C196" s="13"/>
      <c r="D196" s="13"/>
      <c r="E196" s="13">
        <v>2</v>
      </c>
      <c r="F196" s="13" t="s">
        <v>2611</v>
      </c>
      <c r="G196" s="13">
        <v>18</v>
      </c>
      <c r="H196" s="13">
        <v>0</v>
      </c>
      <c r="I196" s="13"/>
      <c r="J196" s="13" t="s">
        <v>2612</v>
      </c>
      <c r="K196" s="13" t="s">
        <v>2613</v>
      </c>
    </row>
    <row r="197" spans="1:11" x14ac:dyDescent="0.3">
      <c r="A197" s="13" t="s">
        <v>2609</v>
      </c>
      <c r="B197" s="13" t="s">
        <v>2614</v>
      </c>
      <c r="C197" s="13"/>
      <c r="D197" s="13"/>
      <c r="E197" s="13">
        <v>2</v>
      </c>
      <c r="F197" s="13" t="s">
        <v>2615</v>
      </c>
      <c r="G197" s="13">
        <v>105</v>
      </c>
      <c r="H197" s="13">
        <v>0</v>
      </c>
      <c r="I197" s="13"/>
      <c r="J197" s="13" t="s">
        <v>2616</v>
      </c>
      <c r="K197" s="13" t="s">
        <v>2617</v>
      </c>
    </row>
    <row r="198" spans="1:11" x14ac:dyDescent="0.3">
      <c r="A198" s="13" t="s">
        <v>2609</v>
      </c>
      <c r="B198" s="13" t="s">
        <v>2618</v>
      </c>
      <c r="C198" s="13"/>
      <c r="D198" s="13"/>
      <c r="E198" s="13">
        <v>2</v>
      </c>
      <c r="F198" s="13" t="s">
        <v>2619</v>
      </c>
      <c r="G198" s="13">
        <v>10</v>
      </c>
      <c r="H198" s="13">
        <v>0</v>
      </c>
      <c r="I198" s="13"/>
      <c r="J198" s="13" t="s">
        <v>2620</v>
      </c>
      <c r="K198" s="13" t="s">
        <v>2621</v>
      </c>
    </row>
    <row r="199" spans="1:11" x14ac:dyDescent="0.3">
      <c r="A199" s="13" t="s">
        <v>2609</v>
      </c>
      <c r="B199" s="13" t="s">
        <v>2622</v>
      </c>
      <c r="C199" s="13"/>
      <c r="D199" s="13"/>
      <c r="E199" s="13">
        <v>2</v>
      </c>
      <c r="F199" s="13" t="s">
        <v>2623</v>
      </c>
      <c r="G199" s="13">
        <v>20</v>
      </c>
      <c r="H199" s="13">
        <v>0</v>
      </c>
      <c r="I199" s="13"/>
      <c r="J199" s="13" t="s">
        <v>2624</v>
      </c>
      <c r="K199" s="13" t="s">
        <v>2625</v>
      </c>
    </row>
    <row r="200" spans="1:11" x14ac:dyDescent="0.3">
      <c r="A200" s="13" t="s">
        <v>2609</v>
      </c>
      <c r="B200" s="13" t="s">
        <v>2626</v>
      </c>
      <c r="C200" s="13"/>
      <c r="D200" s="13"/>
      <c r="E200" s="13">
        <v>2</v>
      </c>
      <c r="F200" s="13" t="s">
        <v>2627</v>
      </c>
      <c r="G200" s="13">
        <v>5</v>
      </c>
      <c r="H200" s="13">
        <v>0</v>
      </c>
      <c r="I200" s="13"/>
      <c r="J200" s="13" t="s">
        <v>2628</v>
      </c>
      <c r="K200" s="13" t="s">
        <v>2629</v>
      </c>
    </row>
    <row r="201" spans="1:11" x14ac:dyDescent="0.3">
      <c r="A201" s="13" t="s">
        <v>2609</v>
      </c>
      <c r="B201" s="13" t="s">
        <v>2630</v>
      </c>
      <c r="C201" s="13"/>
      <c r="D201" s="13"/>
      <c r="E201" s="13">
        <v>2</v>
      </c>
      <c r="F201" s="13" t="s">
        <v>2631</v>
      </c>
      <c r="G201" s="13">
        <v>2</v>
      </c>
      <c r="H201" s="13">
        <v>0</v>
      </c>
      <c r="I201" s="13"/>
      <c r="J201" s="13" t="s">
        <v>2632</v>
      </c>
      <c r="K201" s="13" t="s">
        <v>2633</v>
      </c>
    </row>
    <row r="202" spans="1:11" x14ac:dyDescent="0.3">
      <c r="A202" s="13" t="s">
        <v>2609</v>
      </c>
      <c r="B202" s="13" t="s">
        <v>2634</v>
      </c>
      <c r="C202" s="13"/>
      <c r="D202" s="13"/>
      <c r="E202" s="13">
        <v>2</v>
      </c>
      <c r="F202" s="13" t="s">
        <v>2635</v>
      </c>
      <c r="G202" s="13">
        <v>5</v>
      </c>
      <c r="H202" s="13">
        <v>0</v>
      </c>
      <c r="I202" s="13"/>
      <c r="J202" s="13" t="s">
        <v>2636</v>
      </c>
      <c r="K202" s="13" t="s">
        <v>2637</v>
      </c>
    </row>
    <row r="203" spans="1:11" x14ac:dyDescent="0.3">
      <c r="A203" s="13" t="s">
        <v>2609</v>
      </c>
      <c r="B203" s="13" t="s">
        <v>2638</v>
      </c>
      <c r="C203" s="13"/>
      <c r="D203" s="13"/>
      <c r="E203" s="13">
        <v>2</v>
      </c>
      <c r="F203" s="13" t="s">
        <v>2639</v>
      </c>
      <c r="G203" s="13">
        <v>35</v>
      </c>
      <c r="H203" s="13">
        <v>0</v>
      </c>
      <c r="I203" s="13"/>
      <c r="J203" s="13" t="s">
        <v>2640</v>
      </c>
      <c r="K203" s="13" t="s">
        <v>2641</v>
      </c>
    </row>
    <row r="204" spans="1:11" x14ac:dyDescent="0.3">
      <c r="A204" s="13" t="s">
        <v>2609</v>
      </c>
      <c r="B204" s="13" t="s">
        <v>2642</v>
      </c>
      <c r="C204" s="13" t="s">
        <v>2643</v>
      </c>
      <c r="D204" s="13"/>
      <c r="E204" s="13">
        <v>3</v>
      </c>
      <c r="F204" s="13" t="s">
        <v>2644</v>
      </c>
      <c r="G204" s="13">
        <v>47</v>
      </c>
      <c r="H204" s="13">
        <v>0</v>
      </c>
      <c r="I204" s="13"/>
      <c r="J204" s="13" t="s">
        <v>2645</v>
      </c>
      <c r="K204" s="13" t="s">
        <v>2646</v>
      </c>
    </row>
    <row r="205" spans="1:11" x14ac:dyDescent="0.3">
      <c r="A205" s="13" t="s">
        <v>2609</v>
      </c>
      <c r="B205" s="13" t="s">
        <v>2647</v>
      </c>
      <c r="C205" s="13"/>
      <c r="D205" s="13"/>
      <c r="E205" s="13">
        <v>2</v>
      </c>
      <c r="F205" s="13" t="s">
        <v>2648</v>
      </c>
      <c r="G205" s="13">
        <v>9</v>
      </c>
      <c r="H205" s="13">
        <v>0</v>
      </c>
      <c r="I205" s="13"/>
      <c r="J205" s="13" t="s">
        <v>2649</v>
      </c>
      <c r="K205" s="13" t="s">
        <v>2650</v>
      </c>
    </row>
    <row r="206" spans="1:11" x14ac:dyDescent="0.3">
      <c r="A206" s="13" t="s">
        <v>2609</v>
      </c>
      <c r="B206" s="13" t="s">
        <v>2651</v>
      </c>
      <c r="C206" s="13"/>
      <c r="D206" s="13"/>
      <c r="E206" s="13">
        <v>2</v>
      </c>
      <c r="F206" s="13" t="s">
        <v>2652</v>
      </c>
      <c r="G206" s="13">
        <v>60</v>
      </c>
      <c r="H206" s="13">
        <v>0</v>
      </c>
      <c r="I206" s="13"/>
      <c r="J206" s="13" t="s">
        <v>2653</v>
      </c>
      <c r="K206" s="13" t="s">
        <v>2654</v>
      </c>
    </row>
    <row r="207" spans="1:11" x14ac:dyDescent="0.3">
      <c r="A207" s="13" t="s">
        <v>2609</v>
      </c>
      <c r="B207" s="13" t="s">
        <v>2655</v>
      </c>
      <c r="C207" s="13"/>
      <c r="D207" s="13"/>
      <c r="E207" s="13">
        <v>2</v>
      </c>
      <c r="F207" s="13" t="s">
        <v>2656</v>
      </c>
      <c r="G207" s="13">
        <v>6</v>
      </c>
      <c r="H207" s="13">
        <v>0</v>
      </c>
      <c r="I207" s="13"/>
      <c r="J207" s="13" t="s">
        <v>2657</v>
      </c>
      <c r="K207" s="13" t="s">
        <v>2658</v>
      </c>
    </row>
    <row r="208" spans="1:11" x14ac:dyDescent="0.3">
      <c r="A208" s="13" t="s">
        <v>2609</v>
      </c>
      <c r="B208" s="13" t="s">
        <v>2659</v>
      </c>
      <c r="C208" s="13"/>
      <c r="D208" s="13"/>
      <c r="E208" s="13">
        <v>2</v>
      </c>
      <c r="F208" s="13" t="s">
        <v>2660</v>
      </c>
      <c r="G208" s="13">
        <v>15</v>
      </c>
      <c r="H208" s="13">
        <v>0</v>
      </c>
      <c r="I208" s="13"/>
      <c r="J208" s="13" t="s">
        <v>2661</v>
      </c>
      <c r="K208" s="13" t="s">
        <v>2662</v>
      </c>
    </row>
    <row r="209" spans="1:11" x14ac:dyDescent="0.3">
      <c r="A209" s="13" t="s">
        <v>2609</v>
      </c>
      <c r="B209" s="13" t="s">
        <v>2663</v>
      </c>
      <c r="C209" s="13"/>
      <c r="D209" s="13"/>
      <c r="E209" s="13">
        <v>2</v>
      </c>
      <c r="F209" s="13" t="s">
        <v>2664</v>
      </c>
      <c r="G209" s="13">
        <v>4</v>
      </c>
      <c r="H209" s="13">
        <v>0</v>
      </c>
      <c r="I209" s="13"/>
      <c r="J209" s="13" t="s">
        <v>2665</v>
      </c>
      <c r="K209" s="13" t="s">
        <v>2666</v>
      </c>
    </row>
    <row r="210" spans="1:11" x14ac:dyDescent="0.3">
      <c r="A210" s="13" t="s">
        <v>978</v>
      </c>
      <c r="B210" s="13" t="s">
        <v>979</v>
      </c>
      <c r="C210" s="13" t="s">
        <v>2667</v>
      </c>
      <c r="D210" s="13" t="s">
        <v>2668</v>
      </c>
      <c r="E210" s="13">
        <v>4</v>
      </c>
      <c r="F210" s="13" t="s">
        <v>2669</v>
      </c>
      <c r="G210" s="13">
        <v>684</v>
      </c>
      <c r="H210" s="13">
        <v>0</v>
      </c>
      <c r="I210" s="13"/>
      <c r="J210" s="13" t="s">
        <v>2670</v>
      </c>
      <c r="K210" s="13" t="s">
        <v>2671</v>
      </c>
    </row>
    <row r="211" spans="1:11" x14ac:dyDescent="0.3">
      <c r="A211" s="13" t="s">
        <v>978</v>
      </c>
      <c r="B211" s="13" t="s">
        <v>979</v>
      </c>
      <c r="C211" s="13" t="s">
        <v>2667</v>
      </c>
      <c r="D211" s="13" t="s">
        <v>2672</v>
      </c>
      <c r="E211" s="13">
        <v>4</v>
      </c>
      <c r="F211" s="13" t="s">
        <v>2673</v>
      </c>
      <c r="G211" s="13">
        <v>218</v>
      </c>
      <c r="H211" s="13">
        <v>0</v>
      </c>
      <c r="I211" s="13"/>
      <c r="J211" s="13" t="s">
        <v>2674</v>
      </c>
      <c r="K211" s="13" t="s">
        <v>2675</v>
      </c>
    </row>
    <row r="212" spans="1:11" x14ac:dyDescent="0.3">
      <c r="A212" s="13" t="s">
        <v>978</v>
      </c>
      <c r="B212" s="13" t="s">
        <v>979</v>
      </c>
      <c r="C212" s="13" t="s">
        <v>2667</v>
      </c>
      <c r="D212" s="13" t="s">
        <v>2676</v>
      </c>
      <c r="E212" s="13">
        <v>4</v>
      </c>
      <c r="F212" s="13" t="s">
        <v>2677</v>
      </c>
      <c r="G212" s="13">
        <v>1992</v>
      </c>
      <c r="H212" s="13">
        <v>0</v>
      </c>
      <c r="I212" s="13"/>
      <c r="J212" s="13" t="s">
        <v>2678</v>
      </c>
      <c r="K212" s="13" t="s">
        <v>2679</v>
      </c>
    </row>
    <row r="213" spans="1:11" x14ac:dyDescent="0.3">
      <c r="A213" s="13" t="s">
        <v>978</v>
      </c>
      <c r="B213" s="13" t="s">
        <v>979</v>
      </c>
      <c r="C213" s="13" t="s">
        <v>2667</v>
      </c>
      <c r="D213" s="13" t="s">
        <v>2680</v>
      </c>
      <c r="E213" s="13">
        <v>4</v>
      </c>
      <c r="F213" s="13" t="s">
        <v>2681</v>
      </c>
      <c r="G213" s="13">
        <v>224</v>
      </c>
      <c r="H213" s="13">
        <v>0</v>
      </c>
      <c r="I213" s="13"/>
      <c r="J213" s="13" t="s">
        <v>2682</v>
      </c>
      <c r="K213" s="13" t="s">
        <v>2683</v>
      </c>
    </row>
    <row r="214" spans="1:11" x14ac:dyDescent="0.3">
      <c r="A214" s="13" t="s">
        <v>978</v>
      </c>
      <c r="B214" s="13" t="s">
        <v>979</v>
      </c>
      <c r="C214" s="13" t="s">
        <v>2684</v>
      </c>
      <c r="D214" s="13"/>
      <c r="E214" s="13">
        <v>3</v>
      </c>
      <c r="F214" s="13" t="s">
        <v>2685</v>
      </c>
      <c r="G214" s="13">
        <v>140</v>
      </c>
      <c r="H214" s="13">
        <v>0</v>
      </c>
      <c r="I214" s="13"/>
      <c r="J214" s="13" t="s">
        <v>2686</v>
      </c>
      <c r="K214" s="13" t="s">
        <v>2687</v>
      </c>
    </row>
    <row r="215" spans="1:11" x14ac:dyDescent="0.3">
      <c r="A215" s="13" t="s">
        <v>978</v>
      </c>
      <c r="B215" s="13" t="s">
        <v>979</v>
      </c>
      <c r="C215" s="13" t="s">
        <v>1015</v>
      </c>
      <c r="D215" s="13"/>
      <c r="E215" s="13">
        <v>3</v>
      </c>
      <c r="F215" s="13" t="s">
        <v>184</v>
      </c>
      <c r="G215" s="13">
        <v>374</v>
      </c>
      <c r="H215" s="13">
        <v>0</v>
      </c>
      <c r="I215" s="3" t="s">
        <v>1014</v>
      </c>
      <c r="J215" s="13" t="s">
        <v>39</v>
      </c>
      <c r="K215" s="13" t="s">
        <v>190</v>
      </c>
    </row>
    <row r="216" spans="1:11" x14ac:dyDescent="0.3">
      <c r="A216" s="13" t="s">
        <v>978</v>
      </c>
      <c r="B216" s="13" t="s">
        <v>979</v>
      </c>
      <c r="C216" s="13" t="s">
        <v>2688</v>
      </c>
      <c r="D216" s="13"/>
      <c r="E216" s="13">
        <v>3</v>
      </c>
      <c r="F216" s="13" t="s">
        <v>2689</v>
      </c>
      <c r="G216" s="13">
        <v>496</v>
      </c>
      <c r="H216" s="13">
        <v>0</v>
      </c>
      <c r="I216" s="13"/>
      <c r="J216" s="13" t="s">
        <v>2690</v>
      </c>
      <c r="K216" s="13" t="s">
        <v>2691</v>
      </c>
    </row>
    <row r="217" spans="1:11" x14ac:dyDescent="0.3">
      <c r="A217" s="13" t="s">
        <v>978</v>
      </c>
      <c r="B217" s="13" t="s">
        <v>979</v>
      </c>
      <c r="C217" s="13" t="s">
        <v>2692</v>
      </c>
      <c r="D217" s="13"/>
      <c r="E217" s="13">
        <v>3</v>
      </c>
      <c r="F217" s="13" t="s">
        <v>2693</v>
      </c>
      <c r="G217" s="13">
        <v>147</v>
      </c>
      <c r="H217" s="13">
        <v>0</v>
      </c>
      <c r="I217" s="13"/>
      <c r="J217" s="13" t="s">
        <v>2694</v>
      </c>
      <c r="K217" s="13" t="s">
        <v>2695</v>
      </c>
    </row>
    <row r="218" spans="1:11" x14ac:dyDescent="0.3">
      <c r="A218" s="13" t="s">
        <v>978</v>
      </c>
      <c r="B218" s="13" t="s">
        <v>979</v>
      </c>
      <c r="C218" s="13" t="s">
        <v>2696</v>
      </c>
      <c r="D218" s="13"/>
      <c r="E218" s="13">
        <v>3</v>
      </c>
      <c r="F218" s="13" t="s">
        <v>2697</v>
      </c>
      <c r="G218" s="13">
        <v>51</v>
      </c>
      <c r="H218" s="13">
        <v>0</v>
      </c>
      <c r="I218" s="13"/>
      <c r="J218" s="13" t="s">
        <v>2698</v>
      </c>
      <c r="K218" s="13" t="s">
        <v>2699</v>
      </c>
    </row>
    <row r="219" spans="1:11" x14ac:dyDescent="0.3">
      <c r="A219" s="13" t="s">
        <v>978</v>
      </c>
      <c r="B219" s="13" t="s">
        <v>979</v>
      </c>
      <c r="C219" s="13" t="s">
        <v>2700</v>
      </c>
      <c r="D219" s="13"/>
      <c r="E219" s="13">
        <v>3</v>
      </c>
      <c r="F219" s="13" t="s">
        <v>2701</v>
      </c>
      <c r="G219" s="13">
        <v>16</v>
      </c>
      <c r="H219" s="13">
        <v>0</v>
      </c>
      <c r="I219" s="13"/>
      <c r="J219" s="13" t="s">
        <v>2702</v>
      </c>
      <c r="K219" s="13" t="s">
        <v>2703</v>
      </c>
    </row>
    <row r="220" spans="1:11" x14ac:dyDescent="0.3">
      <c r="A220" s="13" t="s">
        <v>978</v>
      </c>
      <c r="B220" s="13" t="s">
        <v>979</v>
      </c>
      <c r="C220" s="13" t="s">
        <v>2704</v>
      </c>
      <c r="D220" s="13"/>
      <c r="E220" s="13">
        <v>3</v>
      </c>
      <c r="F220" s="13" t="s">
        <v>2705</v>
      </c>
      <c r="G220" s="13">
        <v>199</v>
      </c>
      <c r="H220" s="13">
        <v>0</v>
      </c>
      <c r="I220" s="13"/>
      <c r="J220" s="13" t="s">
        <v>2706</v>
      </c>
      <c r="K220" s="13" t="s">
        <v>2707</v>
      </c>
    </row>
    <row r="221" spans="1:11" x14ac:dyDescent="0.3">
      <c r="A221" s="13" t="s">
        <v>978</v>
      </c>
      <c r="B221" s="13" t="s">
        <v>979</v>
      </c>
      <c r="C221" s="13" t="s">
        <v>2708</v>
      </c>
      <c r="D221" s="13"/>
      <c r="E221" s="13">
        <v>3</v>
      </c>
      <c r="F221" s="13" t="s">
        <v>2709</v>
      </c>
      <c r="G221" s="13">
        <v>60</v>
      </c>
      <c r="H221" s="13">
        <v>0</v>
      </c>
      <c r="I221" s="13"/>
      <c r="J221" s="13" t="s">
        <v>2710</v>
      </c>
      <c r="K221" s="13" t="s">
        <v>2711</v>
      </c>
    </row>
    <row r="222" spans="1:11" x14ac:dyDescent="0.3">
      <c r="A222" s="13" t="s">
        <v>978</v>
      </c>
      <c r="B222" s="13" t="s">
        <v>979</v>
      </c>
      <c r="C222" s="13" t="s">
        <v>1005</v>
      </c>
      <c r="D222" s="13" t="s">
        <v>2712</v>
      </c>
      <c r="E222" s="13">
        <v>4</v>
      </c>
      <c r="F222" s="13" t="s">
        <v>2713</v>
      </c>
      <c r="G222" s="13">
        <v>245</v>
      </c>
      <c r="H222" s="13">
        <v>0</v>
      </c>
      <c r="I222" s="13"/>
      <c r="J222" s="13" t="s">
        <v>2714</v>
      </c>
      <c r="K222" s="13" t="s">
        <v>2715</v>
      </c>
    </row>
    <row r="223" spans="1:11" x14ac:dyDescent="0.3">
      <c r="A223" s="13" t="s">
        <v>978</v>
      </c>
      <c r="B223" s="13" t="s">
        <v>979</v>
      </c>
      <c r="C223" s="13" t="s">
        <v>1005</v>
      </c>
      <c r="D223" s="13" t="s">
        <v>2716</v>
      </c>
      <c r="E223" s="13">
        <v>4</v>
      </c>
      <c r="F223" s="13" t="s">
        <v>2717</v>
      </c>
      <c r="G223" s="13">
        <v>295</v>
      </c>
      <c r="H223" s="13">
        <v>0</v>
      </c>
      <c r="I223" s="13"/>
      <c r="J223" s="13" t="s">
        <v>2718</v>
      </c>
      <c r="K223" s="13" t="s">
        <v>2719</v>
      </c>
    </row>
    <row r="224" spans="1:11" x14ac:dyDescent="0.3">
      <c r="A224" s="13" t="s">
        <v>978</v>
      </c>
      <c r="B224" s="13" t="s">
        <v>979</v>
      </c>
      <c r="C224" s="13" t="s">
        <v>1005</v>
      </c>
      <c r="D224" s="13" t="s">
        <v>2720</v>
      </c>
      <c r="E224" s="13">
        <v>4</v>
      </c>
      <c r="F224" s="13" t="s">
        <v>2721</v>
      </c>
      <c r="G224" s="13">
        <v>66</v>
      </c>
      <c r="H224" s="13">
        <v>0</v>
      </c>
      <c r="I224" s="13"/>
      <c r="J224" s="13" t="s">
        <v>2722</v>
      </c>
      <c r="K224" s="13" t="s">
        <v>2723</v>
      </c>
    </row>
    <row r="225" spans="1:11" x14ac:dyDescent="0.3">
      <c r="A225" s="13" t="s">
        <v>978</v>
      </c>
      <c r="B225" s="13" t="s">
        <v>979</v>
      </c>
      <c r="C225" s="13" t="s">
        <v>1005</v>
      </c>
      <c r="D225" s="13" t="s">
        <v>1006</v>
      </c>
      <c r="E225" s="13">
        <v>4</v>
      </c>
      <c r="F225" s="13" t="s">
        <v>1007</v>
      </c>
      <c r="G225" s="13">
        <v>205</v>
      </c>
      <c r="H225" s="13">
        <v>0</v>
      </c>
      <c r="I225" s="3" t="s">
        <v>1003</v>
      </c>
      <c r="J225" s="13" t="s">
        <v>1004</v>
      </c>
      <c r="K225" s="13" t="s">
        <v>2724</v>
      </c>
    </row>
    <row r="226" spans="1:11" x14ac:dyDescent="0.3">
      <c r="A226" s="13" t="s">
        <v>978</v>
      </c>
      <c r="B226" s="13" t="s">
        <v>979</v>
      </c>
      <c r="C226" s="13" t="s">
        <v>2725</v>
      </c>
      <c r="D226" s="13"/>
      <c r="E226" s="13">
        <v>3</v>
      </c>
      <c r="F226" s="13" t="s">
        <v>2726</v>
      </c>
      <c r="G226" s="13">
        <v>25</v>
      </c>
      <c r="H226" s="13">
        <v>0</v>
      </c>
      <c r="I226" s="13"/>
      <c r="J226" s="13" t="s">
        <v>2727</v>
      </c>
      <c r="K226" s="13" t="s">
        <v>2728</v>
      </c>
    </row>
    <row r="227" spans="1:11" x14ac:dyDescent="0.3">
      <c r="A227" s="13" t="s">
        <v>978</v>
      </c>
      <c r="B227" s="13" t="s">
        <v>979</v>
      </c>
      <c r="C227" s="13" t="s">
        <v>980</v>
      </c>
      <c r="D227" s="13"/>
      <c r="E227" s="13">
        <v>3</v>
      </c>
      <c r="F227" s="13" t="s">
        <v>981</v>
      </c>
      <c r="G227" s="13">
        <v>318</v>
      </c>
      <c r="H227" s="13">
        <v>0</v>
      </c>
      <c r="I227" s="3" t="s">
        <v>976</v>
      </c>
      <c r="J227" s="13" t="s">
        <v>977</v>
      </c>
      <c r="K227" s="13" t="s">
        <v>2729</v>
      </c>
    </row>
    <row r="228" spans="1:11" x14ac:dyDescent="0.3">
      <c r="A228" s="13" t="s">
        <v>978</v>
      </c>
      <c r="B228" s="13" t="s">
        <v>979</v>
      </c>
      <c r="C228" s="13" t="s">
        <v>2730</v>
      </c>
      <c r="D228" s="13"/>
      <c r="E228" s="13">
        <v>3</v>
      </c>
      <c r="F228" s="13" t="s">
        <v>2731</v>
      </c>
      <c r="G228" s="13">
        <v>9</v>
      </c>
      <c r="H228" s="13">
        <v>0</v>
      </c>
      <c r="I228" s="13"/>
      <c r="J228" s="13" t="s">
        <v>2732</v>
      </c>
      <c r="K228" s="13" t="s">
        <v>2733</v>
      </c>
    </row>
    <row r="229" spans="1:11" x14ac:dyDescent="0.3">
      <c r="A229" s="13" t="s">
        <v>978</v>
      </c>
      <c r="B229" s="13" t="s">
        <v>979</v>
      </c>
      <c r="C229" s="13" t="s">
        <v>2734</v>
      </c>
      <c r="D229" s="13"/>
      <c r="E229" s="13">
        <v>3</v>
      </c>
      <c r="F229" s="13" t="s">
        <v>2735</v>
      </c>
      <c r="G229" s="13">
        <v>302</v>
      </c>
      <c r="H229" s="13">
        <v>93</v>
      </c>
      <c r="I229" s="13"/>
      <c r="J229" s="13" t="s">
        <v>2736</v>
      </c>
      <c r="K229" s="13" t="s">
        <v>2737</v>
      </c>
    </row>
    <row r="230" spans="1:11" x14ac:dyDescent="0.3">
      <c r="A230" s="13" t="s">
        <v>978</v>
      </c>
      <c r="B230" s="13" t="s">
        <v>1070</v>
      </c>
      <c r="C230" s="13" t="s">
        <v>2738</v>
      </c>
      <c r="D230" s="13"/>
      <c r="E230" s="13">
        <v>3</v>
      </c>
      <c r="F230" s="13" t="s">
        <v>2739</v>
      </c>
      <c r="G230" s="13">
        <v>574</v>
      </c>
      <c r="H230" s="13">
        <v>0</v>
      </c>
      <c r="I230" s="13"/>
      <c r="J230" s="13" t="s">
        <v>2740</v>
      </c>
      <c r="K230" s="13" t="s">
        <v>2741</v>
      </c>
    </row>
    <row r="231" spans="1:11" x14ac:dyDescent="0.3">
      <c r="A231" s="13" t="s">
        <v>978</v>
      </c>
      <c r="B231" s="13" t="s">
        <v>1070</v>
      </c>
      <c r="C231" s="13" t="s">
        <v>1071</v>
      </c>
      <c r="D231" s="13"/>
      <c r="E231" s="13">
        <v>3</v>
      </c>
      <c r="F231" s="13" t="s">
        <v>1072</v>
      </c>
      <c r="G231" s="13">
        <v>661</v>
      </c>
      <c r="H231" s="13">
        <v>0</v>
      </c>
      <c r="I231" s="3" t="s">
        <v>1068</v>
      </c>
      <c r="J231" s="13" t="s">
        <v>1069</v>
      </c>
      <c r="K231" s="13" t="s">
        <v>2742</v>
      </c>
    </row>
    <row r="232" spans="1:11" x14ac:dyDescent="0.3">
      <c r="A232" s="13" t="s">
        <v>978</v>
      </c>
      <c r="B232" s="13" t="s">
        <v>2743</v>
      </c>
      <c r="C232" s="13" t="s">
        <v>2744</v>
      </c>
      <c r="D232" s="13"/>
      <c r="E232" s="13">
        <v>3</v>
      </c>
      <c r="F232" s="13" t="s">
        <v>2745</v>
      </c>
      <c r="G232" s="13">
        <v>53</v>
      </c>
      <c r="H232" s="13">
        <v>0</v>
      </c>
      <c r="I232" s="13"/>
      <c r="J232" s="13" t="s">
        <v>2746</v>
      </c>
      <c r="K232" s="13" t="s">
        <v>2747</v>
      </c>
    </row>
    <row r="233" spans="1:11" x14ac:dyDescent="0.3">
      <c r="A233" s="13" t="s">
        <v>978</v>
      </c>
      <c r="B233" s="13" t="s">
        <v>2743</v>
      </c>
      <c r="C233" s="13" t="s">
        <v>2748</v>
      </c>
      <c r="D233" s="13"/>
      <c r="E233" s="13">
        <v>3</v>
      </c>
      <c r="F233" s="13" t="s">
        <v>2749</v>
      </c>
      <c r="G233" s="13">
        <v>47</v>
      </c>
      <c r="H233" s="13">
        <v>0</v>
      </c>
      <c r="I233" s="13"/>
      <c r="J233" s="13" t="s">
        <v>2750</v>
      </c>
      <c r="K233" s="13" t="s">
        <v>2751</v>
      </c>
    </row>
    <row r="234" spans="1:11" x14ac:dyDescent="0.3">
      <c r="A234" s="13" t="s">
        <v>978</v>
      </c>
      <c r="B234" s="13" t="s">
        <v>2743</v>
      </c>
      <c r="C234" s="13" t="s">
        <v>2752</v>
      </c>
      <c r="D234" s="13"/>
      <c r="E234" s="13">
        <v>3</v>
      </c>
      <c r="F234" s="13" t="s">
        <v>2753</v>
      </c>
      <c r="G234" s="13">
        <v>124</v>
      </c>
      <c r="H234" s="13">
        <v>0</v>
      </c>
      <c r="I234" s="13"/>
      <c r="J234" s="13" t="s">
        <v>2754</v>
      </c>
      <c r="K234" s="13" t="s">
        <v>2755</v>
      </c>
    </row>
    <row r="235" spans="1:11" x14ac:dyDescent="0.3">
      <c r="A235" s="13" t="s">
        <v>978</v>
      </c>
      <c r="B235" s="13" t="s">
        <v>2743</v>
      </c>
      <c r="C235" s="13" t="s">
        <v>2756</v>
      </c>
      <c r="D235" s="13"/>
      <c r="E235" s="13">
        <v>3</v>
      </c>
      <c r="F235" s="13" t="s">
        <v>2757</v>
      </c>
      <c r="G235" s="13">
        <v>121</v>
      </c>
      <c r="H235" s="13">
        <v>0</v>
      </c>
      <c r="I235" s="13"/>
      <c r="J235" s="13" t="s">
        <v>2758</v>
      </c>
      <c r="K235" s="13" t="s">
        <v>2759</v>
      </c>
    </row>
    <row r="236" spans="1:11" x14ac:dyDescent="0.3">
      <c r="A236" s="13" t="s">
        <v>978</v>
      </c>
      <c r="B236" s="13" t="s">
        <v>2743</v>
      </c>
      <c r="C236" s="13" t="s">
        <v>2760</v>
      </c>
      <c r="D236" s="13"/>
      <c r="E236" s="13">
        <v>3</v>
      </c>
      <c r="F236" s="13" t="s">
        <v>2761</v>
      </c>
      <c r="G236" s="13">
        <v>63</v>
      </c>
      <c r="H236" s="13">
        <v>0</v>
      </c>
      <c r="I236" s="13"/>
      <c r="J236" s="13" t="s">
        <v>2762</v>
      </c>
      <c r="K236" s="13" t="s">
        <v>2763</v>
      </c>
    </row>
    <row r="237" spans="1:11" x14ac:dyDescent="0.3">
      <c r="A237" s="13" t="s">
        <v>978</v>
      </c>
      <c r="B237" s="13" t="s">
        <v>2743</v>
      </c>
      <c r="C237" s="13" t="s">
        <v>2764</v>
      </c>
      <c r="D237" s="13"/>
      <c r="E237" s="13">
        <v>3</v>
      </c>
      <c r="F237" s="13" t="s">
        <v>2765</v>
      </c>
      <c r="G237" s="13">
        <v>73</v>
      </c>
      <c r="H237" s="13">
        <v>0</v>
      </c>
      <c r="I237" s="13"/>
      <c r="J237" s="13" t="s">
        <v>2766</v>
      </c>
      <c r="K237" s="13" t="s">
        <v>2767</v>
      </c>
    </row>
    <row r="238" spans="1:11" x14ac:dyDescent="0.3">
      <c r="A238" s="13" t="s">
        <v>978</v>
      </c>
      <c r="B238" s="13" t="s">
        <v>2743</v>
      </c>
      <c r="C238" s="13" t="s">
        <v>2768</v>
      </c>
      <c r="D238" s="13"/>
      <c r="E238" s="13">
        <v>3</v>
      </c>
      <c r="F238" s="13" t="s">
        <v>2769</v>
      </c>
      <c r="G238" s="13">
        <v>66</v>
      </c>
      <c r="H238" s="13">
        <v>0</v>
      </c>
      <c r="I238" s="13"/>
      <c r="J238" s="13" t="s">
        <v>2770</v>
      </c>
      <c r="K238" s="13" t="s">
        <v>2771</v>
      </c>
    </row>
    <row r="239" spans="1:11" x14ac:dyDescent="0.3">
      <c r="A239" s="13" t="s">
        <v>978</v>
      </c>
      <c r="B239" s="13" t="s">
        <v>2743</v>
      </c>
      <c r="C239" s="13" t="s">
        <v>2772</v>
      </c>
      <c r="D239" s="13"/>
      <c r="E239" s="13">
        <v>3</v>
      </c>
      <c r="F239" s="13" t="s">
        <v>2773</v>
      </c>
      <c r="G239" s="13">
        <v>59</v>
      </c>
      <c r="H239" s="13">
        <v>0</v>
      </c>
      <c r="I239" s="13"/>
      <c r="J239" s="13" t="s">
        <v>2774</v>
      </c>
      <c r="K239" s="13" t="s">
        <v>2775</v>
      </c>
    </row>
    <row r="240" spans="1:11" x14ac:dyDescent="0.3">
      <c r="A240" s="13" t="s">
        <v>978</v>
      </c>
      <c r="B240" s="13" t="s">
        <v>2743</v>
      </c>
      <c r="C240" s="13" t="s">
        <v>2776</v>
      </c>
      <c r="D240" s="13"/>
      <c r="E240" s="13">
        <v>3</v>
      </c>
      <c r="F240" s="13" t="s">
        <v>2777</v>
      </c>
      <c r="G240" s="13">
        <v>5</v>
      </c>
      <c r="H240" s="13">
        <v>0</v>
      </c>
      <c r="I240" s="13"/>
      <c r="J240" s="13" t="s">
        <v>2778</v>
      </c>
      <c r="K240" s="13" t="s">
        <v>2779</v>
      </c>
    </row>
    <row r="241" spans="1:11" x14ac:dyDescent="0.3">
      <c r="A241" s="13" t="s">
        <v>978</v>
      </c>
      <c r="B241" s="13" t="s">
        <v>2743</v>
      </c>
      <c r="C241" s="13" t="s">
        <v>2780</v>
      </c>
      <c r="D241" s="13"/>
      <c r="E241" s="13">
        <v>3</v>
      </c>
      <c r="F241" s="13" t="s">
        <v>2781</v>
      </c>
      <c r="G241" s="13">
        <v>88</v>
      </c>
      <c r="H241" s="13">
        <v>0</v>
      </c>
      <c r="I241" s="13"/>
      <c r="J241" s="13" t="s">
        <v>2782</v>
      </c>
      <c r="K241" s="13" t="s">
        <v>2783</v>
      </c>
    </row>
    <row r="242" spans="1:11" x14ac:dyDescent="0.3">
      <c r="A242" s="13" t="s">
        <v>978</v>
      </c>
      <c r="B242" s="13" t="s">
        <v>2743</v>
      </c>
      <c r="C242" s="13" t="s">
        <v>2784</v>
      </c>
      <c r="D242" s="13"/>
      <c r="E242" s="13">
        <v>3</v>
      </c>
      <c r="F242" s="13" t="s">
        <v>2785</v>
      </c>
      <c r="G242" s="13">
        <v>17</v>
      </c>
      <c r="H242" s="13">
        <v>0</v>
      </c>
      <c r="I242" s="13"/>
      <c r="J242" s="13" t="s">
        <v>2786</v>
      </c>
      <c r="K242" s="13" t="s">
        <v>2787</v>
      </c>
    </row>
    <row r="243" spans="1:11" x14ac:dyDescent="0.3">
      <c r="A243" s="13" t="s">
        <v>978</v>
      </c>
      <c r="B243" s="13" t="s">
        <v>2788</v>
      </c>
      <c r="C243" s="13"/>
      <c r="D243" s="13"/>
      <c r="E243" s="13">
        <v>2</v>
      </c>
      <c r="F243" s="13" t="s">
        <v>2789</v>
      </c>
      <c r="G243" s="13">
        <v>566</v>
      </c>
      <c r="H243" s="13">
        <v>0</v>
      </c>
      <c r="I243" s="13"/>
      <c r="J243" s="13" t="s">
        <v>2790</v>
      </c>
      <c r="K243" s="13" t="s">
        <v>2791</v>
      </c>
    </row>
    <row r="244" spans="1:11" x14ac:dyDescent="0.3">
      <c r="A244" s="13" t="s">
        <v>978</v>
      </c>
      <c r="B244" s="13" t="s">
        <v>2792</v>
      </c>
      <c r="C244" s="13"/>
      <c r="D244" s="13"/>
      <c r="E244" s="13">
        <v>2</v>
      </c>
      <c r="F244" s="13" t="s">
        <v>2793</v>
      </c>
      <c r="G244" s="13">
        <v>644</v>
      </c>
      <c r="H244" s="13">
        <v>0</v>
      </c>
      <c r="I244" s="13"/>
      <c r="J244" s="13" t="s">
        <v>2794</v>
      </c>
      <c r="K244" s="13" t="s">
        <v>2795</v>
      </c>
    </row>
    <row r="245" spans="1:11" x14ac:dyDescent="0.3">
      <c r="A245" s="13" t="s">
        <v>978</v>
      </c>
      <c r="B245" s="13" t="s">
        <v>2796</v>
      </c>
      <c r="C245" s="13" t="s">
        <v>2797</v>
      </c>
      <c r="D245" s="13"/>
      <c r="E245" s="13">
        <v>3</v>
      </c>
      <c r="F245" s="13" t="s">
        <v>2798</v>
      </c>
      <c r="G245" s="13">
        <v>113</v>
      </c>
      <c r="H245" s="13">
        <v>0</v>
      </c>
      <c r="I245" s="13"/>
      <c r="J245" s="13" t="s">
        <v>2799</v>
      </c>
      <c r="K245" s="13" t="s">
        <v>2800</v>
      </c>
    </row>
    <row r="246" spans="1:11" x14ac:dyDescent="0.3">
      <c r="A246" s="13" t="s">
        <v>978</v>
      </c>
      <c r="B246" s="13" t="s">
        <v>2796</v>
      </c>
      <c r="C246" s="13" t="s">
        <v>2801</v>
      </c>
      <c r="D246" s="13"/>
      <c r="E246" s="13">
        <v>3</v>
      </c>
      <c r="F246" s="13" t="s">
        <v>2802</v>
      </c>
      <c r="G246" s="13">
        <v>187</v>
      </c>
      <c r="H246" s="13">
        <v>0</v>
      </c>
      <c r="I246" s="13"/>
      <c r="J246" s="13" t="s">
        <v>2803</v>
      </c>
      <c r="K246" s="13" t="s">
        <v>2804</v>
      </c>
    </row>
    <row r="247" spans="1:11" x14ac:dyDescent="0.3">
      <c r="A247" s="13" t="s">
        <v>978</v>
      </c>
      <c r="B247" s="13" t="s">
        <v>2796</v>
      </c>
      <c r="C247" s="13" t="s">
        <v>2805</v>
      </c>
      <c r="D247" s="13"/>
      <c r="E247" s="13">
        <v>3</v>
      </c>
      <c r="F247" s="13" t="s">
        <v>2806</v>
      </c>
      <c r="G247" s="13">
        <v>57</v>
      </c>
      <c r="H247" s="13">
        <v>0</v>
      </c>
      <c r="I247" s="13"/>
      <c r="J247" s="13" t="s">
        <v>2807</v>
      </c>
      <c r="K247" s="13" t="s">
        <v>2808</v>
      </c>
    </row>
    <row r="248" spans="1:11" x14ac:dyDescent="0.3">
      <c r="A248" s="13" t="s">
        <v>964</v>
      </c>
      <c r="B248" s="13" t="s">
        <v>2809</v>
      </c>
      <c r="C248" s="13"/>
      <c r="D248" s="13"/>
      <c r="E248" s="13">
        <v>2</v>
      </c>
      <c r="F248" s="13" t="s">
        <v>2810</v>
      </c>
      <c r="G248" s="13">
        <v>75</v>
      </c>
      <c r="H248" s="13">
        <v>0</v>
      </c>
      <c r="I248" s="13"/>
      <c r="J248" s="13" t="s">
        <v>2811</v>
      </c>
      <c r="K248" s="13" t="s">
        <v>2812</v>
      </c>
    </row>
    <row r="249" spans="1:11" x14ac:dyDescent="0.3">
      <c r="A249" s="13" t="s">
        <v>964</v>
      </c>
      <c r="B249" s="13" t="s">
        <v>661</v>
      </c>
      <c r="C249" s="13"/>
      <c r="D249" s="13"/>
      <c r="E249" s="13">
        <v>2</v>
      </c>
      <c r="F249" s="13" t="s">
        <v>751</v>
      </c>
      <c r="G249" s="13">
        <v>804</v>
      </c>
      <c r="H249" s="13">
        <v>746</v>
      </c>
      <c r="I249" s="3" t="s">
        <v>749</v>
      </c>
      <c r="J249" s="13" t="s">
        <v>750</v>
      </c>
      <c r="K249" s="13" t="s">
        <v>2813</v>
      </c>
    </row>
    <row r="250" spans="1:11" x14ac:dyDescent="0.3">
      <c r="A250" s="13" t="s">
        <v>2814</v>
      </c>
      <c r="B250" s="13" t="s">
        <v>2815</v>
      </c>
      <c r="C250" s="13" t="s">
        <v>2816</v>
      </c>
      <c r="D250" s="13"/>
      <c r="E250" s="13">
        <v>3</v>
      </c>
      <c r="F250" s="13" t="s">
        <v>2817</v>
      </c>
      <c r="G250" s="13">
        <v>2</v>
      </c>
      <c r="H250" s="13">
        <v>0</v>
      </c>
      <c r="I250" s="13"/>
      <c r="J250" s="13" t="s">
        <v>2818</v>
      </c>
      <c r="K250" s="13" t="s">
        <v>2819</v>
      </c>
    </row>
    <row r="251" spans="1:11" x14ac:dyDescent="0.3">
      <c r="A251" s="13" t="s">
        <v>2814</v>
      </c>
      <c r="B251" s="13" t="s">
        <v>2820</v>
      </c>
      <c r="C251" s="13" t="s">
        <v>2821</v>
      </c>
      <c r="D251" s="13" t="s">
        <v>2822</v>
      </c>
      <c r="E251" s="13">
        <v>4</v>
      </c>
      <c r="F251" s="13" t="s">
        <v>2823</v>
      </c>
      <c r="G251" s="13">
        <v>1</v>
      </c>
      <c r="H251" s="13">
        <v>0</v>
      </c>
      <c r="I251" s="13"/>
      <c r="J251" s="13" t="s">
        <v>2824</v>
      </c>
      <c r="K251" s="13" t="s">
        <v>2825</v>
      </c>
    </row>
    <row r="252" spans="1:11" x14ac:dyDescent="0.3">
      <c r="A252" s="13" t="s">
        <v>2814</v>
      </c>
      <c r="B252" s="13" t="s">
        <v>2820</v>
      </c>
      <c r="C252" s="13" t="s">
        <v>2826</v>
      </c>
      <c r="D252" s="13"/>
      <c r="E252" s="13">
        <v>3</v>
      </c>
      <c r="F252" s="13" t="s">
        <v>2827</v>
      </c>
      <c r="G252" s="13">
        <v>2</v>
      </c>
      <c r="H252" s="13">
        <v>0</v>
      </c>
      <c r="I252" s="13"/>
      <c r="J252" s="13" t="s">
        <v>2828</v>
      </c>
      <c r="K252" s="13" t="s">
        <v>2829</v>
      </c>
    </row>
    <row r="253" spans="1:11" x14ac:dyDescent="0.3">
      <c r="A253" s="13" t="s">
        <v>2814</v>
      </c>
      <c r="B253" s="13" t="s">
        <v>2820</v>
      </c>
      <c r="C253" s="13" t="s">
        <v>2830</v>
      </c>
      <c r="D253" s="13" t="s">
        <v>2831</v>
      </c>
      <c r="E253" s="13">
        <v>4</v>
      </c>
      <c r="F253" s="13" t="s">
        <v>2832</v>
      </c>
      <c r="G253" s="13">
        <v>12</v>
      </c>
      <c r="H253" s="13">
        <v>0</v>
      </c>
      <c r="I253" s="13"/>
      <c r="J253" s="13" t="s">
        <v>2833</v>
      </c>
      <c r="K253" s="13" t="s">
        <v>2834</v>
      </c>
    </row>
    <row r="254" spans="1:11" x14ac:dyDescent="0.3">
      <c r="A254" s="13" t="s">
        <v>2814</v>
      </c>
      <c r="B254" s="13" t="s">
        <v>1089</v>
      </c>
      <c r="C254" s="13"/>
      <c r="D254" s="13"/>
      <c r="E254" s="13">
        <v>2</v>
      </c>
      <c r="F254" s="13" t="s">
        <v>2835</v>
      </c>
      <c r="G254" s="13"/>
      <c r="H254" s="13">
        <v>0</v>
      </c>
      <c r="I254" s="13"/>
      <c r="J254" s="13" t="s">
        <v>2836</v>
      </c>
      <c r="K254" s="13" t="s">
        <v>2837</v>
      </c>
    </row>
    <row r="255" spans="1:11" x14ac:dyDescent="0.3">
      <c r="A255" s="13" t="s">
        <v>2814</v>
      </c>
      <c r="B255" s="13" t="s">
        <v>2838</v>
      </c>
      <c r="C255" s="13" t="s">
        <v>2839</v>
      </c>
      <c r="D255" s="13"/>
      <c r="E255" s="13">
        <v>3</v>
      </c>
      <c r="F255" s="13" t="s">
        <v>2840</v>
      </c>
      <c r="G255" s="13">
        <v>1</v>
      </c>
      <c r="H255" s="13">
        <v>0</v>
      </c>
      <c r="I255" s="13"/>
      <c r="J255" s="13" t="s">
        <v>2841</v>
      </c>
      <c r="K255" s="13" t="s">
        <v>2842</v>
      </c>
    </row>
    <row r="256" spans="1:11" x14ac:dyDescent="0.3">
      <c r="A256" s="13" t="s">
        <v>2814</v>
      </c>
      <c r="B256" s="13" t="s">
        <v>2838</v>
      </c>
      <c r="C256" s="13" t="s">
        <v>2843</v>
      </c>
      <c r="D256" s="13"/>
      <c r="E256" s="13">
        <v>3</v>
      </c>
      <c r="F256" s="13" t="s">
        <v>2844</v>
      </c>
      <c r="G256" s="13">
        <v>22</v>
      </c>
      <c r="H256" s="13">
        <v>0</v>
      </c>
      <c r="I256" s="13"/>
      <c r="J256" s="13" t="s">
        <v>2845</v>
      </c>
      <c r="K256" s="13" t="s">
        <v>2846</v>
      </c>
    </row>
    <row r="257" spans="1:11" x14ac:dyDescent="0.3">
      <c r="A257" s="13" t="s">
        <v>2814</v>
      </c>
      <c r="B257" s="13" t="s">
        <v>2838</v>
      </c>
      <c r="C257" s="13" t="s">
        <v>2847</v>
      </c>
      <c r="D257" s="13"/>
      <c r="E257" s="13">
        <v>3</v>
      </c>
      <c r="F257" s="13" t="s">
        <v>2848</v>
      </c>
      <c r="G257" s="13">
        <v>2</v>
      </c>
      <c r="H257" s="13">
        <v>0</v>
      </c>
      <c r="I257" s="13"/>
      <c r="J257" s="13" t="s">
        <v>2849</v>
      </c>
      <c r="K257" s="13" t="s">
        <v>2850</v>
      </c>
    </row>
    <row r="258" spans="1:11" x14ac:dyDescent="0.3">
      <c r="A258" s="13" t="s">
        <v>2814</v>
      </c>
      <c r="B258" s="13" t="s">
        <v>2851</v>
      </c>
      <c r="C258" s="13" t="s">
        <v>2852</v>
      </c>
      <c r="D258" s="13"/>
      <c r="E258" s="13">
        <v>3</v>
      </c>
      <c r="F258" s="13" t="s">
        <v>2853</v>
      </c>
      <c r="G258" s="13">
        <v>2</v>
      </c>
      <c r="H258" s="13">
        <v>0</v>
      </c>
      <c r="I258" s="13"/>
      <c r="J258" s="13" t="s">
        <v>2854</v>
      </c>
      <c r="K258" s="13" t="s">
        <v>2855</v>
      </c>
    </row>
    <row r="259" spans="1:11" x14ac:dyDescent="0.3">
      <c r="A259" s="13" t="s">
        <v>2814</v>
      </c>
      <c r="B259" s="13" t="s">
        <v>2851</v>
      </c>
      <c r="C259" s="13" t="s">
        <v>2856</v>
      </c>
      <c r="D259" s="13"/>
      <c r="E259" s="13">
        <v>3</v>
      </c>
      <c r="F259" s="13" t="s">
        <v>2857</v>
      </c>
      <c r="G259" s="13">
        <v>9</v>
      </c>
      <c r="H259" s="13">
        <v>0</v>
      </c>
      <c r="I259" s="13"/>
      <c r="J259" s="13" t="s">
        <v>2858</v>
      </c>
      <c r="K259" s="13" t="s">
        <v>2859</v>
      </c>
    </row>
    <row r="260" spans="1:11" x14ac:dyDescent="0.3">
      <c r="A260" s="13" t="s">
        <v>2814</v>
      </c>
      <c r="B260" s="13" t="s">
        <v>2860</v>
      </c>
      <c r="C260" s="13" t="s">
        <v>2861</v>
      </c>
      <c r="D260" s="13" t="s">
        <v>2862</v>
      </c>
      <c r="E260" s="13">
        <v>4</v>
      </c>
      <c r="F260" s="13" t="s">
        <v>2863</v>
      </c>
      <c r="G260" s="13">
        <v>4</v>
      </c>
      <c r="H260" s="13">
        <v>0</v>
      </c>
      <c r="I260" s="13"/>
      <c r="J260" s="13" t="s">
        <v>2864</v>
      </c>
      <c r="K260" s="13" t="s">
        <v>2865</v>
      </c>
    </row>
    <row r="261" spans="1:11" x14ac:dyDescent="0.3">
      <c r="A261" s="13" t="s">
        <v>1148</v>
      </c>
      <c r="B261" s="13" t="s">
        <v>2866</v>
      </c>
      <c r="C261" s="13" t="s">
        <v>2867</v>
      </c>
      <c r="D261" s="13" t="s">
        <v>2868</v>
      </c>
      <c r="E261" s="13">
        <v>4</v>
      </c>
      <c r="F261" s="13" t="s">
        <v>2869</v>
      </c>
      <c r="G261" s="13">
        <v>6</v>
      </c>
      <c r="H261" s="13">
        <v>0</v>
      </c>
      <c r="I261" s="13"/>
      <c r="J261" s="13" t="s">
        <v>2870</v>
      </c>
      <c r="K261" s="13" t="s">
        <v>2871</v>
      </c>
    </row>
    <row r="262" spans="1:11" x14ac:dyDescent="0.3">
      <c r="A262" s="13" t="s">
        <v>1148</v>
      </c>
      <c r="B262" s="13" t="s">
        <v>2866</v>
      </c>
      <c r="C262" s="13" t="s">
        <v>2867</v>
      </c>
      <c r="D262" s="13" t="s">
        <v>2872</v>
      </c>
      <c r="E262" s="13">
        <v>4</v>
      </c>
      <c r="F262" s="13" t="s">
        <v>2873</v>
      </c>
      <c r="G262" s="13">
        <v>93</v>
      </c>
      <c r="H262" s="13">
        <v>0</v>
      </c>
      <c r="I262" s="13"/>
      <c r="J262" s="13" t="s">
        <v>2874</v>
      </c>
      <c r="K262" s="13" t="s">
        <v>2875</v>
      </c>
    </row>
    <row r="263" spans="1:11" x14ac:dyDescent="0.3">
      <c r="A263" s="13" t="s">
        <v>1148</v>
      </c>
      <c r="B263" s="13" t="s">
        <v>2866</v>
      </c>
      <c r="C263" s="13" t="s">
        <v>2876</v>
      </c>
      <c r="D263" s="13" t="s">
        <v>2877</v>
      </c>
      <c r="E263" s="13">
        <v>4</v>
      </c>
      <c r="F263" s="13" t="s">
        <v>2878</v>
      </c>
      <c r="G263" s="13">
        <v>10</v>
      </c>
      <c r="H263" s="13">
        <v>0</v>
      </c>
      <c r="I263" s="13"/>
      <c r="J263" s="13" t="s">
        <v>2879</v>
      </c>
      <c r="K263" s="13" t="s">
        <v>2880</v>
      </c>
    </row>
    <row r="264" spans="1:11" x14ac:dyDescent="0.3">
      <c r="A264" s="13" t="s">
        <v>1148</v>
      </c>
      <c r="B264" s="13" t="s">
        <v>1172</v>
      </c>
      <c r="C264" s="13" t="s">
        <v>2881</v>
      </c>
      <c r="D264" s="13"/>
      <c r="E264" s="13">
        <v>3</v>
      </c>
      <c r="F264" s="13" t="s">
        <v>2882</v>
      </c>
      <c r="G264" s="13">
        <v>5</v>
      </c>
      <c r="H264" s="13">
        <v>0</v>
      </c>
      <c r="I264" s="13"/>
      <c r="J264" s="13" t="s">
        <v>2883</v>
      </c>
      <c r="K264" s="13" t="s">
        <v>2884</v>
      </c>
    </row>
    <row r="265" spans="1:11" x14ac:dyDescent="0.3">
      <c r="A265" s="13" t="s">
        <v>1148</v>
      </c>
      <c r="B265" s="13" t="s">
        <v>1172</v>
      </c>
      <c r="C265" s="13" t="s">
        <v>2885</v>
      </c>
      <c r="D265" s="13"/>
      <c r="E265" s="13">
        <v>3</v>
      </c>
      <c r="F265" s="13" t="s">
        <v>2886</v>
      </c>
      <c r="G265" s="13">
        <v>69</v>
      </c>
      <c r="H265" s="13">
        <v>0</v>
      </c>
      <c r="I265" s="13"/>
      <c r="J265" s="13" t="s">
        <v>2887</v>
      </c>
      <c r="K265" s="13" t="s">
        <v>2888</v>
      </c>
    </row>
    <row r="266" spans="1:11" x14ac:dyDescent="0.3">
      <c r="A266" s="13" t="s">
        <v>1148</v>
      </c>
      <c r="B266" s="13" t="s">
        <v>1172</v>
      </c>
      <c r="C266" s="13" t="s">
        <v>1173</v>
      </c>
      <c r="D266" s="13"/>
      <c r="E266" s="13">
        <v>3</v>
      </c>
      <c r="F266" s="13" t="s">
        <v>1174</v>
      </c>
      <c r="G266" s="13">
        <v>91</v>
      </c>
      <c r="H266" s="13">
        <v>0</v>
      </c>
      <c r="I266" s="3" t="s">
        <v>1170</v>
      </c>
      <c r="J266" s="13" t="s">
        <v>1171</v>
      </c>
      <c r="K266" s="13" t="s">
        <v>2889</v>
      </c>
    </row>
    <row r="267" spans="1:11" x14ac:dyDescent="0.3">
      <c r="A267" s="13" t="s">
        <v>1148</v>
      </c>
      <c r="B267" s="13" t="s">
        <v>1172</v>
      </c>
      <c r="C267" s="13" t="s">
        <v>2890</v>
      </c>
      <c r="D267" s="13"/>
      <c r="E267" s="13">
        <v>3</v>
      </c>
      <c r="F267" s="13" t="s">
        <v>2891</v>
      </c>
      <c r="G267" s="13">
        <v>40</v>
      </c>
      <c r="H267" s="13">
        <v>0</v>
      </c>
      <c r="I267" s="13"/>
      <c r="J267" s="13" t="s">
        <v>2892</v>
      </c>
      <c r="K267" s="13" t="s">
        <v>2893</v>
      </c>
    </row>
    <row r="268" spans="1:11" x14ac:dyDescent="0.3">
      <c r="A268" s="13" t="s">
        <v>1148</v>
      </c>
      <c r="B268" s="13" t="s">
        <v>1172</v>
      </c>
      <c r="C268" s="13" t="s">
        <v>2894</v>
      </c>
      <c r="D268" s="13"/>
      <c r="E268" s="13">
        <v>3</v>
      </c>
      <c r="F268" s="13" t="s">
        <v>2895</v>
      </c>
      <c r="G268" s="13">
        <v>42</v>
      </c>
      <c r="H268" s="13">
        <v>0</v>
      </c>
      <c r="I268" s="13"/>
      <c r="J268" s="13" t="s">
        <v>2896</v>
      </c>
      <c r="K268" s="13" t="s">
        <v>2897</v>
      </c>
    </row>
    <row r="269" spans="1:11" x14ac:dyDescent="0.3">
      <c r="A269" s="13" t="s">
        <v>1148</v>
      </c>
      <c r="B269" s="13" t="s">
        <v>1172</v>
      </c>
      <c r="C269" s="13" t="s">
        <v>2898</v>
      </c>
      <c r="D269" s="13"/>
      <c r="E269" s="13">
        <v>3</v>
      </c>
      <c r="F269" s="13" t="s">
        <v>2899</v>
      </c>
      <c r="G269" s="13">
        <v>46</v>
      </c>
      <c r="H269" s="13">
        <v>0</v>
      </c>
      <c r="I269" s="13"/>
      <c r="J269" s="13" t="s">
        <v>2900</v>
      </c>
      <c r="K269" s="13" t="s">
        <v>2901</v>
      </c>
    </row>
    <row r="270" spans="1:11" x14ac:dyDescent="0.3">
      <c r="A270" s="13" t="s">
        <v>1148</v>
      </c>
      <c r="B270" s="13" t="s">
        <v>2902</v>
      </c>
      <c r="C270" s="13" t="s">
        <v>2903</v>
      </c>
      <c r="D270" s="13"/>
      <c r="E270" s="13">
        <v>3</v>
      </c>
      <c r="F270" s="13" t="s">
        <v>2904</v>
      </c>
      <c r="G270" s="13">
        <v>5</v>
      </c>
      <c r="H270" s="13">
        <v>0</v>
      </c>
      <c r="I270" s="13"/>
      <c r="J270" s="13" t="s">
        <v>2905</v>
      </c>
      <c r="K270" s="13" t="s">
        <v>2906</v>
      </c>
    </row>
    <row r="271" spans="1:11" x14ac:dyDescent="0.3">
      <c r="A271" s="13" t="s">
        <v>1148</v>
      </c>
      <c r="B271" s="13" t="s">
        <v>2902</v>
      </c>
      <c r="C271" s="13" t="s">
        <v>2907</v>
      </c>
      <c r="D271" s="13"/>
      <c r="E271" s="13">
        <v>3</v>
      </c>
      <c r="F271" s="13" t="s">
        <v>2908</v>
      </c>
      <c r="G271" s="13">
        <v>2</v>
      </c>
      <c r="H271" s="13">
        <v>0</v>
      </c>
      <c r="I271" s="13"/>
      <c r="J271" s="13" t="s">
        <v>2909</v>
      </c>
      <c r="K271" s="13" t="s">
        <v>2910</v>
      </c>
    </row>
    <row r="272" spans="1:11" x14ac:dyDescent="0.3">
      <c r="A272" s="13" t="s">
        <v>1148</v>
      </c>
      <c r="B272" s="13" t="s">
        <v>2902</v>
      </c>
      <c r="C272" s="13" t="s">
        <v>2911</v>
      </c>
      <c r="D272" s="13"/>
      <c r="E272" s="13">
        <v>3</v>
      </c>
      <c r="F272" s="13" t="s">
        <v>2912</v>
      </c>
      <c r="G272" s="13">
        <v>11</v>
      </c>
      <c r="H272" s="13">
        <v>0</v>
      </c>
      <c r="I272" s="13"/>
      <c r="J272" s="13" t="s">
        <v>2913</v>
      </c>
      <c r="K272" s="13" t="s">
        <v>2914</v>
      </c>
    </row>
    <row r="273" spans="1:11" x14ac:dyDescent="0.3">
      <c r="A273" s="13" t="s">
        <v>1148</v>
      </c>
      <c r="B273" s="13" t="s">
        <v>2902</v>
      </c>
      <c r="C273" s="13" t="s">
        <v>2915</v>
      </c>
      <c r="D273" s="13"/>
      <c r="E273" s="13">
        <v>3</v>
      </c>
      <c r="F273" s="13" t="s">
        <v>2916</v>
      </c>
      <c r="G273" s="13">
        <v>11</v>
      </c>
      <c r="H273" s="13">
        <v>0</v>
      </c>
      <c r="I273" s="13"/>
      <c r="J273" s="13" t="s">
        <v>2917</v>
      </c>
      <c r="K273" s="13" t="s">
        <v>2918</v>
      </c>
    </row>
    <row r="274" spans="1:11" x14ac:dyDescent="0.3">
      <c r="A274" s="13" t="s">
        <v>1148</v>
      </c>
      <c r="B274" s="13" t="s">
        <v>2902</v>
      </c>
      <c r="C274" s="13" t="s">
        <v>2919</v>
      </c>
      <c r="D274" s="13"/>
      <c r="E274" s="13">
        <v>3</v>
      </c>
      <c r="F274" s="13" t="s">
        <v>2920</v>
      </c>
      <c r="G274" s="13">
        <v>22</v>
      </c>
      <c r="H274" s="13">
        <v>0</v>
      </c>
      <c r="I274" s="13"/>
      <c r="J274" s="13" t="s">
        <v>2921</v>
      </c>
      <c r="K274" s="13" t="s">
        <v>2922</v>
      </c>
    </row>
    <row r="275" spans="1:11" x14ac:dyDescent="0.3">
      <c r="A275" s="13" t="s">
        <v>1148</v>
      </c>
      <c r="B275" s="13" t="s">
        <v>2902</v>
      </c>
      <c r="C275" s="13" t="s">
        <v>2923</v>
      </c>
      <c r="D275" s="13"/>
      <c r="E275" s="13">
        <v>3</v>
      </c>
      <c r="F275" s="13" t="s">
        <v>2924</v>
      </c>
      <c r="G275" s="13">
        <v>6</v>
      </c>
      <c r="H275" s="13">
        <v>0</v>
      </c>
      <c r="I275" s="13"/>
      <c r="J275" s="13" t="s">
        <v>2925</v>
      </c>
      <c r="K275" s="13" t="s">
        <v>2926</v>
      </c>
    </row>
    <row r="276" spans="1:11" x14ac:dyDescent="0.3">
      <c r="A276" s="13" t="s">
        <v>1148</v>
      </c>
      <c r="B276" s="13" t="s">
        <v>2927</v>
      </c>
      <c r="C276" s="13" t="s">
        <v>2928</v>
      </c>
      <c r="D276" s="13"/>
      <c r="E276" s="13">
        <v>3</v>
      </c>
      <c r="F276" s="13" t="s">
        <v>2929</v>
      </c>
      <c r="G276" s="13">
        <v>6</v>
      </c>
      <c r="H276" s="13">
        <v>0</v>
      </c>
      <c r="I276" s="13"/>
      <c r="J276" s="13" t="s">
        <v>2930</v>
      </c>
      <c r="K276" s="13" t="s">
        <v>2931</v>
      </c>
    </row>
    <row r="277" spans="1:11" x14ac:dyDescent="0.3">
      <c r="A277" s="13" t="s">
        <v>1148</v>
      </c>
      <c r="B277" s="13" t="s">
        <v>2927</v>
      </c>
      <c r="C277" s="13" t="s">
        <v>2932</v>
      </c>
      <c r="D277" s="13"/>
      <c r="E277" s="13">
        <v>3</v>
      </c>
      <c r="F277" s="13" t="s">
        <v>2933</v>
      </c>
      <c r="G277" s="13">
        <v>23</v>
      </c>
      <c r="H277" s="13">
        <v>0</v>
      </c>
      <c r="I277" s="13"/>
      <c r="J277" s="13" t="s">
        <v>2934</v>
      </c>
      <c r="K277" s="13" t="s">
        <v>2935</v>
      </c>
    </row>
    <row r="278" spans="1:11" x14ac:dyDescent="0.3">
      <c r="A278" s="13" t="s">
        <v>1148</v>
      </c>
      <c r="B278" s="13" t="s">
        <v>2927</v>
      </c>
      <c r="C278" s="13" t="s">
        <v>2936</v>
      </c>
      <c r="D278" s="13"/>
      <c r="E278" s="13">
        <v>3</v>
      </c>
      <c r="F278" s="13" t="s">
        <v>2937</v>
      </c>
      <c r="G278" s="13">
        <v>317</v>
      </c>
      <c r="H278" s="13">
        <v>0</v>
      </c>
      <c r="I278" s="13"/>
      <c r="J278" s="13" t="s">
        <v>2938</v>
      </c>
      <c r="K278" s="13" t="s">
        <v>2939</v>
      </c>
    </row>
    <row r="279" spans="1:11" x14ac:dyDescent="0.3">
      <c r="A279" s="13" t="s">
        <v>1148</v>
      </c>
      <c r="B279" s="13" t="s">
        <v>2940</v>
      </c>
      <c r="C279" s="13" t="s">
        <v>2941</v>
      </c>
      <c r="D279" s="13" t="s">
        <v>2942</v>
      </c>
      <c r="E279" s="13">
        <v>4</v>
      </c>
      <c r="F279" s="13" t="s">
        <v>2943</v>
      </c>
      <c r="G279" s="13">
        <v>2</v>
      </c>
      <c r="H279" s="13">
        <v>0</v>
      </c>
      <c r="I279" s="13"/>
      <c r="J279" s="13" t="s">
        <v>2944</v>
      </c>
      <c r="K279" s="13" t="s">
        <v>2945</v>
      </c>
    </row>
    <row r="280" spans="1:11" x14ac:dyDescent="0.3">
      <c r="A280" s="13" t="s">
        <v>1148</v>
      </c>
      <c r="B280" s="13" t="s">
        <v>2940</v>
      </c>
      <c r="C280" s="13" t="s">
        <v>2941</v>
      </c>
      <c r="D280" s="13" t="s">
        <v>2946</v>
      </c>
      <c r="E280" s="13">
        <v>4</v>
      </c>
      <c r="F280" s="13" t="s">
        <v>2947</v>
      </c>
      <c r="G280" s="13">
        <v>1</v>
      </c>
      <c r="H280" s="13">
        <v>0</v>
      </c>
      <c r="I280" s="13"/>
      <c r="J280" s="13" t="s">
        <v>2948</v>
      </c>
      <c r="K280" s="13" t="s">
        <v>2949</v>
      </c>
    </row>
    <row r="281" spans="1:11" x14ac:dyDescent="0.3">
      <c r="A281" s="13" t="s">
        <v>1148</v>
      </c>
      <c r="B281" s="13" t="s">
        <v>2940</v>
      </c>
      <c r="C281" s="13" t="s">
        <v>2941</v>
      </c>
      <c r="D281" s="13" t="s">
        <v>2950</v>
      </c>
      <c r="E281" s="13">
        <v>4</v>
      </c>
      <c r="F281" s="13" t="s">
        <v>2951</v>
      </c>
      <c r="G281" s="13">
        <v>9</v>
      </c>
      <c r="H281" s="13">
        <v>0</v>
      </c>
      <c r="I281" s="13"/>
      <c r="J281" s="13" t="s">
        <v>2952</v>
      </c>
      <c r="K281" s="13" t="s">
        <v>2953</v>
      </c>
    </row>
    <row r="282" spans="1:11" x14ac:dyDescent="0.3">
      <c r="A282" s="13" t="s">
        <v>1148</v>
      </c>
      <c r="B282" s="13" t="s">
        <v>2940</v>
      </c>
      <c r="C282" s="13" t="s">
        <v>2941</v>
      </c>
      <c r="D282" s="13" t="s">
        <v>2954</v>
      </c>
      <c r="E282" s="13">
        <v>4</v>
      </c>
      <c r="F282" s="13" t="s">
        <v>2955</v>
      </c>
      <c r="G282" s="13">
        <v>6</v>
      </c>
      <c r="H282" s="13">
        <v>0</v>
      </c>
      <c r="I282" s="13"/>
      <c r="J282" s="13" t="s">
        <v>2956</v>
      </c>
      <c r="K282" s="13" t="s">
        <v>2957</v>
      </c>
    </row>
    <row r="283" spans="1:11" x14ac:dyDescent="0.3">
      <c r="A283" s="13" t="s">
        <v>1148</v>
      </c>
      <c r="B283" s="13" t="s">
        <v>2958</v>
      </c>
      <c r="C283" s="13" t="s">
        <v>2959</v>
      </c>
      <c r="D283" s="13"/>
      <c r="E283" s="13">
        <v>3</v>
      </c>
      <c r="F283" s="13" t="s">
        <v>2960</v>
      </c>
      <c r="G283" s="13">
        <v>1249</v>
      </c>
      <c r="H283" s="13">
        <v>0</v>
      </c>
      <c r="I283" s="13"/>
      <c r="J283" s="13" t="s">
        <v>2961</v>
      </c>
      <c r="K283" s="13" t="s">
        <v>2962</v>
      </c>
    </row>
    <row r="284" spans="1:11" x14ac:dyDescent="0.3">
      <c r="A284" s="13" t="s">
        <v>1148</v>
      </c>
      <c r="B284" s="13" t="s">
        <v>2958</v>
      </c>
      <c r="C284" s="13" t="s">
        <v>2963</v>
      </c>
      <c r="D284" s="13"/>
      <c r="E284" s="13">
        <v>3</v>
      </c>
      <c r="F284" s="13" t="s">
        <v>2964</v>
      </c>
      <c r="G284" s="13">
        <v>1002</v>
      </c>
      <c r="H284" s="13">
        <v>0</v>
      </c>
      <c r="I284" s="13"/>
      <c r="J284" s="13" t="s">
        <v>2965</v>
      </c>
      <c r="K284" s="13" t="s">
        <v>2966</v>
      </c>
    </row>
    <row r="285" spans="1:11" x14ac:dyDescent="0.3">
      <c r="A285" s="13" t="s">
        <v>1148</v>
      </c>
      <c r="B285" s="13" t="s">
        <v>2958</v>
      </c>
      <c r="C285" s="13" t="s">
        <v>2967</v>
      </c>
      <c r="D285" s="13"/>
      <c r="E285" s="13">
        <v>3</v>
      </c>
      <c r="F285" s="13" t="s">
        <v>2968</v>
      </c>
      <c r="G285" s="13">
        <v>3198</v>
      </c>
      <c r="H285" s="13">
        <v>0</v>
      </c>
      <c r="I285" s="13"/>
      <c r="J285" s="13" t="s">
        <v>2969</v>
      </c>
      <c r="K285" s="13" t="s">
        <v>2970</v>
      </c>
    </row>
    <row r="286" spans="1:11" x14ac:dyDescent="0.3">
      <c r="A286" s="13" t="s">
        <v>1148</v>
      </c>
      <c r="B286" s="13" t="s">
        <v>2971</v>
      </c>
      <c r="C286" s="13"/>
      <c r="D286" s="13"/>
      <c r="E286" s="13">
        <v>2</v>
      </c>
      <c r="F286" s="13" t="s">
        <v>2972</v>
      </c>
      <c r="G286" s="13">
        <v>100</v>
      </c>
      <c r="H286" s="13">
        <v>0</v>
      </c>
      <c r="I286" s="13"/>
      <c r="J286" s="13" t="s">
        <v>2973</v>
      </c>
      <c r="K286" s="13" t="s">
        <v>2974</v>
      </c>
    </row>
    <row r="287" spans="1:11" x14ac:dyDescent="0.3">
      <c r="A287" s="13" t="s">
        <v>1148</v>
      </c>
      <c r="B287" s="13" t="s">
        <v>1149</v>
      </c>
      <c r="C287" s="13" t="s">
        <v>2975</v>
      </c>
      <c r="D287" s="13"/>
      <c r="E287" s="13">
        <v>3</v>
      </c>
      <c r="F287" s="13" t="s">
        <v>2976</v>
      </c>
      <c r="G287" s="13">
        <v>111</v>
      </c>
      <c r="H287" s="13">
        <v>0</v>
      </c>
      <c r="I287" s="13"/>
      <c r="J287" s="13" t="s">
        <v>2977</v>
      </c>
      <c r="K287" s="13" t="s">
        <v>2978</v>
      </c>
    </row>
    <row r="288" spans="1:11" x14ac:dyDescent="0.3">
      <c r="A288" s="13" t="s">
        <v>1148</v>
      </c>
      <c r="B288" s="13" t="s">
        <v>1149</v>
      </c>
      <c r="C288" s="13" t="s">
        <v>1150</v>
      </c>
      <c r="D288" s="13"/>
      <c r="E288" s="13">
        <v>3</v>
      </c>
      <c r="F288" s="13" t="s">
        <v>1151</v>
      </c>
      <c r="G288" s="13">
        <v>639</v>
      </c>
      <c r="H288" s="13">
        <v>0</v>
      </c>
      <c r="I288" s="3" t="s">
        <v>1146</v>
      </c>
      <c r="J288" s="13" t="s">
        <v>1147</v>
      </c>
      <c r="K288" s="13" t="s">
        <v>2979</v>
      </c>
    </row>
    <row r="289" spans="1:11" x14ac:dyDescent="0.3">
      <c r="A289" s="13" t="s">
        <v>1148</v>
      </c>
      <c r="B289" s="13" t="s">
        <v>2980</v>
      </c>
      <c r="C289" s="13" t="s">
        <v>2981</v>
      </c>
      <c r="D289" s="13" t="s">
        <v>2982</v>
      </c>
      <c r="E289" s="13">
        <v>4</v>
      </c>
      <c r="F289" s="13" t="s">
        <v>2983</v>
      </c>
      <c r="G289" s="13">
        <v>47</v>
      </c>
      <c r="H289" s="13">
        <v>0</v>
      </c>
      <c r="I289" s="13"/>
      <c r="J289" s="13" t="s">
        <v>2984</v>
      </c>
      <c r="K289" s="13" t="s">
        <v>2985</v>
      </c>
    </row>
    <row r="290" spans="1:11" x14ac:dyDescent="0.3">
      <c r="A290" s="13" t="s">
        <v>1148</v>
      </c>
      <c r="B290" s="13" t="s">
        <v>2980</v>
      </c>
      <c r="C290" s="13" t="s">
        <v>2981</v>
      </c>
      <c r="D290" s="13" t="s">
        <v>2986</v>
      </c>
      <c r="E290" s="13">
        <v>4</v>
      </c>
      <c r="F290" s="13" t="s">
        <v>2987</v>
      </c>
      <c r="G290" s="13">
        <v>8</v>
      </c>
      <c r="H290" s="13">
        <v>0</v>
      </c>
      <c r="I290" s="13"/>
      <c r="J290" s="13" t="s">
        <v>2988</v>
      </c>
      <c r="K290" s="13" t="s">
        <v>2989</v>
      </c>
    </row>
    <row r="291" spans="1:11" x14ac:dyDescent="0.3">
      <c r="A291" s="13" t="s">
        <v>1148</v>
      </c>
      <c r="B291" s="13" t="s">
        <v>2980</v>
      </c>
      <c r="C291" s="13" t="s">
        <v>2981</v>
      </c>
      <c r="D291" s="13" t="s">
        <v>2990</v>
      </c>
      <c r="E291" s="13">
        <v>4</v>
      </c>
      <c r="F291" s="13" t="s">
        <v>2991</v>
      </c>
      <c r="G291" s="13">
        <v>5</v>
      </c>
      <c r="H291" s="13">
        <v>0</v>
      </c>
      <c r="I291" s="13"/>
      <c r="J291" s="13" t="s">
        <v>2992</v>
      </c>
      <c r="K291" s="13" t="s">
        <v>2993</v>
      </c>
    </row>
    <row r="292" spans="1:11" x14ac:dyDescent="0.3">
      <c r="A292" s="13" t="s">
        <v>1148</v>
      </c>
      <c r="B292" s="13" t="s">
        <v>2980</v>
      </c>
      <c r="C292" s="13" t="s">
        <v>2994</v>
      </c>
      <c r="D292" s="13" t="s">
        <v>2995</v>
      </c>
      <c r="E292" s="13">
        <v>4</v>
      </c>
      <c r="F292" s="13" t="s">
        <v>2996</v>
      </c>
      <c r="G292" s="13">
        <v>8</v>
      </c>
      <c r="H292" s="13">
        <v>0</v>
      </c>
      <c r="I292" s="13"/>
      <c r="J292" s="13" t="s">
        <v>2997</v>
      </c>
      <c r="K292" s="13" t="s">
        <v>2998</v>
      </c>
    </row>
    <row r="293" spans="1:11" x14ac:dyDescent="0.3">
      <c r="A293" s="13" t="s">
        <v>1148</v>
      </c>
      <c r="B293" s="13" t="s">
        <v>2980</v>
      </c>
      <c r="C293" s="13" t="s">
        <v>2994</v>
      </c>
      <c r="D293" s="13" t="s">
        <v>2999</v>
      </c>
      <c r="E293" s="13">
        <v>4</v>
      </c>
      <c r="F293" s="13" t="s">
        <v>3000</v>
      </c>
      <c r="G293" s="13">
        <v>1</v>
      </c>
      <c r="H293" s="13">
        <v>0</v>
      </c>
      <c r="I293" s="13"/>
      <c r="J293" s="13" t="s">
        <v>3001</v>
      </c>
      <c r="K293" s="13" t="s">
        <v>3002</v>
      </c>
    </row>
    <row r="294" spans="1:11" x14ac:dyDescent="0.3">
      <c r="A294" s="13" t="s">
        <v>1148</v>
      </c>
      <c r="B294" s="13" t="s">
        <v>2980</v>
      </c>
      <c r="C294" s="13" t="s">
        <v>2994</v>
      </c>
      <c r="D294" s="13" t="s">
        <v>3003</v>
      </c>
      <c r="E294" s="13">
        <v>4</v>
      </c>
      <c r="F294" s="13" t="s">
        <v>3004</v>
      </c>
      <c r="G294" s="13">
        <v>13</v>
      </c>
      <c r="H294" s="13">
        <v>0</v>
      </c>
      <c r="I294" s="13"/>
      <c r="J294" s="13" t="s">
        <v>3005</v>
      </c>
      <c r="K294" s="13" t="s">
        <v>3006</v>
      </c>
    </row>
    <row r="295" spans="1:11" x14ac:dyDescent="0.3">
      <c r="A295" s="13" t="s">
        <v>1148</v>
      </c>
      <c r="B295" s="13" t="s">
        <v>2980</v>
      </c>
      <c r="C295" s="13" t="s">
        <v>3007</v>
      </c>
      <c r="D295" s="13" t="s">
        <v>3008</v>
      </c>
      <c r="E295" s="13">
        <v>4</v>
      </c>
      <c r="F295" s="13" t="s">
        <v>3009</v>
      </c>
      <c r="G295" s="13">
        <v>3</v>
      </c>
      <c r="H295" s="13">
        <v>0</v>
      </c>
      <c r="I295" s="13"/>
      <c r="J295" s="13" t="s">
        <v>3010</v>
      </c>
      <c r="K295" s="13" t="s">
        <v>3011</v>
      </c>
    </row>
    <row r="296" spans="1:11" x14ac:dyDescent="0.3">
      <c r="A296" s="13" t="s">
        <v>1148</v>
      </c>
      <c r="B296" s="13" t="s">
        <v>2980</v>
      </c>
      <c r="C296" s="13" t="s">
        <v>3007</v>
      </c>
      <c r="D296" s="13" t="s">
        <v>3012</v>
      </c>
      <c r="E296" s="13">
        <v>4</v>
      </c>
      <c r="F296" s="13" t="s">
        <v>3013</v>
      </c>
      <c r="G296" s="13">
        <v>14</v>
      </c>
      <c r="H296" s="13">
        <v>0</v>
      </c>
      <c r="I296" s="13"/>
      <c r="J296" s="13" t="s">
        <v>3014</v>
      </c>
      <c r="K296" s="13" t="s">
        <v>3015</v>
      </c>
    </row>
    <row r="297" spans="1:11" x14ac:dyDescent="0.3">
      <c r="A297" s="13" t="s">
        <v>1148</v>
      </c>
      <c r="B297" s="13" t="s">
        <v>3016</v>
      </c>
      <c r="C297" s="13" t="s">
        <v>3017</v>
      </c>
      <c r="D297" s="13" t="s">
        <v>3018</v>
      </c>
      <c r="E297" s="13">
        <v>4</v>
      </c>
      <c r="F297" s="13" t="s">
        <v>3019</v>
      </c>
      <c r="G297" s="13">
        <v>85</v>
      </c>
      <c r="H297" s="13">
        <v>0</v>
      </c>
      <c r="I297" s="13"/>
      <c r="J297" s="13" t="s">
        <v>3020</v>
      </c>
      <c r="K297" s="13" t="s">
        <v>3021</v>
      </c>
    </row>
    <row r="298" spans="1:11" x14ac:dyDescent="0.3">
      <c r="A298" s="13" t="s">
        <v>1148</v>
      </c>
      <c r="B298" s="13" t="s">
        <v>3016</v>
      </c>
      <c r="C298" s="13" t="s">
        <v>3017</v>
      </c>
      <c r="D298" s="13" t="s">
        <v>3022</v>
      </c>
      <c r="E298" s="13">
        <v>4</v>
      </c>
      <c r="F298" s="13" t="s">
        <v>3023</v>
      </c>
      <c r="G298" s="13">
        <v>7</v>
      </c>
      <c r="H298" s="13">
        <v>0</v>
      </c>
      <c r="I298" s="13"/>
      <c r="J298" s="13" t="s">
        <v>3024</v>
      </c>
      <c r="K298" s="13" t="s">
        <v>3025</v>
      </c>
    </row>
    <row r="299" spans="1:11" x14ac:dyDescent="0.3">
      <c r="A299" s="13" t="s">
        <v>1148</v>
      </c>
      <c r="B299" s="13" t="s">
        <v>3016</v>
      </c>
      <c r="C299" s="13" t="s">
        <v>3017</v>
      </c>
      <c r="D299" s="13" t="s">
        <v>3026</v>
      </c>
      <c r="E299" s="13">
        <v>4</v>
      </c>
      <c r="F299" s="13" t="s">
        <v>3027</v>
      </c>
      <c r="G299" s="13">
        <v>8</v>
      </c>
      <c r="H299" s="13">
        <v>0</v>
      </c>
      <c r="I299" s="13"/>
      <c r="J299" s="13" t="s">
        <v>3028</v>
      </c>
      <c r="K299" s="13" t="s">
        <v>3029</v>
      </c>
    </row>
    <row r="300" spans="1:11" x14ac:dyDescent="0.3">
      <c r="A300" s="13" t="s">
        <v>1148</v>
      </c>
      <c r="B300" s="13" t="s">
        <v>3016</v>
      </c>
      <c r="C300" s="13" t="s">
        <v>3017</v>
      </c>
      <c r="D300" s="13" t="s">
        <v>3030</v>
      </c>
      <c r="E300" s="13">
        <v>4</v>
      </c>
      <c r="F300" s="13" t="s">
        <v>3031</v>
      </c>
      <c r="G300" s="13">
        <v>2</v>
      </c>
      <c r="H300" s="13">
        <v>0</v>
      </c>
      <c r="I300" s="13"/>
      <c r="J300" s="13" t="s">
        <v>3032</v>
      </c>
      <c r="K300" s="13" t="s">
        <v>3033</v>
      </c>
    </row>
    <row r="301" spans="1:11" x14ac:dyDescent="0.3">
      <c r="A301" s="13" t="s">
        <v>1148</v>
      </c>
      <c r="B301" s="13" t="s">
        <v>3016</v>
      </c>
      <c r="C301" s="13" t="s">
        <v>3017</v>
      </c>
      <c r="D301" s="13" t="s">
        <v>3034</v>
      </c>
      <c r="E301" s="13">
        <v>4</v>
      </c>
      <c r="F301" s="13" t="s">
        <v>3035</v>
      </c>
      <c r="G301" s="13">
        <v>21</v>
      </c>
      <c r="H301" s="13">
        <v>0</v>
      </c>
      <c r="I301" s="13"/>
      <c r="J301" s="13" t="s">
        <v>3036</v>
      </c>
      <c r="K301" s="13" t="s">
        <v>3037</v>
      </c>
    </row>
    <row r="302" spans="1:11" x14ac:dyDescent="0.3">
      <c r="A302" s="13" t="s">
        <v>1148</v>
      </c>
      <c r="B302" s="13" t="s">
        <v>3016</v>
      </c>
      <c r="C302" s="13" t="s">
        <v>3017</v>
      </c>
      <c r="D302" s="13" t="s">
        <v>3038</v>
      </c>
      <c r="E302" s="13">
        <v>4</v>
      </c>
      <c r="F302" s="13" t="s">
        <v>3039</v>
      </c>
      <c r="G302" s="13">
        <v>4</v>
      </c>
      <c r="H302" s="13">
        <v>0</v>
      </c>
      <c r="I302" s="13"/>
      <c r="J302" s="13" t="s">
        <v>3040</v>
      </c>
      <c r="K302" s="13" t="s">
        <v>3041</v>
      </c>
    </row>
    <row r="303" spans="1:11" x14ac:dyDescent="0.3">
      <c r="A303" s="13" t="s">
        <v>1148</v>
      </c>
      <c r="B303" s="13" t="s">
        <v>3016</v>
      </c>
      <c r="C303" s="13" t="s">
        <v>3017</v>
      </c>
      <c r="D303" s="13" t="s">
        <v>3042</v>
      </c>
      <c r="E303" s="13">
        <v>4</v>
      </c>
      <c r="F303" s="13" t="s">
        <v>3043</v>
      </c>
      <c r="G303" s="13">
        <v>39</v>
      </c>
      <c r="H303" s="13">
        <v>0</v>
      </c>
      <c r="I303" s="13"/>
      <c r="J303" s="13" t="s">
        <v>3044</v>
      </c>
      <c r="K303" s="13" t="s">
        <v>3045</v>
      </c>
    </row>
    <row r="304" spans="1:11" x14ac:dyDescent="0.3">
      <c r="A304" s="13" t="s">
        <v>1148</v>
      </c>
      <c r="B304" s="13" t="s">
        <v>3016</v>
      </c>
      <c r="C304" s="13" t="s">
        <v>3017</v>
      </c>
      <c r="D304" s="13" t="s">
        <v>3046</v>
      </c>
      <c r="E304" s="13">
        <v>4</v>
      </c>
      <c r="F304" s="13" t="s">
        <v>3047</v>
      </c>
      <c r="G304" s="13">
        <v>42</v>
      </c>
      <c r="H304" s="13">
        <v>0</v>
      </c>
      <c r="I304" s="13"/>
      <c r="J304" s="13" t="s">
        <v>3048</v>
      </c>
      <c r="K304" s="13" t="s">
        <v>3049</v>
      </c>
    </row>
    <row r="305" spans="1:11" x14ac:dyDescent="0.3">
      <c r="A305" s="13" t="s">
        <v>1148</v>
      </c>
      <c r="B305" s="13" t="s">
        <v>3016</v>
      </c>
      <c r="C305" s="13" t="s">
        <v>3017</v>
      </c>
      <c r="D305" s="13" t="s">
        <v>3050</v>
      </c>
      <c r="E305" s="13">
        <v>4</v>
      </c>
      <c r="F305" s="13" t="s">
        <v>3051</v>
      </c>
      <c r="G305" s="13">
        <v>27</v>
      </c>
      <c r="H305" s="13">
        <v>0</v>
      </c>
      <c r="I305" s="13"/>
      <c r="J305" s="13" t="s">
        <v>3052</v>
      </c>
      <c r="K305" s="13" t="s">
        <v>3053</v>
      </c>
    </row>
    <row r="306" spans="1:11" x14ac:dyDescent="0.3">
      <c r="A306" s="13" t="s">
        <v>1148</v>
      </c>
      <c r="B306" s="13" t="s">
        <v>3016</v>
      </c>
      <c r="C306" s="13" t="s">
        <v>3017</v>
      </c>
      <c r="D306" s="13" t="s">
        <v>3054</v>
      </c>
      <c r="E306" s="13">
        <v>4</v>
      </c>
      <c r="F306" s="13" t="s">
        <v>3055</v>
      </c>
      <c r="G306" s="13">
        <v>17</v>
      </c>
      <c r="H306" s="13">
        <v>0</v>
      </c>
      <c r="I306" s="13"/>
      <c r="J306" s="13" t="s">
        <v>3056</v>
      </c>
      <c r="K306" s="13" t="s">
        <v>3057</v>
      </c>
    </row>
    <row r="307" spans="1:11" x14ac:dyDescent="0.3">
      <c r="A307" s="13" t="s">
        <v>1148</v>
      </c>
      <c r="B307" s="13" t="s">
        <v>3016</v>
      </c>
      <c r="C307" s="13" t="s">
        <v>3017</v>
      </c>
      <c r="D307" s="13" t="s">
        <v>3058</v>
      </c>
      <c r="E307" s="13">
        <v>4</v>
      </c>
      <c r="F307" s="13" t="s">
        <v>3059</v>
      </c>
      <c r="G307" s="13">
        <v>27</v>
      </c>
      <c r="H307" s="13">
        <v>0</v>
      </c>
      <c r="I307" s="13"/>
      <c r="J307" s="13" t="s">
        <v>3060</v>
      </c>
      <c r="K307" s="13" t="s">
        <v>3061</v>
      </c>
    </row>
    <row r="308" spans="1:11" x14ac:dyDescent="0.3">
      <c r="A308" s="13" t="s">
        <v>1148</v>
      </c>
      <c r="B308" s="13" t="s">
        <v>3016</v>
      </c>
      <c r="C308" s="13" t="s">
        <v>3062</v>
      </c>
      <c r="D308" s="13" t="s">
        <v>3063</v>
      </c>
      <c r="E308" s="13">
        <v>4</v>
      </c>
      <c r="F308" s="13" t="s">
        <v>3064</v>
      </c>
      <c r="G308" s="13">
        <v>13</v>
      </c>
      <c r="H308" s="13">
        <v>0</v>
      </c>
      <c r="I308" s="13"/>
      <c r="J308" s="13" t="s">
        <v>3065</v>
      </c>
      <c r="K308" s="13" t="s">
        <v>3066</v>
      </c>
    </row>
    <row r="309" spans="1:11" x14ac:dyDescent="0.3">
      <c r="A309" s="13" t="s">
        <v>1148</v>
      </c>
      <c r="B309" s="13" t="s">
        <v>3016</v>
      </c>
      <c r="C309" s="13" t="s">
        <v>3062</v>
      </c>
      <c r="D309" s="13" t="s">
        <v>3067</v>
      </c>
      <c r="E309" s="13">
        <v>4</v>
      </c>
      <c r="F309" s="13" t="s">
        <v>3068</v>
      </c>
      <c r="G309" s="13">
        <v>25</v>
      </c>
      <c r="H309" s="13">
        <v>0</v>
      </c>
      <c r="I309" s="13"/>
      <c r="J309" s="13" t="s">
        <v>3069</v>
      </c>
      <c r="K309" s="13" t="s">
        <v>3070</v>
      </c>
    </row>
    <row r="310" spans="1:11" x14ac:dyDescent="0.3">
      <c r="A310" s="13" t="s">
        <v>1148</v>
      </c>
      <c r="B310" s="13" t="s">
        <v>3016</v>
      </c>
      <c r="C310" s="13" t="s">
        <v>3062</v>
      </c>
      <c r="D310" s="13" t="s">
        <v>3071</v>
      </c>
      <c r="E310" s="13">
        <v>4</v>
      </c>
      <c r="F310" s="13" t="s">
        <v>3072</v>
      </c>
      <c r="G310" s="13">
        <v>7</v>
      </c>
      <c r="H310" s="13">
        <v>0</v>
      </c>
      <c r="I310" s="13"/>
      <c r="J310" s="13" t="s">
        <v>3073</v>
      </c>
      <c r="K310" s="13" t="s">
        <v>3074</v>
      </c>
    </row>
    <row r="311" spans="1:11" x14ac:dyDescent="0.3">
      <c r="A311" s="13" t="s">
        <v>1148</v>
      </c>
      <c r="B311" s="13" t="s">
        <v>3016</v>
      </c>
      <c r="C311" s="13" t="s">
        <v>3062</v>
      </c>
      <c r="D311" s="13" t="s">
        <v>3075</v>
      </c>
      <c r="E311" s="13">
        <v>4</v>
      </c>
      <c r="F311" s="13" t="s">
        <v>3076</v>
      </c>
      <c r="G311" s="13">
        <v>1</v>
      </c>
      <c r="H311" s="13">
        <v>0</v>
      </c>
      <c r="I311" s="13"/>
      <c r="J311" s="13" t="s">
        <v>3077</v>
      </c>
      <c r="K311" s="13" t="s">
        <v>3078</v>
      </c>
    </row>
    <row r="312" spans="1:11" x14ac:dyDescent="0.3">
      <c r="A312" s="13" t="s">
        <v>1148</v>
      </c>
      <c r="B312" s="13" t="s">
        <v>3016</v>
      </c>
      <c r="C312" s="13" t="s">
        <v>3062</v>
      </c>
      <c r="D312" s="13" t="s">
        <v>3079</v>
      </c>
      <c r="E312" s="13">
        <v>4</v>
      </c>
      <c r="F312" s="13" t="s">
        <v>3080</v>
      </c>
      <c r="G312" s="13">
        <v>41</v>
      </c>
      <c r="H312" s="13">
        <v>0</v>
      </c>
      <c r="I312" s="13"/>
      <c r="J312" s="13" t="s">
        <v>3081</v>
      </c>
      <c r="K312" s="13" t="s">
        <v>3082</v>
      </c>
    </row>
    <row r="313" spans="1:11" x14ac:dyDescent="0.3">
      <c r="A313" s="13" t="s">
        <v>1148</v>
      </c>
      <c r="B313" s="13" t="s">
        <v>3016</v>
      </c>
      <c r="C313" s="13" t="s">
        <v>3083</v>
      </c>
      <c r="D313" s="13" t="s">
        <v>3084</v>
      </c>
      <c r="E313" s="13">
        <v>4</v>
      </c>
      <c r="F313" s="13" t="s">
        <v>3085</v>
      </c>
      <c r="G313" s="13">
        <v>10</v>
      </c>
      <c r="H313" s="13">
        <v>0</v>
      </c>
      <c r="I313" s="13"/>
      <c r="J313" s="13" t="s">
        <v>3086</v>
      </c>
      <c r="K313" s="13" t="s">
        <v>3087</v>
      </c>
    </row>
    <row r="314" spans="1:11" x14ac:dyDescent="0.3">
      <c r="A314" s="13" t="s">
        <v>1148</v>
      </c>
      <c r="B314" s="13" t="s">
        <v>3016</v>
      </c>
      <c r="C314" s="13" t="s">
        <v>3083</v>
      </c>
      <c r="D314" s="13" t="s">
        <v>3088</v>
      </c>
      <c r="E314" s="13">
        <v>4</v>
      </c>
      <c r="F314" s="13" t="s">
        <v>3089</v>
      </c>
      <c r="G314" s="13">
        <v>17</v>
      </c>
      <c r="H314" s="13">
        <v>0</v>
      </c>
      <c r="I314" s="13"/>
      <c r="J314" s="13" t="s">
        <v>3090</v>
      </c>
      <c r="K314" s="13" t="s">
        <v>3091</v>
      </c>
    </row>
    <row r="315" spans="1:11" x14ac:dyDescent="0.3">
      <c r="A315" s="13" t="s">
        <v>1148</v>
      </c>
      <c r="B315" s="13" t="s">
        <v>3016</v>
      </c>
      <c r="C315" s="13" t="s">
        <v>3083</v>
      </c>
      <c r="D315" s="13" t="s">
        <v>3092</v>
      </c>
      <c r="E315" s="13">
        <v>4</v>
      </c>
      <c r="F315" s="13" t="s">
        <v>3093</v>
      </c>
      <c r="G315" s="13">
        <v>1</v>
      </c>
      <c r="H315" s="13">
        <v>0</v>
      </c>
      <c r="I315" s="13"/>
      <c r="J315" s="13" t="s">
        <v>3094</v>
      </c>
      <c r="K315" s="13" t="s">
        <v>3095</v>
      </c>
    </row>
    <row r="316" spans="1:11" x14ac:dyDescent="0.3">
      <c r="A316" s="13" t="s">
        <v>1148</v>
      </c>
      <c r="B316" s="13" t="s">
        <v>3016</v>
      </c>
      <c r="C316" s="13" t="s">
        <v>3083</v>
      </c>
      <c r="D316" s="13" t="s">
        <v>3096</v>
      </c>
      <c r="E316" s="13">
        <v>4</v>
      </c>
      <c r="F316" s="13" t="s">
        <v>3097</v>
      </c>
      <c r="G316" s="13">
        <v>9</v>
      </c>
      <c r="H316" s="13">
        <v>0</v>
      </c>
      <c r="I316" s="13"/>
      <c r="J316" s="13" t="s">
        <v>3098</v>
      </c>
      <c r="K316" s="13" t="s">
        <v>3099</v>
      </c>
    </row>
    <row r="317" spans="1:11" x14ac:dyDescent="0.3">
      <c r="A317" s="13" t="s">
        <v>1148</v>
      </c>
      <c r="B317" s="13" t="s">
        <v>3016</v>
      </c>
      <c r="C317" s="13" t="s">
        <v>3083</v>
      </c>
      <c r="D317" s="13" t="s">
        <v>3100</v>
      </c>
      <c r="E317" s="13">
        <v>4</v>
      </c>
      <c r="F317" s="13" t="s">
        <v>3101</v>
      </c>
      <c r="G317" s="13">
        <v>1</v>
      </c>
      <c r="H317" s="13">
        <v>0</v>
      </c>
      <c r="I317" s="13"/>
      <c r="J317" s="13" t="s">
        <v>3102</v>
      </c>
      <c r="K317" s="13" t="s">
        <v>3103</v>
      </c>
    </row>
    <row r="318" spans="1:11" x14ac:dyDescent="0.3">
      <c r="A318" s="13" t="s">
        <v>1148</v>
      </c>
      <c r="B318" s="13" t="s">
        <v>3016</v>
      </c>
      <c r="C318" s="13" t="s">
        <v>3104</v>
      </c>
      <c r="D318" s="13" t="s">
        <v>3105</v>
      </c>
      <c r="E318" s="13">
        <v>4</v>
      </c>
      <c r="F318" s="13" t="s">
        <v>3106</v>
      </c>
      <c r="G318" s="13">
        <v>22</v>
      </c>
      <c r="H318" s="13">
        <v>0</v>
      </c>
      <c r="I318" s="13"/>
      <c r="J318" s="13" t="s">
        <v>3107</v>
      </c>
      <c r="K318" s="13" t="s">
        <v>3108</v>
      </c>
    </row>
    <row r="319" spans="1:11" x14ac:dyDescent="0.3">
      <c r="A319" s="13" t="s">
        <v>1148</v>
      </c>
      <c r="B319" s="13" t="s">
        <v>3016</v>
      </c>
      <c r="C319" s="13" t="s">
        <v>3104</v>
      </c>
      <c r="D319" s="13" t="s">
        <v>3109</v>
      </c>
      <c r="E319" s="13">
        <v>4</v>
      </c>
      <c r="F319" s="13" t="s">
        <v>3110</v>
      </c>
      <c r="G319" s="13">
        <v>10</v>
      </c>
      <c r="H319" s="13">
        <v>0</v>
      </c>
      <c r="I319" s="13"/>
      <c r="J319" s="13" t="s">
        <v>3111</v>
      </c>
      <c r="K319" s="13" t="s">
        <v>3112</v>
      </c>
    </row>
    <row r="320" spans="1:11" x14ac:dyDescent="0.3">
      <c r="A320" s="13" t="s">
        <v>1148</v>
      </c>
      <c r="B320" s="13" t="s">
        <v>3016</v>
      </c>
      <c r="C320" s="13" t="s">
        <v>3104</v>
      </c>
      <c r="D320" s="13" t="s">
        <v>3113</v>
      </c>
      <c r="E320" s="13">
        <v>4</v>
      </c>
      <c r="F320" s="13" t="s">
        <v>3114</v>
      </c>
      <c r="G320" s="13">
        <v>4</v>
      </c>
      <c r="H320" s="13">
        <v>0</v>
      </c>
      <c r="I320" s="13"/>
      <c r="J320" s="13" t="s">
        <v>3115</v>
      </c>
      <c r="K320" s="13" t="s">
        <v>3116</v>
      </c>
    </row>
    <row r="321" spans="1:11" x14ac:dyDescent="0.3">
      <c r="A321" s="13" t="s">
        <v>1148</v>
      </c>
      <c r="B321" s="13" t="s">
        <v>3117</v>
      </c>
      <c r="C321" s="13" t="s">
        <v>3118</v>
      </c>
      <c r="D321" s="13" t="s">
        <v>3119</v>
      </c>
      <c r="E321" s="13">
        <v>4</v>
      </c>
      <c r="F321" s="13" t="s">
        <v>3120</v>
      </c>
      <c r="G321" s="13">
        <v>162</v>
      </c>
      <c r="H321" s="13">
        <v>0</v>
      </c>
      <c r="I321" s="13"/>
      <c r="J321" s="13" t="s">
        <v>3121</v>
      </c>
      <c r="K321" s="13" t="s">
        <v>3122</v>
      </c>
    </row>
    <row r="322" spans="1:11" x14ac:dyDescent="0.3">
      <c r="A322" s="13" t="s">
        <v>1148</v>
      </c>
      <c r="B322" s="13" t="s">
        <v>3117</v>
      </c>
      <c r="C322" s="13" t="s">
        <v>3123</v>
      </c>
      <c r="D322" s="13" t="s">
        <v>3124</v>
      </c>
      <c r="E322" s="13">
        <v>4</v>
      </c>
      <c r="F322" s="13" t="s">
        <v>3125</v>
      </c>
      <c r="G322" s="13">
        <v>1</v>
      </c>
      <c r="H322" s="13">
        <v>0</v>
      </c>
      <c r="I322" s="13"/>
      <c r="J322" s="13" t="s">
        <v>3126</v>
      </c>
      <c r="K322" s="13" t="s">
        <v>3127</v>
      </c>
    </row>
    <row r="323" spans="1:11" x14ac:dyDescent="0.3">
      <c r="A323" s="13" t="s">
        <v>1148</v>
      </c>
      <c r="B323" s="13" t="s">
        <v>3117</v>
      </c>
      <c r="C323" s="13" t="s">
        <v>3123</v>
      </c>
      <c r="D323" s="13" t="s">
        <v>3128</v>
      </c>
      <c r="E323" s="13">
        <v>4</v>
      </c>
      <c r="F323" s="13" t="s">
        <v>3129</v>
      </c>
      <c r="G323" s="13">
        <v>1</v>
      </c>
      <c r="H323" s="13">
        <v>0</v>
      </c>
      <c r="I323" s="13"/>
      <c r="J323" s="13" t="s">
        <v>3130</v>
      </c>
      <c r="K323" s="13" t="s">
        <v>3131</v>
      </c>
    </row>
    <row r="324" spans="1:11" x14ac:dyDescent="0.3">
      <c r="A324" s="13" t="s">
        <v>1148</v>
      </c>
      <c r="B324" s="13" t="s">
        <v>3117</v>
      </c>
      <c r="C324" s="13" t="s">
        <v>3123</v>
      </c>
      <c r="D324" s="13" t="s">
        <v>3132</v>
      </c>
      <c r="E324" s="13">
        <v>4</v>
      </c>
      <c r="F324" s="13" t="s">
        <v>3133</v>
      </c>
      <c r="G324" s="13">
        <v>11</v>
      </c>
      <c r="H324" s="13">
        <v>0</v>
      </c>
      <c r="I324" s="13"/>
      <c r="J324" s="13" t="s">
        <v>3134</v>
      </c>
      <c r="K324" s="13" t="s">
        <v>3135</v>
      </c>
    </row>
    <row r="325" spans="1:11" x14ac:dyDescent="0.3">
      <c r="A325" s="13" t="s">
        <v>1148</v>
      </c>
      <c r="B325" s="13" t="s">
        <v>3117</v>
      </c>
      <c r="C325" s="13" t="s">
        <v>3136</v>
      </c>
      <c r="D325" s="13" t="s">
        <v>3137</v>
      </c>
      <c r="E325" s="13">
        <v>4</v>
      </c>
      <c r="F325" s="13" t="s">
        <v>3138</v>
      </c>
      <c r="G325" s="13">
        <v>6</v>
      </c>
      <c r="H325" s="13">
        <v>0</v>
      </c>
      <c r="I325" s="13"/>
      <c r="J325" s="13" t="s">
        <v>3139</v>
      </c>
      <c r="K325" s="13" t="s">
        <v>3140</v>
      </c>
    </row>
    <row r="326" spans="1:11" x14ac:dyDescent="0.3">
      <c r="A326" s="13" t="s">
        <v>1148</v>
      </c>
      <c r="B326" s="13" t="s">
        <v>3117</v>
      </c>
      <c r="C326" s="13" t="s">
        <v>3136</v>
      </c>
      <c r="D326" s="13" t="s">
        <v>3141</v>
      </c>
      <c r="E326" s="13">
        <v>4</v>
      </c>
      <c r="F326" s="13" t="s">
        <v>3142</v>
      </c>
      <c r="G326" s="13">
        <v>3</v>
      </c>
      <c r="H326" s="13">
        <v>0</v>
      </c>
      <c r="I326" s="13"/>
      <c r="J326" s="13" t="s">
        <v>3143</v>
      </c>
      <c r="K326" s="13" t="s">
        <v>3144</v>
      </c>
    </row>
    <row r="327" spans="1:11" x14ac:dyDescent="0.3">
      <c r="A327" s="13" t="s">
        <v>1148</v>
      </c>
      <c r="B327" s="13" t="s">
        <v>3117</v>
      </c>
      <c r="C327" s="13" t="s">
        <v>3136</v>
      </c>
      <c r="D327" s="13" t="s">
        <v>3145</v>
      </c>
      <c r="E327" s="13">
        <v>4</v>
      </c>
      <c r="F327" s="13" t="s">
        <v>3146</v>
      </c>
      <c r="G327" s="13">
        <v>23</v>
      </c>
      <c r="H327" s="13">
        <v>0</v>
      </c>
      <c r="I327" s="13"/>
      <c r="J327" s="13" t="s">
        <v>3147</v>
      </c>
      <c r="K327" s="13" t="s">
        <v>3148</v>
      </c>
    </row>
    <row r="328" spans="1:11" x14ac:dyDescent="0.3">
      <c r="A328" s="13" t="s">
        <v>1148</v>
      </c>
      <c r="B328" s="13" t="s">
        <v>3117</v>
      </c>
      <c r="C328" s="13" t="s">
        <v>3136</v>
      </c>
      <c r="D328" s="13" t="s">
        <v>3149</v>
      </c>
      <c r="E328" s="13">
        <v>4</v>
      </c>
      <c r="F328" s="13" t="s">
        <v>3150</v>
      </c>
      <c r="G328" s="13">
        <v>4</v>
      </c>
      <c r="H328" s="13">
        <v>0</v>
      </c>
      <c r="I328" s="13"/>
      <c r="J328" s="13" t="s">
        <v>3151</v>
      </c>
      <c r="K328" s="13" t="s">
        <v>3152</v>
      </c>
    </row>
    <row r="329" spans="1:11" x14ac:dyDescent="0.3">
      <c r="A329" s="13" t="s">
        <v>1148</v>
      </c>
      <c r="B329" s="13" t="s">
        <v>3117</v>
      </c>
      <c r="C329" s="13" t="s">
        <v>3153</v>
      </c>
      <c r="D329" s="13"/>
      <c r="E329" s="13">
        <v>3</v>
      </c>
      <c r="F329" s="13" t="s">
        <v>3154</v>
      </c>
      <c r="G329" s="13">
        <v>1</v>
      </c>
      <c r="H329" s="13">
        <v>0</v>
      </c>
      <c r="I329" s="13"/>
      <c r="J329" s="13" t="s">
        <v>3155</v>
      </c>
      <c r="K329" s="13" t="s">
        <v>3156</v>
      </c>
    </row>
    <row r="330" spans="1:11" x14ac:dyDescent="0.3">
      <c r="A330" s="13" t="s">
        <v>1148</v>
      </c>
      <c r="B330" s="13" t="s">
        <v>3157</v>
      </c>
      <c r="C330" s="13" t="s">
        <v>3158</v>
      </c>
      <c r="D330" s="13"/>
      <c r="E330" s="13">
        <v>3</v>
      </c>
      <c r="F330" s="13" t="s">
        <v>3159</v>
      </c>
      <c r="G330" s="13">
        <v>224</v>
      </c>
      <c r="H330" s="13">
        <v>0</v>
      </c>
      <c r="I330" s="13"/>
      <c r="J330" s="13" t="s">
        <v>3160</v>
      </c>
      <c r="K330" s="13" t="s">
        <v>3161</v>
      </c>
    </row>
    <row r="331" spans="1:11" x14ac:dyDescent="0.3">
      <c r="A331" s="13" t="s">
        <v>1148</v>
      </c>
      <c r="B331" s="13" t="s">
        <v>3157</v>
      </c>
      <c r="C331" s="13" t="s">
        <v>3162</v>
      </c>
      <c r="D331" s="13"/>
      <c r="E331" s="13">
        <v>3</v>
      </c>
      <c r="F331" s="13" t="s">
        <v>3163</v>
      </c>
      <c r="G331" s="13">
        <v>24</v>
      </c>
      <c r="H331" s="13">
        <v>0</v>
      </c>
      <c r="I331" s="13"/>
      <c r="J331" s="13" t="s">
        <v>3164</v>
      </c>
      <c r="K331" s="13" t="s">
        <v>3165</v>
      </c>
    </row>
    <row r="332" spans="1:11" x14ac:dyDescent="0.3">
      <c r="A332" s="13" t="s">
        <v>1148</v>
      </c>
      <c r="B332" s="13" t="s">
        <v>3157</v>
      </c>
      <c r="C332" s="13" t="s">
        <v>3166</v>
      </c>
      <c r="D332" s="13"/>
      <c r="E332" s="13">
        <v>3</v>
      </c>
      <c r="F332" s="13" t="s">
        <v>3167</v>
      </c>
      <c r="G332" s="13">
        <v>155</v>
      </c>
      <c r="H332" s="13">
        <v>0</v>
      </c>
      <c r="I332" s="13"/>
      <c r="J332" s="13" t="s">
        <v>3168</v>
      </c>
      <c r="K332" s="13" t="s">
        <v>3169</v>
      </c>
    </row>
    <row r="333" spans="1:11" x14ac:dyDescent="0.3">
      <c r="A333" s="13" t="s">
        <v>1148</v>
      </c>
      <c r="B333" s="13" t="s">
        <v>3157</v>
      </c>
      <c r="C333" s="13" t="s">
        <v>3170</v>
      </c>
      <c r="D333" s="13"/>
      <c r="E333" s="13">
        <v>3</v>
      </c>
      <c r="F333" s="13" t="s">
        <v>3171</v>
      </c>
      <c r="G333" s="13">
        <v>137</v>
      </c>
      <c r="H333" s="13">
        <v>0</v>
      </c>
      <c r="I333" s="13"/>
      <c r="J333" s="13" t="s">
        <v>3172</v>
      </c>
      <c r="K333" s="13" t="s">
        <v>3173</v>
      </c>
    </row>
    <row r="334" spans="1:11" x14ac:dyDescent="0.3">
      <c r="A334" s="13" t="s">
        <v>1148</v>
      </c>
      <c r="B334" s="13" t="s">
        <v>3157</v>
      </c>
      <c r="C334" s="13" t="s">
        <v>3174</v>
      </c>
      <c r="D334" s="13"/>
      <c r="E334" s="13">
        <v>3</v>
      </c>
      <c r="F334" s="13" t="s">
        <v>3175</v>
      </c>
      <c r="G334" s="13">
        <v>41</v>
      </c>
      <c r="H334" s="13">
        <v>0</v>
      </c>
      <c r="I334" s="13"/>
      <c r="J334" s="13" t="s">
        <v>3176</v>
      </c>
      <c r="K334" s="13" t="s">
        <v>3177</v>
      </c>
    </row>
    <row r="335" spans="1:11" x14ac:dyDescent="0.3">
      <c r="A335" s="13" t="s">
        <v>1148</v>
      </c>
      <c r="B335" s="13" t="s">
        <v>3157</v>
      </c>
      <c r="C335" s="13" t="s">
        <v>3178</v>
      </c>
      <c r="D335" s="13"/>
      <c r="E335" s="13">
        <v>3</v>
      </c>
      <c r="F335" s="13" t="s">
        <v>3179</v>
      </c>
      <c r="G335" s="13">
        <v>1</v>
      </c>
      <c r="H335" s="13">
        <v>0</v>
      </c>
      <c r="I335" s="13"/>
      <c r="J335" s="13" t="s">
        <v>3180</v>
      </c>
      <c r="K335" s="13" t="s">
        <v>3181</v>
      </c>
    </row>
    <row r="336" spans="1:11" x14ac:dyDescent="0.3">
      <c r="A336" s="13" t="s">
        <v>1148</v>
      </c>
      <c r="B336" s="13" t="s">
        <v>3182</v>
      </c>
      <c r="C336" s="13"/>
      <c r="D336" s="13"/>
      <c r="E336" s="13">
        <v>2</v>
      </c>
      <c r="F336" s="13" t="s">
        <v>3183</v>
      </c>
      <c r="G336" s="13">
        <v>96</v>
      </c>
      <c r="H336" s="13">
        <v>0</v>
      </c>
      <c r="I336" s="13"/>
      <c r="J336" s="13" t="s">
        <v>3184</v>
      </c>
      <c r="K336" s="13" t="s">
        <v>3185</v>
      </c>
    </row>
    <row r="337" spans="1:11" x14ac:dyDescent="0.3">
      <c r="A337" s="13" t="s">
        <v>1148</v>
      </c>
      <c r="B337" s="13" t="s">
        <v>3186</v>
      </c>
      <c r="C337" s="13" t="s">
        <v>3187</v>
      </c>
      <c r="D337" s="13"/>
      <c r="E337" s="13">
        <v>3</v>
      </c>
      <c r="F337" s="13" t="s">
        <v>3188</v>
      </c>
      <c r="G337" s="13">
        <v>79</v>
      </c>
      <c r="H337" s="13">
        <v>0</v>
      </c>
      <c r="I337" s="13"/>
      <c r="J337" s="13" t="s">
        <v>3189</v>
      </c>
      <c r="K337" s="13" t="s">
        <v>3190</v>
      </c>
    </row>
    <row r="338" spans="1:11" x14ac:dyDescent="0.3">
      <c r="A338" s="13" t="s">
        <v>1148</v>
      </c>
      <c r="B338" s="13" t="s">
        <v>3186</v>
      </c>
      <c r="C338" s="13" t="s">
        <v>3191</v>
      </c>
      <c r="D338" s="13"/>
      <c r="E338" s="13">
        <v>3</v>
      </c>
      <c r="F338" s="13" t="s">
        <v>3192</v>
      </c>
      <c r="G338" s="13">
        <v>6</v>
      </c>
      <c r="H338" s="13">
        <v>0</v>
      </c>
      <c r="I338" s="13"/>
      <c r="J338" s="13" t="s">
        <v>3193</v>
      </c>
      <c r="K338" s="13" t="s">
        <v>3194</v>
      </c>
    </row>
    <row r="339" spans="1:11" x14ac:dyDescent="0.3">
      <c r="A339" s="13" t="s">
        <v>1148</v>
      </c>
      <c r="B339" s="13" t="s">
        <v>3186</v>
      </c>
      <c r="C339" s="13" t="s">
        <v>3195</v>
      </c>
      <c r="D339" s="13"/>
      <c r="E339" s="13">
        <v>3</v>
      </c>
      <c r="F339" s="13" t="s">
        <v>3196</v>
      </c>
      <c r="G339" s="13">
        <v>34</v>
      </c>
      <c r="H339" s="13">
        <v>0</v>
      </c>
      <c r="I339" s="13"/>
      <c r="J339" s="13" t="s">
        <v>3197</v>
      </c>
      <c r="K339" s="13" t="s">
        <v>3198</v>
      </c>
    </row>
    <row r="340" spans="1:11" x14ac:dyDescent="0.3">
      <c r="A340" s="13" t="s">
        <v>1148</v>
      </c>
      <c r="B340" s="13" t="s">
        <v>3186</v>
      </c>
      <c r="C340" s="13" t="s">
        <v>3199</v>
      </c>
      <c r="D340" s="13"/>
      <c r="E340" s="13">
        <v>3</v>
      </c>
      <c r="F340" s="13" t="s">
        <v>3200</v>
      </c>
      <c r="G340" s="13">
        <v>30</v>
      </c>
      <c r="H340" s="13">
        <v>0</v>
      </c>
      <c r="I340" s="13"/>
      <c r="J340" s="13" t="s">
        <v>3201</v>
      </c>
      <c r="K340" s="13" t="s">
        <v>3202</v>
      </c>
    </row>
    <row r="341" spans="1:11" x14ac:dyDescent="0.3">
      <c r="A341" s="13" t="s">
        <v>1148</v>
      </c>
      <c r="B341" s="13" t="s">
        <v>3203</v>
      </c>
      <c r="C341" s="13" t="s">
        <v>3204</v>
      </c>
      <c r="D341" s="13"/>
      <c r="E341" s="13">
        <v>3</v>
      </c>
      <c r="F341" s="13" t="s">
        <v>3205</v>
      </c>
      <c r="G341" s="13">
        <v>101</v>
      </c>
      <c r="H341" s="13">
        <v>0</v>
      </c>
      <c r="I341" s="13"/>
      <c r="J341" s="13" t="s">
        <v>3206</v>
      </c>
      <c r="K341" s="13" t="s">
        <v>3207</v>
      </c>
    </row>
    <row r="342" spans="1:11" x14ac:dyDescent="0.3">
      <c r="A342" s="13" t="s">
        <v>1148</v>
      </c>
      <c r="B342" s="13" t="s">
        <v>3208</v>
      </c>
      <c r="C342" s="13" t="s">
        <v>2088</v>
      </c>
      <c r="D342" s="13" t="s">
        <v>3209</v>
      </c>
      <c r="E342" s="13">
        <v>4</v>
      </c>
      <c r="F342" s="13" t="s">
        <v>3210</v>
      </c>
      <c r="G342" s="13">
        <v>1</v>
      </c>
      <c r="H342" s="13">
        <v>0</v>
      </c>
      <c r="I342" s="13"/>
      <c r="J342" s="13" t="s">
        <v>3211</v>
      </c>
      <c r="K342" s="13" t="s">
        <v>3212</v>
      </c>
    </row>
    <row r="343" spans="1:11" x14ac:dyDescent="0.3">
      <c r="A343" s="13" t="s">
        <v>1148</v>
      </c>
      <c r="B343" s="13" t="s">
        <v>3208</v>
      </c>
      <c r="C343" s="13" t="s">
        <v>2088</v>
      </c>
      <c r="D343" s="13" t="s">
        <v>3213</v>
      </c>
      <c r="E343" s="13">
        <v>4</v>
      </c>
      <c r="F343" s="13" t="s">
        <v>3214</v>
      </c>
      <c r="G343" s="13">
        <v>22</v>
      </c>
      <c r="H343" s="13">
        <v>0</v>
      </c>
      <c r="I343" s="13"/>
      <c r="J343" s="13" t="s">
        <v>3215</v>
      </c>
      <c r="K343" s="13" t="s">
        <v>3216</v>
      </c>
    </row>
    <row r="344" spans="1:11" x14ac:dyDescent="0.3">
      <c r="A344" s="13" t="s">
        <v>1148</v>
      </c>
      <c r="B344" s="13" t="s">
        <v>3208</v>
      </c>
      <c r="C344" s="13" t="s">
        <v>3217</v>
      </c>
      <c r="D344" s="13" t="s">
        <v>3218</v>
      </c>
      <c r="E344" s="13">
        <v>4</v>
      </c>
      <c r="F344" s="13" t="s">
        <v>3219</v>
      </c>
      <c r="G344" s="13">
        <v>5</v>
      </c>
      <c r="H344" s="13">
        <v>0</v>
      </c>
      <c r="I344" s="13"/>
      <c r="J344" s="13" t="s">
        <v>3220</v>
      </c>
      <c r="K344" s="13" t="s">
        <v>3221</v>
      </c>
    </row>
    <row r="345" spans="1:11" x14ac:dyDescent="0.3">
      <c r="A345" s="13" t="s">
        <v>1148</v>
      </c>
      <c r="B345" s="13" t="s">
        <v>3208</v>
      </c>
      <c r="C345" s="13" t="s">
        <v>3217</v>
      </c>
      <c r="D345" s="13" t="s">
        <v>2839</v>
      </c>
      <c r="E345" s="13">
        <v>4</v>
      </c>
      <c r="F345" s="13" t="s">
        <v>3222</v>
      </c>
      <c r="G345" s="13">
        <v>26</v>
      </c>
      <c r="H345" s="13">
        <v>0</v>
      </c>
      <c r="I345" s="13"/>
      <c r="J345" s="13" t="s">
        <v>3223</v>
      </c>
      <c r="K345" s="13" t="s">
        <v>3224</v>
      </c>
    </row>
    <row r="346" spans="1:11" x14ac:dyDescent="0.3">
      <c r="A346" s="13" t="s">
        <v>1148</v>
      </c>
      <c r="B346" s="13" t="s">
        <v>3208</v>
      </c>
      <c r="C346" s="13" t="s">
        <v>3217</v>
      </c>
      <c r="D346" s="13" t="s">
        <v>3225</v>
      </c>
      <c r="E346" s="13">
        <v>4</v>
      </c>
      <c r="F346" s="13" t="s">
        <v>3226</v>
      </c>
      <c r="G346" s="13">
        <v>3</v>
      </c>
      <c r="H346" s="13">
        <v>0</v>
      </c>
      <c r="I346" s="13"/>
      <c r="J346" s="13" t="s">
        <v>3227</v>
      </c>
      <c r="K346" s="13" t="s">
        <v>3228</v>
      </c>
    </row>
    <row r="347" spans="1:11" x14ac:dyDescent="0.3">
      <c r="A347" s="13" t="s">
        <v>1148</v>
      </c>
      <c r="B347" s="13" t="s">
        <v>3208</v>
      </c>
      <c r="C347" s="13" t="s">
        <v>3217</v>
      </c>
      <c r="D347" s="13" t="s">
        <v>3229</v>
      </c>
      <c r="E347" s="13">
        <v>4</v>
      </c>
      <c r="F347" s="13" t="s">
        <v>3230</v>
      </c>
      <c r="G347" s="13">
        <v>2</v>
      </c>
      <c r="H347" s="13">
        <v>0</v>
      </c>
      <c r="I347" s="13"/>
      <c r="J347" s="13" t="s">
        <v>3231</v>
      </c>
      <c r="K347" s="13" t="s">
        <v>3232</v>
      </c>
    </row>
    <row r="348" spans="1:11" x14ac:dyDescent="0.3">
      <c r="A348" s="13" t="s">
        <v>1148</v>
      </c>
      <c r="B348" s="13" t="s">
        <v>3208</v>
      </c>
      <c r="C348" s="13" t="s">
        <v>3217</v>
      </c>
      <c r="D348" s="13" t="s">
        <v>3233</v>
      </c>
      <c r="E348" s="13">
        <v>4</v>
      </c>
      <c r="F348" s="13" t="s">
        <v>3234</v>
      </c>
      <c r="G348" s="13">
        <v>7</v>
      </c>
      <c r="H348" s="13">
        <v>0</v>
      </c>
      <c r="I348" s="13"/>
      <c r="J348" s="13" t="s">
        <v>3235</v>
      </c>
      <c r="K348" s="13" t="s">
        <v>3236</v>
      </c>
    </row>
    <row r="349" spans="1:11" x14ac:dyDescent="0.3">
      <c r="A349" s="13" t="s">
        <v>1148</v>
      </c>
      <c r="B349" s="13" t="s">
        <v>3237</v>
      </c>
      <c r="C349" s="13" t="s">
        <v>3238</v>
      </c>
      <c r="D349" s="13" t="s">
        <v>3239</v>
      </c>
      <c r="E349" s="13">
        <v>4</v>
      </c>
      <c r="F349" s="13" t="s">
        <v>3240</v>
      </c>
      <c r="G349" s="13">
        <v>46</v>
      </c>
      <c r="H349" s="13">
        <v>0</v>
      </c>
      <c r="I349" s="13"/>
      <c r="J349" s="13" t="s">
        <v>3241</v>
      </c>
      <c r="K349" s="13" t="s">
        <v>3242</v>
      </c>
    </row>
    <row r="350" spans="1:11" x14ac:dyDescent="0.3">
      <c r="A350" s="13" t="s">
        <v>1148</v>
      </c>
      <c r="B350" s="13" t="s">
        <v>3237</v>
      </c>
      <c r="C350" s="13" t="s">
        <v>3238</v>
      </c>
      <c r="D350" s="13" t="s">
        <v>3243</v>
      </c>
      <c r="E350" s="13">
        <v>4</v>
      </c>
      <c r="F350" s="13" t="s">
        <v>3244</v>
      </c>
      <c r="G350" s="13">
        <v>14</v>
      </c>
      <c r="H350" s="13">
        <v>0</v>
      </c>
      <c r="I350" s="13"/>
      <c r="J350" s="13" t="s">
        <v>3245</v>
      </c>
      <c r="K350" s="13" t="s">
        <v>3246</v>
      </c>
    </row>
    <row r="351" spans="1:11" x14ac:dyDescent="0.3">
      <c r="A351" s="13" t="s">
        <v>1148</v>
      </c>
      <c r="B351" s="13" t="s">
        <v>3237</v>
      </c>
      <c r="C351" s="13" t="s">
        <v>3247</v>
      </c>
      <c r="D351" s="13"/>
      <c r="E351" s="13">
        <v>3</v>
      </c>
      <c r="F351" s="13" t="s">
        <v>3248</v>
      </c>
      <c r="G351" s="13">
        <v>39</v>
      </c>
      <c r="H351" s="13">
        <v>0</v>
      </c>
      <c r="I351" s="13"/>
      <c r="J351" s="13" t="s">
        <v>3249</v>
      </c>
      <c r="K351" s="13" t="s">
        <v>3250</v>
      </c>
    </row>
    <row r="352" spans="1:11" x14ac:dyDescent="0.3">
      <c r="A352" s="13" t="s">
        <v>1148</v>
      </c>
      <c r="B352" s="13" t="s">
        <v>3237</v>
      </c>
      <c r="C352" s="13" t="s">
        <v>3251</v>
      </c>
      <c r="D352" s="13"/>
      <c r="E352" s="13">
        <v>3</v>
      </c>
      <c r="F352" s="13" t="s">
        <v>3252</v>
      </c>
      <c r="G352" s="13">
        <v>87</v>
      </c>
      <c r="H352" s="13">
        <v>0</v>
      </c>
      <c r="I352" s="13"/>
      <c r="J352" s="13" t="s">
        <v>3253</v>
      </c>
      <c r="K352" s="13" t="s">
        <v>3254</v>
      </c>
    </row>
    <row r="353" spans="1:11" x14ac:dyDescent="0.3">
      <c r="A353" s="13" t="s">
        <v>1148</v>
      </c>
      <c r="B353" s="13" t="s">
        <v>3237</v>
      </c>
      <c r="C353" s="13" t="s">
        <v>3255</v>
      </c>
      <c r="D353" s="13"/>
      <c r="E353" s="13">
        <v>3</v>
      </c>
      <c r="F353" s="13" t="s">
        <v>3256</v>
      </c>
      <c r="G353" s="13">
        <v>23</v>
      </c>
      <c r="H353" s="13">
        <v>0</v>
      </c>
      <c r="I353" s="13"/>
      <c r="J353" s="13" t="s">
        <v>3257</v>
      </c>
      <c r="K353" s="13" t="s">
        <v>3258</v>
      </c>
    </row>
    <row r="354" spans="1:11" x14ac:dyDescent="0.3">
      <c r="A354" s="13" t="s">
        <v>1148</v>
      </c>
      <c r="B354" s="13" t="s">
        <v>3237</v>
      </c>
      <c r="C354" s="13" t="s">
        <v>3259</v>
      </c>
      <c r="D354" s="13"/>
      <c r="E354" s="13">
        <v>3</v>
      </c>
      <c r="F354" s="13" t="s">
        <v>3260</v>
      </c>
      <c r="G354" s="13">
        <v>67</v>
      </c>
      <c r="H354" s="13">
        <v>0</v>
      </c>
      <c r="I354" s="13"/>
      <c r="J354" s="13" t="s">
        <v>3261</v>
      </c>
      <c r="K354" s="13" t="s">
        <v>3262</v>
      </c>
    </row>
    <row r="355" spans="1:11" x14ac:dyDescent="0.3">
      <c r="A355" s="13" t="s">
        <v>1148</v>
      </c>
      <c r="B355" s="13" t="s">
        <v>3237</v>
      </c>
      <c r="C355" s="13" t="s">
        <v>3263</v>
      </c>
      <c r="D355" s="13"/>
      <c r="E355" s="13">
        <v>3</v>
      </c>
      <c r="F355" s="13" t="s">
        <v>3264</v>
      </c>
      <c r="G355" s="13">
        <v>12</v>
      </c>
      <c r="H355" s="13">
        <v>0</v>
      </c>
      <c r="I355" s="13"/>
      <c r="J355" s="13" t="s">
        <v>3265</v>
      </c>
      <c r="K355" s="13" t="s">
        <v>3266</v>
      </c>
    </row>
    <row r="356" spans="1:11" x14ac:dyDescent="0.3">
      <c r="A356" s="13" t="s">
        <v>1148</v>
      </c>
      <c r="B356" s="13" t="s">
        <v>3237</v>
      </c>
      <c r="C356" s="13" t="s">
        <v>3267</v>
      </c>
      <c r="D356" s="13"/>
      <c r="E356" s="13">
        <v>3</v>
      </c>
      <c r="F356" s="13" t="s">
        <v>3268</v>
      </c>
      <c r="G356" s="13">
        <v>89</v>
      </c>
      <c r="H356" s="13">
        <v>0</v>
      </c>
      <c r="I356" s="13"/>
      <c r="J356" s="13" t="s">
        <v>3269</v>
      </c>
      <c r="K356" s="13" t="s">
        <v>3270</v>
      </c>
    </row>
    <row r="357" spans="1:11" x14ac:dyDescent="0.3">
      <c r="A357" s="13" t="s">
        <v>1148</v>
      </c>
      <c r="B357" s="13" t="s">
        <v>3237</v>
      </c>
      <c r="C357" s="13" t="s">
        <v>3271</v>
      </c>
      <c r="D357" s="13" t="s">
        <v>3272</v>
      </c>
      <c r="E357" s="13">
        <v>4</v>
      </c>
      <c r="F357" s="13" t="s">
        <v>3273</v>
      </c>
      <c r="G357" s="13">
        <v>42</v>
      </c>
      <c r="H357" s="13">
        <v>0</v>
      </c>
      <c r="I357" s="13"/>
      <c r="J357" s="13" t="s">
        <v>3274</v>
      </c>
      <c r="K357" s="13" t="s">
        <v>3275</v>
      </c>
    </row>
    <row r="358" spans="1:11" x14ac:dyDescent="0.3">
      <c r="A358" s="13" t="s">
        <v>1148</v>
      </c>
      <c r="B358" s="13" t="s">
        <v>3237</v>
      </c>
      <c r="C358" s="13" t="s">
        <v>3271</v>
      </c>
      <c r="D358" s="13" t="s">
        <v>3276</v>
      </c>
      <c r="E358" s="13">
        <v>4</v>
      </c>
      <c r="F358" s="13" t="s">
        <v>3277</v>
      </c>
      <c r="G358" s="13">
        <v>60</v>
      </c>
      <c r="H358" s="13">
        <v>0</v>
      </c>
      <c r="I358" s="13"/>
      <c r="J358" s="13" t="s">
        <v>3278</v>
      </c>
      <c r="K358" s="13" t="s">
        <v>3279</v>
      </c>
    </row>
    <row r="359" spans="1:11" x14ac:dyDescent="0.3">
      <c r="A359" s="13" t="s">
        <v>1148</v>
      </c>
      <c r="B359" s="13" t="s">
        <v>3237</v>
      </c>
      <c r="C359" s="13" t="s">
        <v>3271</v>
      </c>
      <c r="D359" s="13" t="s">
        <v>3280</v>
      </c>
      <c r="E359" s="13">
        <v>4</v>
      </c>
      <c r="F359" s="13" t="s">
        <v>3281</v>
      </c>
      <c r="G359" s="13">
        <v>15</v>
      </c>
      <c r="H359" s="13">
        <v>0</v>
      </c>
      <c r="I359" s="13"/>
      <c r="J359" s="13" t="s">
        <v>3282</v>
      </c>
      <c r="K359" s="13" t="s">
        <v>3283</v>
      </c>
    </row>
    <row r="360" spans="1:11" x14ac:dyDescent="0.3">
      <c r="A360" s="13" t="s">
        <v>1148</v>
      </c>
      <c r="B360" s="13" t="s">
        <v>3237</v>
      </c>
      <c r="C360" s="13" t="s">
        <v>3271</v>
      </c>
      <c r="D360" s="13" t="s">
        <v>3284</v>
      </c>
      <c r="E360" s="13">
        <v>4</v>
      </c>
      <c r="F360" s="13" t="s">
        <v>3285</v>
      </c>
      <c r="G360" s="13">
        <v>75</v>
      </c>
      <c r="H360" s="13">
        <v>0</v>
      </c>
      <c r="I360" s="13"/>
      <c r="J360" s="13" t="s">
        <v>3286</v>
      </c>
      <c r="K360" s="13" t="s">
        <v>3287</v>
      </c>
    </row>
    <row r="361" spans="1:11" x14ac:dyDescent="0.3">
      <c r="A361" s="13" t="s">
        <v>1148</v>
      </c>
      <c r="B361" s="13" t="s">
        <v>3237</v>
      </c>
      <c r="C361" s="13" t="s">
        <v>3271</v>
      </c>
      <c r="D361" s="13" t="s">
        <v>3288</v>
      </c>
      <c r="E361" s="13">
        <v>4</v>
      </c>
      <c r="F361" s="13" t="s">
        <v>3289</v>
      </c>
      <c r="G361" s="13">
        <v>10</v>
      </c>
      <c r="H361" s="13">
        <v>0</v>
      </c>
      <c r="I361" s="13"/>
      <c r="J361" s="13" t="s">
        <v>3290</v>
      </c>
      <c r="K361" s="13" t="s">
        <v>3291</v>
      </c>
    </row>
    <row r="362" spans="1:11" x14ac:dyDescent="0.3">
      <c r="A362" s="13" t="s">
        <v>1148</v>
      </c>
      <c r="B362" s="13" t="s">
        <v>3237</v>
      </c>
      <c r="C362" s="13" t="s">
        <v>3292</v>
      </c>
      <c r="D362" s="13" t="s">
        <v>3293</v>
      </c>
      <c r="E362" s="13">
        <v>4</v>
      </c>
      <c r="F362" s="13" t="s">
        <v>3294</v>
      </c>
      <c r="G362" s="13">
        <v>1</v>
      </c>
      <c r="H362" s="13">
        <v>0</v>
      </c>
      <c r="I362" s="13"/>
      <c r="J362" s="13" t="s">
        <v>3295</v>
      </c>
      <c r="K362" s="13" t="s">
        <v>3296</v>
      </c>
    </row>
    <row r="363" spans="1:11" x14ac:dyDescent="0.3">
      <c r="A363" s="13" t="s">
        <v>1148</v>
      </c>
      <c r="B363" s="13" t="s">
        <v>3237</v>
      </c>
      <c r="C363" s="13" t="s">
        <v>3292</v>
      </c>
      <c r="D363" s="13" t="s">
        <v>3297</v>
      </c>
      <c r="E363" s="13">
        <v>4</v>
      </c>
      <c r="F363" s="13" t="s">
        <v>3298</v>
      </c>
      <c r="G363" s="13">
        <v>4</v>
      </c>
      <c r="H363" s="13">
        <v>0</v>
      </c>
      <c r="I363" s="13"/>
      <c r="J363" s="13" t="s">
        <v>3299</v>
      </c>
      <c r="K363" s="13" t="s">
        <v>3300</v>
      </c>
    </row>
    <row r="364" spans="1:11" x14ac:dyDescent="0.3">
      <c r="A364" s="13" t="s">
        <v>1148</v>
      </c>
      <c r="B364" s="13" t="s">
        <v>3301</v>
      </c>
      <c r="C364" s="13"/>
      <c r="D364" s="13"/>
      <c r="E364" s="13">
        <v>2</v>
      </c>
      <c r="F364" s="13" t="s">
        <v>3302</v>
      </c>
      <c r="G364" s="13">
        <v>158</v>
      </c>
      <c r="H364" s="13">
        <v>0</v>
      </c>
      <c r="I364" s="13"/>
      <c r="J364" s="13" t="s">
        <v>3303</v>
      </c>
      <c r="K364" s="13" t="s">
        <v>3304</v>
      </c>
    </row>
    <row r="365" spans="1:11" x14ac:dyDescent="0.3">
      <c r="A365" s="13" t="s">
        <v>1148</v>
      </c>
      <c r="B365" s="13" t="s">
        <v>3305</v>
      </c>
      <c r="C365" s="13"/>
      <c r="D365" s="13"/>
      <c r="E365" s="13">
        <v>2</v>
      </c>
      <c r="F365" s="13" t="s">
        <v>3306</v>
      </c>
      <c r="G365" s="13">
        <v>48</v>
      </c>
      <c r="H365" s="13">
        <v>0</v>
      </c>
      <c r="I365" s="13"/>
      <c r="J365" s="13" t="s">
        <v>3307</v>
      </c>
      <c r="K365" s="13" t="s">
        <v>3308</v>
      </c>
    </row>
    <row r="366" spans="1:11" x14ac:dyDescent="0.3">
      <c r="A366" s="13" t="s">
        <v>1148</v>
      </c>
      <c r="B366" s="13" t="s">
        <v>3309</v>
      </c>
      <c r="C366" s="13"/>
      <c r="D366" s="13"/>
      <c r="E366" s="13">
        <v>2</v>
      </c>
      <c r="F366" s="13" t="s">
        <v>3310</v>
      </c>
      <c r="G366" s="13">
        <v>15</v>
      </c>
      <c r="H366" s="13">
        <v>0</v>
      </c>
      <c r="I366" s="13"/>
      <c r="J366" s="13" t="s">
        <v>3311</v>
      </c>
      <c r="K366" s="13" t="s">
        <v>3312</v>
      </c>
    </row>
    <row r="367" spans="1:11" x14ac:dyDescent="0.3">
      <c r="A367" s="13" t="s">
        <v>1089</v>
      </c>
      <c r="B367" s="13" t="s">
        <v>668</v>
      </c>
      <c r="C367" s="13" t="s">
        <v>1090</v>
      </c>
      <c r="D367" s="13" t="s">
        <v>1090</v>
      </c>
      <c r="E367" s="13">
        <v>4</v>
      </c>
      <c r="F367" s="13" t="s">
        <v>755</v>
      </c>
      <c r="G367" s="13">
        <v>43</v>
      </c>
      <c r="H367" s="13">
        <v>40</v>
      </c>
      <c r="I367" s="3" t="s">
        <v>753</v>
      </c>
      <c r="J367" s="13" t="s">
        <v>754</v>
      </c>
      <c r="K367" s="13" t="s">
        <v>3313</v>
      </c>
    </row>
    <row r="368" spans="1:11" x14ac:dyDescent="0.3">
      <c r="A368" s="13" t="s">
        <v>923</v>
      </c>
      <c r="B368" s="13" t="s">
        <v>984</v>
      </c>
      <c r="C368" s="13" t="s">
        <v>3314</v>
      </c>
      <c r="D368" s="13"/>
      <c r="E368" s="13">
        <v>3</v>
      </c>
      <c r="F368" s="13" t="s">
        <v>3315</v>
      </c>
      <c r="G368" s="13">
        <v>186</v>
      </c>
      <c r="H368" s="13">
        <v>0</v>
      </c>
      <c r="I368" s="13"/>
      <c r="J368" s="13" t="s">
        <v>3316</v>
      </c>
      <c r="K368" s="13" t="s">
        <v>3317</v>
      </c>
    </row>
    <row r="369" spans="1:11" x14ac:dyDescent="0.3">
      <c r="A369" s="13" t="s">
        <v>923</v>
      </c>
      <c r="B369" s="13" t="s">
        <v>984</v>
      </c>
      <c r="C369" s="13" t="s">
        <v>985</v>
      </c>
      <c r="D369" s="13"/>
      <c r="E369" s="13">
        <v>3</v>
      </c>
      <c r="F369" s="13" t="s">
        <v>177</v>
      </c>
      <c r="G369" s="13">
        <v>284</v>
      </c>
      <c r="H369" s="13">
        <v>0</v>
      </c>
      <c r="I369" s="3" t="s">
        <v>983</v>
      </c>
      <c r="J369" s="13" t="s">
        <v>36</v>
      </c>
      <c r="K369" s="13" t="s">
        <v>183</v>
      </c>
    </row>
    <row r="370" spans="1:11" x14ac:dyDescent="0.3">
      <c r="A370" s="13" t="s">
        <v>923</v>
      </c>
      <c r="B370" s="13" t="s">
        <v>984</v>
      </c>
      <c r="C370" s="13" t="s">
        <v>1035</v>
      </c>
      <c r="D370" s="13"/>
      <c r="E370" s="13">
        <v>3</v>
      </c>
      <c r="F370" s="13" t="s">
        <v>797</v>
      </c>
      <c r="G370" s="13">
        <v>63</v>
      </c>
      <c r="H370" s="13">
        <v>0</v>
      </c>
      <c r="I370" s="3" t="s">
        <v>795</v>
      </c>
      <c r="J370" s="13" t="s">
        <v>796</v>
      </c>
      <c r="K370" s="13" t="s">
        <v>3318</v>
      </c>
    </row>
    <row r="371" spans="1:11" x14ac:dyDescent="0.3">
      <c r="A371" s="13" t="s">
        <v>923</v>
      </c>
      <c r="B371" s="13" t="s">
        <v>984</v>
      </c>
      <c r="C371" s="13" t="s">
        <v>3319</v>
      </c>
      <c r="D371" s="13"/>
      <c r="E371" s="13">
        <v>3</v>
      </c>
      <c r="F371" s="13" t="s">
        <v>3320</v>
      </c>
      <c r="G371" s="13">
        <v>64</v>
      </c>
      <c r="H371" s="13">
        <v>0</v>
      </c>
      <c r="I371" s="13"/>
      <c r="J371" s="13" t="s">
        <v>3321</v>
      </c>
      <c r="K371" s="13" t="s">
        <v>3322</v>
      </c>
    </row>
    <row r="372" spans="1:11" x14ac:dyDescent="0.3">
      <c r="A372" s="13" t="s">
        <v>923</v>
      </c>
      <c r="B372" s="13" t="s">
        <v>984</v>
      </c>
      <c r="C372" s="13" t="s">
        <v>1160</v>
      </c>
      <c r="D372" s="13"/>
      <c r="E372" s="13">
        <v>3</v>
      </c>
      <c r="F372" s="13" t="s">
        <v>1161</v>
      </c>
      <c r="G372" s="13">
        <v>745</v>
      </c>
      <c r="H372" s="13">
        <v>0</v>
      </c>
      <c r="I372" s="3" t="s">
        <v>1158</v>
      </c>
      <c r="J372" s="13" t="s">
        <v>1159</v>
      </c>
      <c r="K372" s="13" t="s">
        <v>3323</v>
      </c>
    </row>
    <row r="373" spans="1:11" x14ac:dyDescent="0.3">
      <c r="A373" s="13" t="s">
        <v>923</v>
      </c>
      <c r="B373" s="13" t="s">
        <v>984</v>
      </c>
      <c r="C373" s="13" t="s">
        <v>3324</v>
      </c>
      <c r="D373" s="13"/>
      <c r="E373" s="13">
        <v>3</v>
      </c>
      <c r="F373" s="13" t="s">
        <v>3325</v>
      </c>
      <c r="G373" s="13">
        <v>38</v>
      </c>
      <c r="H373" s="13">
        <v>0</v>
      </c>
      <c r="I373" s="13"/>
      <c r="J373" s="13" t="s">
        <v>3326</v>
      </c>
      <c r="K373" s="13" t="s">
        <v>3327</v>
      </c>
    </row>
    <row r="374" spans="1:11" x14ac:dyDescent="0.3">
      <c r="A374" s="13" t="s">
        <v>923</v>
      </c>
      <c r="B374" s="13" t="s">
        <v>3328</v>
      </c>
      <c r="C374" s="13"/>
      <c r="D374" s="13"/>
      <c r="E374" s="13">
        <v>2</v>
      </c>
      <c r="F374" s="13" t="s">
        <v>3329</v>
      </c>
      <c r="G374" s="13">
        <v>384</v>
      </c>
      <c r="H374" s="13">
        <v>0</v>
      </c>
      <c r="I374" s="13"/>
      <c r="J374" s="13" t="s">
        <v>3330</v>
      </c>
      <c r="K374" s="13" t="s">
        <v>3331</v>
      </c>
    </row>
    <row r="375" spans="1:11" x14ac:dyDescent="0.3">
      <c r="A375" s="13" t="s">
        <v>923</v>
      </c>
      <c r="B375" s="13" t="s">
        <v>3332</v>
      </c>
      <c r="C375" s="13" t="s">
        <v>3332</v>
      </c>
      <c r="D375" s="13"/>
      <c r="E375" s="13">
        <v>3</v>
      </c>
      <c r="F375" s="13" t="s">
        <v>3333</v>
      </c>
      <c r="G375" s="13">
        <v>387</v>
      </c>
      <c r="H375" s="13">
        <v>0</v>
      </c>
      <c r="I375" s="13"/>
      <c r="J375" s="13" t="s">
        <v>3334</v>
      </c>
      <c r="K375" s="13" t="s">
        <v>3335</v>
      </c>
    </row>
    <row r="376" spans="1:11" x14ac:dyDescent="0.3">
      <c r="A376" s="13" t="s">
        <v>923</v>
      </c>
      <c r="B376" s="13" t="s">
        <v>3332</v>
      </c>
      <c r="C376" s="13" t="s">
        <v>3336</v>
      </c>
      <c r="D376" s="13"/>
      <c r="E376" s="13">
        <v>3</v>
      </c>
      <c r="F376" s="13" t="s">
        <v>3337</v>
      </c>
      <c r="G376" s="13">
        <v>62</v>
      </c>
      <c r="H376" s="13">
        <v>0</v>
      </c>
      <c r="I376" s="13"/>
      <c r="J376" s="13" t="s">
        <v>3338</v>
      </c>
      <c r="K376" s="13" t="s">
        <v>3339</v>
      </c>
    </row>
    <row r="377" spans="1:11" x14ac:dyDescent="0.3">
      <c r="A377" s="13" t="s">
        <v>923</v>
      </c>
      <c r="B377" s="13" t="s">
        <v>1185</v>
      </c>
      <c r="C377" s="13"/>
      <c r="D377" s="13"/>
      <c r="E377" s="13">
        <v>2</v>
      </c>
      <c r="F377" s="13" t="s">
        <v>1186</v>
      </c>
      <c r="G377" s="13">
        <v>308</v>
      </c>
      <c r="H377" s="13">
        <v>0</v>
      </c>
      <c r="I377" s="3" t="s">
        <v>1183</v>
      </c>
      <c r="J377" s="13" t="s">
        <v>1184</v>
      </c>
      <c r="K377" s="13" t="s">
        <v>3340</v>
      </c>
    </row>
    <row r="378" spans="1:11" x14ac:dyDescent="0.3">
      <c r="A378" s="13" t="s">
        <v>923</v>
      </c>
      <c r="B378" s="13" t="s">
        <v>639</v>
      </c>
      <c r="C378" s="13" t="s">
        <v>924</v>
      </c>
      <c r="D378" s="13"/>
      <c r="E378" s="13">
        <v>3</v>
      </c>
      <c r="F378" s="13" t="s">
        <v>198</v>
      </c>
      <c r="G378" s="13">
        <v>229</v>
      </c>
      <c r="H378" s="13">
        <v>199</v>
      </c>
      <c r="I378" s="3" t="s">
        <v>710</v>
      </c>
      <c r="J378" s="13" t="s">
        <v>45</v>
      </c>
      <c r="K378" s="13" t="s">
        <v>204</v>
      </c>
    </row>
    <row r="379" spans="1:11" x14ac:dyDescent="0.3">
      <c r="A379" s="13" t="s">
        <v>923</v>
      </c>
      <c r="B379" s="13" t="s">
        <v>639</v>
      </c>
      <c r="C379" s="13" t="s">
        <v>3341</v>
      </c>
      <c r="D379" s="13"/>
      <c r="E379" s="13">
        <v>3</v>
      </c>
      <c r="F379" s="13" t="s">
        <v>3342</v>
      </c>
      <c r="G379" s="13">
        <v>79</v>
      </c>
      <c r="H379" s="13">
        <v>39</v>
      </c>
      <c r="I379" s="13"/>
      <c r="J379" s="13" t="s">
        <v>3343</v>
      </c>
      <c r="K379" s="13" t="s">
        <v>3344</v>
      </c>
    </row>
    <row r="380" spans="1:11" x14ac:dyDescent="0.3">
      <c r="A380" s="13" t="s">
        <v>923</v>
      </c>
      <c r="B380" s="13" t="s">
        <v>639</v>
      </c>
      <c r="C380" s="13" t="s">
        <v>1017</v>
      </c>
      <c r="D380" s="13"/>
      <c r="E380" s="13">
        <v>3</v>
      </c>
      <c r="F380" s="13" t="s">
        <v>720</v>
      </c>
      <c r="G380" s="13">
        <v>75</v>
      </c>
      <c r="H380" s="13">
        <v>40</v>
      </c>
      <c r="I380" s="3" t="s">
        <v>718</v>
      </c>
      <c r="J380" s="13" t="s">
        <v>719</v>
      </c>
      <c r="K380" s="13" t="s">
        <v>3345</v>
      </c>
    </row>
    <row r="381" spans="1:11" x14ac:dyDescent="0.3">
      <c r="A381" s="13" t="s">
        <v>923</v>
      </c>
      <c r="B381" s="13" t="s">
        <v>639</v>
      </c>
      <c r="C381" s="13" t="s">
        <v>3346</v>
      </c>
      <c r="D381" s="13"/>
      <c r="E381" s="13">
        <v>3</v>
      </c>
      <c r="F381" s="13" t="s">
        <v>3347</v>
      </c>
      <c r="G381" s="13">
        <v>168</v>
      </c>
      <c r="H381" s="13">
        <v>154</v>
      </c>
      <c r="I381" s="13"/>
      <c r="J381" s="13" t="s">
        <v>3348</v>
      </c>
      <c r="K381" s="13" t="s">
        <v>3349</v>
      </c>
    </row>
    <row r="382" spans="1:11" x14ac:dyDescent="0.3">
      <c r="A382" s="13" t="s">
        <v>923</v>
      </c>
      <c r="B382" s="13" t="s">
        <v>639</v>
      </c>
      <c r="C382" s="13" t="s">
        <v>1179</v>
      </c>
      <c r="D382" s="13"/>
      <c r="E382" s="13">
        <v>3</v>
      </c>
      <c r="F382" s="13" t="s">
        <v>733</v>
      </c>
      <c r="G382" s="13">
        <v>87</v>
      </c>
      <c r="H382" s="13">
        <v>40</v>
      </c>
      <c r="I382" s="3" t="s">
        <v>731</v>
      </c>
      <c r="J382" s="13" t="s">
        <v>732</v>
      </c>
      <c r="K382" s="13" t="s">
        <v>3350</v>
      </c>
    </row>
    <row r="383" spans="1:11" x14ac:dyDescent="0.3">
      <c r="A383" s="13" t="s">
        <v>923</v>
      </c>
      <c r="B383" s="13" t="s">
        <v>639</v>
      </c>
      <c r="C383" s="13" t="s">
        <v>1163</v>
      </c>
      <c r="D383" s="13"/>
      <c r="E383" s="13">
        <v>3</v>
      </c>
      <c r="F383" s="13" t="s">
        <v>730</v>
      </c>
      <c r="G383" s="13">
        <v>147</v>
      </c>
      <c r="H383" s="13">
        <v>120</v>
      </c>
      <c r="I383" s="3" t="s">
        <v>728</v>
      </c>
      <c r="J383" s="13" t="s">
        <v>729</v>
      </c>
      <c r="K383" s="13" t="s">
        <v>3351</v>
      </c>
    </row>
    <row r="384" spans="1:11" x14ac:dyDescent="0.3">
      <c r="A384" s="13" t="s">
        <v>923</v>
      </c>
      <c r="B384" s="13" t="s">
        <v>639</v>
      </c>
      <c r="C384" s="13" t="s">
        <v>1120</v>
      </c>
      <c r="D384" s="13"/>
      <c r="E384" s="13">
        <v>3</v>
      </c>
      <c r="F384" s="13" t="s">
        <v>726</v>
      </c>
      <c r="G384" s="13">
        <v>1008</v>
      </c>
      <c r="H384" s="13">
        <v>897</v>
      </c>
      <c r="I384" s="3" t="s">
        <v>724</v>
      </c>
      <c r="J384" s="13" t="s">
        <v>725</v>
      </c>
      <c r="K384" s="13" t="s">
        <v>3352</v>
      </c>
    </row>
    <row r="385" spans="1:11" x14ac:dyDescent="0.3">
      <c r="A385" s="13" t="s">
        <v>923</v>
      </c>
      <c r="B385" s="13" t="s">
        <v>639</v>
      </c>
      <c r="C385" s="13" t="s">
        <v>3353</v>
      </c>
      <c r="D385" s="13"/>
      <c r="E385" s="13">
        <v>3</v>
      </c>
      <c r="F385" s="13" t="s">
        <v>3354</v>
      </c>
      <c r="G385" s="13">
        <v>14</v>
      </c>
      <c r="H385" s="13">
        <v>14</v>
      </c>
      <c r="I385" s="13"/>
      <c r="J385" s="13" t="s">
        <v>3355</v>
      </c>
      <c r="K385" s="13" t="s">
        <v>3356</v>
      </c>
    </row>
    <row r="386" spans="1:11" x14ac:dyDescent="0.3">
      <c r="A386" s="13" t="s">
        <v>923</v>
      </c>
      <c r="B386" s="13" t="s">
        <v>639</v>
      </c>
      <c r="C386" s="13" t="s">
        <v>1009</v>
      </c>
      <c r="D386" s="13" t="s">
        <v>1010</v>
      </c>
      <c r="E386" s="13">
        <v>4</v>
      </c>
      <c r="F386" s="13" t="s">
        <v>714</v>
      </c>
      <c r="G386" s="13">
        <v>49</v>
      </c>
      <c r="H386" s="13">
        <v>40</v>
      </c>
      <c r="I386" s="3" t="s">
        <v>712</v>
      </c>
      <c r="J386" s="13" t="s">
        <v>713</v>
      </c>
      <c r="K386" s="13" t="s">
        <v>3357</v>
      </c>
    </row>
    <row r="387" spans="1:11" x14ac:dyDescent="0.3">
      <c r="A387" s="13" t="s">
        <v>923</v>
      </c>
      <c r="B387" s="13" t="s">
        <v>639</v>
      </c>
      <c r="C387" s="13" t="s">
        <v>1009</v>
      </c>
      <c r="D387" s="13" t="s">
        <v>3358</v>
      </c>
      <c r="E387" s="13">
        <v>4</v>
      </c>
      <c r="F387" s="13" t="s">
        <v>3359</v>
      </c>
      <c r="G387" s="13">
        <v>64</v>
      </c>
      <c r="H387" s="13">
        <v>38</v>
      </c>
      <c r="I387" s="13"/>
      <c r="J387" s="13" t="s">
        <v>3360</v>
      </c>
      <c r="K387" s="13" t="s">
        <v>3361</v>
      </c>
    </row>
    <row r="388" spans="1:11" x14ac:dyDescent="0.3">
      <c r="A388" s="13" t="s">
        <v>923</v>
      </c>
      <c r="B388" s="13" t="s">
        <v>639</v>
      </c>
      <c r="C388" s="13" t="s">
        <v>3362</v>
      </c>
      <c r="D388" s="13"/>
      <c r="E388" s="13">
        <v>3</v>
      </c>
      <c r="F388" s="13" t="s">
        <v>3363</v>
      </c>
      <c r="G388" s="13">
        <v>468</v>
      </c>
      <c r="H388" s="13">
        <v>440</v>
      </c>
      <c r="I388" s="13"/>
      <c r="J388" s="13" t="s">
        <v>3364</v>
      </c>
      <c r="K388" s="13" t="s">
        <v>3365</v>
      </c>
    </row>
    <row r="389" spans="1:11" x14ac:dyDescent="0.3">
      <c r="A389" s="13" t="s">
        <v>923</v>
      </c>
      <c r="B389" s="13" t="s">
        <v>639</v>
      </c>
      <c r="C389" s="13" t="s">
        <v>1021</v>
      </c>
      <c r="D389" s="13" t="s">
        <v>1022</v>
      </c>
      <c r="E389" s="13">
        <v>4</v>
      </c>
      <c r="F389" s="13" t="s">
        <v>717</v>
      </c>
      <c r="G389" s="13">
        <v>617</v>
      </c>
      <c r="H389" s="13">
        <v>601</v>
      </c>
      <c r="I389" s="3" t="s">
        <v>715</v>
      </c>
      <c r="J389" s="13" t="s">
        <v>716</v>
      </c>
      <c r="K389" s="13" t="s">
        <v>3366</v>
      </c>
    </row>
    <row r="390" spans="1:11" x14ac:dyDescent="0.3">
      <c r="A390" s="13" t="s">
        <v>923</v>
      </c>
      <c r="B390" s="13" t="s">
        <v>639</v>
      </c>
      <c r="C390" s="13" t="s">
        <v>1021</v>
      </c>
      <c r="D390" s="13" t="s">
        <v>3367</v>
      </c>
      <c r="E390" s="13">
        <v>4</v>
      </c>
      <c r="F390" s="13" t="s">
        <v>3368</v>
      </c>
      <c r="G390" s="13">
        <v>175</v>
      </c>
      <c r="H390" s="13">
        <v>155</v>
      </c>
      <c r="I390" s="13"/>
      <c r="J390" s="13" t="s">
        <v>3369</v>
      </c>
      <c r="K390" s="13" t="s">
        <v>3370</v>
      </c>
    </row>
    <row r="391" spans="1:11" x14ac:dyDescent="0.3">
      <c r="A391" s="13" t="s">
        <v>923</v>
      </c>
      <c r="B391" s="13" t="s">
        <v>639</v>
      </c>
      <c r="C391" s="13" t="s">
        <v>1021</v>
      </c>
      <c r="D391" s="13" t="s">
        <v>3371</v>
      </c>
      <c r="E391" s="13">
        <v>4</v>
      </c>
      <c r="F391" s="13" t="s">
        <v>3372</v>
      </c>
      <c r="G391" s="13">
        <v>56</v>
      </c>
      <c r="H391" s="13">
        <v>35</v>
      </c>
      <c r="I391" s="13"/>
      <c r="J391" s="13" t="s">
        <v>3373</v>
      </c>
      <c r="K391" s="13" t="s">
        <v>3374</v>
      </c>
    </row>
    <row r="392" spans="1:11" x14ac:dyDescent="0.3">
      <c r="A392" s="13" t="s">
        <v>923</v>
      </c>
      <c r="B392" s="13" t="s">
        <v>639</v>
      </c>
      <c r="C392" s="13" t="s">
        <v>1021</v>
      </c>
      <c r="D392" s="13" t="s">
        <v>1046</v>
      </c>
      <c r="E392" s="13">
        <v>4</v>
      </c>
      <c r="F392" s="13" t="s">
        <v>723</v>
      </c>
      <c r="G392" s="13">
        <v>64</v>
      </c>
      <c r="H392" s="13">
        <v>39</v>
      </c>
      <c r="I392" s="3" t="s">
        <v>721</v>
      </c>
      <c r="J392" s="13" t="s">
        <v>722</v>
      </c>
      <c r="K392" s="13" t="s">
        <v>3375</v>
      </c>
    </row>
    <row r="393" spans="1:11" x14ac:dyDescent="0.3">
      <c r="A393" s="13" t="s">
        <v>923</v>
      </c>
      <c r="B393" s="13" t="s">
        <v>1049</v>
      </c>
      <c r="C393" s="13" t="s">
        <v>3376</v>
      </c>
      <c r="D393" s="13"/>
      <c r="E393" s="13">
        <v>3</v>
      </c>
      <c r="F393" s="13" t="s">
        <v>3377</v>
      </c>
      <c r="G393" s="13">
        <v>142</v>
      </c>
      <c r="H393" s="13">
        <v>0</v>
      </c>
      <c r="I393" s="13"/>
      <c r="J393" s="13" t="s">
        <v>3378</v>
      </c>
      <c r="K393" s="13" t="s">
        <v>3379</v>
      </c>
    </row>
    <row r="394" spans="1:11" x14ac:dyDescent="0.3">
      <c r="A394" s="13" t="s">
        <v>923</v>
      </c>
      <c r="B394" s="13" t="s">
        <v>1049</v>
      </c>
      <c r="C394" s="13" t="s">
        <v>3380</v>
      </c>
      <c r="D394" s="13"/>
      <c r="E394" s="13">
        <v>3</v>
      </c>
      <c r="F394" s="13" t="s">
        <v>3381</v>
      </c>
      <c r="G394" s="13">
        <v>35</v>
      </c>
      <c r="H394" s="13">
        <v>0</v>
      </c>
      <c r="I394" s="13"/>
      <c r="J394" s="13" t="s">
        <v>3382</v>
      </c>
      <c r="K394" s="13" t="s">
        <v>3383</v>
      </c>
    </row>
    <row r="395" spans="1:11" x14ac:dyDescent="0.3">
      <c r="A395" s="13" t="s">
        <v>923</v>
      </c>
      <c r="B395" s="13" t="s">
        <v>1049</v>
      </c>
      <c r="C395" s="13" t="s">
        <v>1050</v>
      </c>
      <c r="D395" s="13"/>
      <c r="E395" s="13">
        <v>3</v>
      </c>
      <c r="F395" s="13" t="s">
        <v>261</v>
      </c>
      <c r="G395" s="13">
        <v>136</v>
      </c>
      <c r="H395" s="13">
        <v>0</v>
      </c>
      <c r="I395" s="3" t="s">
        <v>1048</v>
      </c>
      <c r="J395" s="13" t="s">
        <v>71</v>
      </c>
      <c r="K395" s="13" t="s">
        <v>267</v>
      </c>
    </row>
    <row r="396" spans="1:11" x14ac:dyDescent="0.3">
      <c r="A396" s="13" t="s">
        <v>923</v>
      </c>
      <c r="B396" s="13" t="s">
        <v>1049</v>
      </c>
      <c r="C396" s="13" t="s">
        <v>1075</v>
      </c>
      <c r="D396" s="13"/>
      <c r="E396" s="13">
        <v>3</v>
      </c>
      <c r="F396" s="13" t="s">
        <v>268</v>
      </c>
      <c r="G396" s="13">
        <v>152</v>
      </c>
      <c r="H396" s="13">
        <v>0</v>
      </c>
      <c r="I396" s="3" t="s">
        <v>1074</v>
      </c>
      <c r="J396" s="13" t="s">
        <v>74</v>
      </c>
      <c r="K396" s="13" t="s">
        <v>274</v>
      </c>
    </row>
    <row r="397" spans="1:11" x14ac:dyDescent="0.3">
      <c r="A397" s="13" t="s">
        <v>923</v>
      </c>
      <c r="B397" s="13" t="s">
        <v>1049</v>
      </c>
      <c r="C397" s="13" t="s">
        <v>3384</v>
      </c>
      <c r="D397" s="13"/>
      <c r="E397" s="13">
        <v>3</v>
      </c>
      <c r="F397" s="13" t="s">
        <v>3385</v>
      </c>
      <c r="G397" s="13">
        <v>21</v>
      </c>
      <c r="H397" s="13">
        <v>0</v>
      </c>
      <c r="I397" s="13"/>
      <c r="J397" s="13" t="s">
        <v>3386</v>
      </c>
      <c r="K397" s="13" t="s">
        <v>3387</v>
      </c>
    </row>
    <row r="398" spans="1:11" x14ac:dyDescent="0.3">
      <c r="A398" s="13" t="s">
        <v>923</v>
      </c>
      <c r="B398" s="13" t="s">
        <v>3388</v>
      </c>
      <c r="C398" s="13" t="s">
        <v>3389</v>
      </c>
      <c r="D398" s="13"/>
      <c r="E398" s="13">
        <v>3</v>
      </c>
      <c r="F398" s="13" t="s">
        <v>3390</v>
      </c>
      <c r="G398" s="13">
        <v>80</v>
      </c>
      <c r="H398" s="13">
        <v>0</v>
      </c>
      <c r="I398" s="13"/>
      <c r="J398" s="13" t="s">
        <v>3391</v>
      </c>
      <c r="K398" s="13" t="s">
        <v>3392</v>
      </c>
    </row>
    <row r="399" spans="1:11" x14ac:dyDescent="0.3">
      <c r="A399" s="13" t="s">
        <v>923</v>
      </c>
      <c r="B399" s="13" t="s">
        <v>3388</v>
      </c>
      <c r="C399" s="13" t="s">
        <v>3393</v>
      </c>
      <c r="D399" s="13"/>
      <c r="E399" s="13">
        <v>3</v>
      </c>
      <c r="F399" s="13" t="s">
        <v>3394</v>
      </c>
      <c r="G399" s="13">
        <v>11</v>
      </c>
      <c r="H399" s="13">
        <v>0</v>
      </c>
      <c r="I399" s="13"/>
      <c r="J399" s="13" t="s">
        <v>3395</v>
      </c>
      <c r="K399" s="13" t="s">
        <v>3396</v>
      </c>
    </row>
    <row r="400" spans="1:11" x14ac:dyDescent="0.3">
      <c r="A400" s="13" t="s">
        <v>923</v>
      </c>
      <c r="B400" s="13" t="s">
        <v>3388</v>
      </c>
      <c r="C400" s="13" t="s">
        <v>3397</v>
      </c>
      <c r="D400" s="13"/>
      <c r="E400" s="13">
        <v>3</v>
      </c>
      <c r="F400" s="13" t="s">
        <v>3398</v>
      </c>
      <c r="G400" s="13">
        <v>21</v>
      </c>
      <c r="H400" s="13">
        <v>0</v>
      </c>
      <c r="I400" s="13"/>
      <c r="J400" s="13" t="s">
        <v>3399</v>
      </c>
      <c r="K400" s="13" t="s">
        <v>3400</v>
      </c>
    </row>
    <row r="401" spans="1:11" x14ac:dyDescent="0.3">
      <c r="A401" s="13" t="s">
        <v>923</v>
      </c>
      <c r="B401" s="13" t="s">
        <v>964</v>
      </c>
      <c r="C401" s="13" t="s">
        <v>965</v>
      </c>
      <c r="D401" s="13" t="s">
        <v>3401</v>
      </c>
      <c r="E401" s="13">
        <v>4</v>
      </c>
      <c r="F401" s="13" t="s">
        <v>3402</v>
      </c>
      <c r="G401" s="13">
        <v>90</v>
      </c>
      <c r="H401" s="13">
        <v>0</v>
      </c>
      <c r="I401" s="13"/>
      <c r="J401" s="13" t="s">
        <v>3403</v>
      </c>
      <c r="K401" s="13" t="s">
        <v>3404</v>
      </c>
    </row>
    <row r="402" spans="1:11" x14ac:dyDescent="0.3">
      <c r="A402" s="13" t="s">
        <v>923</v>
      </c>
      <c r="B402" s="13" t="s">
        <v>964</v>
      </c>
      <c r="C402" s="13" t="s">
        <v>965</v>
      </c>
      <c r="D402" s="13" t="s">
        <v>3405</v>
      </c>
      <c r="E402" s="13">
        <v>4</v>
      </c>
      <c r="F402" s="13" t="s">
        <v>3406</v>
      </c>
      <c r="G402" s="13">
        <v>47</v>
      </c>
      <c r="H402" s="13">
        <v>0</v>
      </c>
      <c r="I402" s="13"/>
      <c r="J402" s="13" t="s">
        <v>3407</v>
      </c>
      <c r="K402" s="13" t="s">
        <v>3408</v>
      </c>
    </row>
    <row r="403" spans="1:11" x14ac:dyDescent="0.3">
      <c r="A403" s="13" t="s">
        <v>923</v>
      </c>
      <c r="B403" s="13" t="s">
        <v>964</v>
      </c>
      <c r="C403" s="13" t="s">
        <v>965</v>
      </c>
      <c r="D403" s="13" t="s">
        <v>966</v>
      </c>
      <c r="E403" s="13">
        <v>4</v>
      </c>
      <c r="F403" s="13" t="s">
        <v>340</v>
      </c>
      <c r="G403" s="13">
        <v>203</v>
      </c>
      <c r="H403" s="13">
        <v>0</v>
      </c>
      <c r="I403" s="3" t="s">
        <v>963</v>
      </c>
      <c r="J403" s="13" t="s">
        <v>339</v>
      </c>
      <c r="K403" s="13" t="s">
        <v>348</v>
      </c>
    </row>
    <row r="404" spans="1:11" x14ac:dyDescent="0.3">
      <c r="A404" s="13" t="s">
        <v>923</v>
      </c>
      <c r="B404" s="13" t="s">
        <v>964</v>
      </c>
      <c r="C404" s="13" t="s">
        <v>965</v>
      </c>
      <c r="D404" s="13" t="s">
        <v>3409</v>
      </c>
      <c r="E404" s="13">
        <v>4</v>
      </c>
      <c r="F404" s="13" t="s">
        <v>3410</v>
      </c>
      <c r="G404" s="13">
        <v>255</v>
      </c>
      <c r="H404" s="13">
        <v>0</v>
      </c>
      <c r="I404" s="13"/>
      <c r="J404" s="13" t="s">
        <v>3411</v>
      </c>
      <c r="K404" s="13" t="s">
        <v>3412</v>
      </c>
    </row>
    <row r="405" spans="1:11" x14ac:dyDescent="0.3">
      <c r="A405" s="13" t="s">
        <v>923</v>
      </c>
      <c r="B405" s="13" t="s">
        <v>964</v>
      </c>
      <c r="C405" s="13" t="s">
        <v>965</v>
      </c>
      <c r="D405" s="13" t="s">
        <v>3413</v>
      </c>
      <c r="E405" s="13">
        <v>4</v>
      </c>
      <c r="F405" s="13" t="s">
        <v>3414</v>
      </c>
      <c r="G405" s="13">
        <v>76</v>
      </c>
      <c r="H405" s="13">
        <v>0</v>
      </c>
      <c r="I405" s="13"/>
      <c r="J405" s="13" t="s">
        <v>3415</v>
      </c>
      <c r="K405" s="13" t="s">
        <v>3416</v>
      </c>
    </row>
    <row r="406" spans="1:11" x14ac:dyDescent="0.3">
      <c r="A406" s="13" t="s">
        <v>923</v>
      </c>
      <c r="B406" s="13" t="s">
        <v>964</v>
      </c>
      <c r="C406" s="13" t="s">
        <v>3417</v>
      </c>
      <c r="D406" s="13"/>
      <c r="E406" s="13">
        <v>3</v>
      </c>
      <c r="F406" s="13" t="s">
        <v>3418</v>
      </c>
      <c r="G406" s="13">
        <v>8</v>
      </c>
      <c r="H406" s="13">
        <v>0</v>
      </c>
      <c r="I406" s="13"/>
      <c r="J406" s="13" t="s">
        <v>3419</v>
      </c>
      <c r="K406" s="13" t="s">
        <v>3420</v>
      </c>
    </row>
    <row r="407" spans="1:11" x14ac:dyDescent="0.3">
      <c r="A407" s="13" t="s">
        <v>923</v>
      </c>
      <c r="B407" s="13" t="s">
        <v>964</v>
      </c>
      <c r="C407" s="13" t="s">
        <v>3421</v>
      </c>
      <c r="D407" s="13"/>
      <c r="E407" s="13">
        <v>3</v>
      </c>
      <c r="F407" s="13" t="s">
        <v>3422</v>
      </c>
      <c r="G407" s="13">
        <v>3</v>
      </c>
      <c r="H407" s="13">
        <v>0</v>
      </c>
      <c r="I407" s="13"/>
      <c r="J407" s="13" t="s">
        <v>3423</v>
      </c>
      <c r="K407" s="13" t="s">
        <v>3424</v>
      </c>
    </row>
    <row r="408" spans="1:11" x14ac:dyDescent="0.3">
      <c r="A408" s="13" t="s">
        <v>923</v>
      </c>
      <c r="B408" s="13" t="s">
        <v>964</v>
      </c>
      <c r="C408" s="13" t="s">
        <v>3425</v>
      </c>
      <c r="D408" s="13" t="s">
        <v>3426</v>
      </c>
      <c r="E408" s="13">
        <v>4</v>
      </c>
      <c r="F408" s="13" t="s">
        <v>3427</v>
      </c>
      <c r="G408" s="13">
        <v>3</v>
      </c>
      <c r="H408" s="13">
        <v>0</v>
      </c>
      <c r="I408" s="13"/>
      <c r="J408" s="13" t="s">
        <v>3428</v>
      </c>
      <c r="K408" s="13" t="s">
        <v>3429</v>
      </c>
    </row>
    <row r="409" spans="1:11" x14ac:dyDescent="0.3">
      <c r="A409" s="13" t="s">
        <v>923</v>
      </c>
      <c r="B409" s="13" t="s">
        <v>964</v>
      </c>
      <c r="C409" s="13" t="s">
        <v>3425</v>
      </c>
      <c r="D409" s="13" t="s">
        <v>3430</v>
      </c>
      <c r="E409" s="13">
        <v>4</v>
      </c>
      <c r="F409" s="13" t="s">
        <v>3431</v>
      </c>
      <c r="G409" s="13">
        <v>169</v>
      </c>
      <c r="H409" s="13">
        <v>0</v>
      </c>
      <c r="I409" s="13"/>
      <c r="J409" s="13" t="s">
        <v>3432</v>
      </c>
      <c r="K409" s="13" t="s">
        <v>3433</v>
      </c>
    </row>
    <row r="410" spans="1:11" x14ac:dyDescent="0.3">
      <c r="A410" s="13" t="s">
        <v>923</v>
      </c>
      <c r="B410" s="13" t="s">
        <v>964</v>
      </c>
      <c r="C410" s="13" t="s">
        <v>3425</v>
      </c>
      <c r="D410" s="13" t="s">
        <v>3434</v>
      </c>
      <c r="E410" s="13">
        <v>4</v>
      </c>
      <c r="F410" s="13" t="s">
        <v>3435</v>
      </c>
      <c r="G410" s="13">
        <v>52</v>
      </c>
      <c r="H410" s="13">
        <v>0</v>
      </c>
      <c r="I410" s="13"/>
      <c r="J410" s="13" t="s">
        <v>3436</v>
      </c>
      <c r="K410" s="13" t="s">
        <v>3437</v>
      </c>
    </row>
    <row r="411" spans="1:11" x14ac:dyDescent="0.3">
      <c r="A411" s="13" t="s">
        <v>923</v>
      </c>
      <c r="B411" s="13" t="s">
        <v>964</v>
      </c>
      <c r="C411" s="13" t="s">
        <v>3425</v>
      </c>
      <c r="D411" s="13" t="s">
        <v>3438</v>
      </c>
      <c r="E411" s="13">
        <v>4</v>
      </c>
      <c r="F411" s="13" t="s">
        <v>3439</v>
      </c>
      <c r="G411" s="13">
        <v>15</v>
      </c>
      <c r="H411" s="13">
        <v>0</v>
      </c>
      <c r="I411" s="13"/>
      <c r="J411" s="13" t="s">
        <v>3440</v>
      </c>
      <c r="K411" s="13" t="s">
        <v>3441</v>
      </c>
    </row>
    <row r="412" spans="1:11" x14ac:dyDescent="0.3">
      <c r="A412" s="13" t="s">
        <v>923</v>
      </c>
      <c r="B412" s="13" t="s">
        <v>964</v>
      </c>
      <c r="C412" s="13" t="s">
        <v>3425</v>
      </c>
      <c r="D412" s="13" t="s">
        <v>3442</v>
      </c>
      <c r="E412" s="13">
        <v>4</v>
      </c>
      <c r="F412" s="13" t="s">
        <v>3443</v>
      </c>
      <c r="G412" s="13">
        <v>10</v>
      </c>
      <c r="H412" s="13">
        <v>0</v>
      </c>
      <c r="I412" s="13"/>
      <c r="J412" s="13" t="s">
        <v>3444</v>
      </c>
      <c r="K412" s="13" t="s">
        <v>3445</v>
      </c>
    </row>
    <row r="413" spans="1:11" x14ac:dyDescent="0.3">
      <c r="A413" s="13" t="s">
        <v>923</v>
      </c>
      <c r="B413" s="13" t="s">
        <v>964</v>
      </c>
      <c r="C413" s="13" t="s">
        <v>3425</v>
      </c>
      <c r="D413" s="13" t="s">
        <v>3446</v>
      </c>
      <c r="E413" s="13">
        <v>4</v>
      </c>
      <c r="F413" s="13" t="s">
        <v>3447</v>
      </c>
      <c r="G413" s="13">
        <v>50</v>
      </c>
      <c r="H413" s="13">
        <v>0</v>
      </c>
      <c r="I413" s="13"/>
      <c r="J413" s="13" t="s">
        <v>3448</v>
      </c>
      <c r="K413" s="13" t="s">
        <v>3449</v>
      </c>
    </row>
    <row r="414" spans="1:11" x14ac:dyDescent="0.3">
      <c r="A414" s="13" t="s">
        <v>923</v>
      </c>
      <c r="B414" s="13" t="s">
        <v>964</v>
      </c>
      <c r="C414" s="13" t="s">
        <v>1065</v>
      </c>
      <c r="D414" s="13"/>
      <c r="E414" s="13">
        <v>3</v>
      </c>
      <c r="F414" s="13" t="s">
        <v>1066</v>
      </c>
      <c r="G414" s="13">
        <v>25</v>
      </c>
      <c r="H414" s="13">
        <v>0</v>
      </c>
      <c r="I414" s="3" t="s">
        <v>1063</v>
      </c>
      <c r="J414" s="13" t="s">
        <v>1064</v>
      </c>
      <c r="K414" s="13" t="s">
        <v>3450</v>
      </c>
    </row>
    <row r="415" spans="1:11" x14ac:dyDescent="0.3">
      <c r="A415" s="13" t="s">
        <v>923</v>
      </c>
      <c r="B415" s="13" t="s">
        <v>964</v>
      </c>
      <c r="C415" s="13" t="s">
        <v>988</v>
      </c>
      <c r="D415" s="13"/>
      <c r="E415" s="13">
        <v>3</v>
      </c>
      <c r="F415" s="13" t="s">
        <v>240</v>
      </c>
      <c r="G415" s="13">
        <v>229</v>
      </c>
      <c r="H415" s="13">
        <v>0</v>
      </c>
      <c r="I415" s="3" t="s">
        <v>987</v>
      </c>
      <c r="J415" s="13" t="s">
        <v>63</v>
      </c>
      <c r="K415" s="13" t="s">
        <v>246</v>
      </c>
    </row>
    <row r="416" spans="1:11" x14ac:dyDescent="0.3">
      <c r="A416" s="13" t="s">
        <v>923</v>
      </c>
      <c r="B416" s="13" t="s">
        <v>964</v>
      </c>
      <c r="C416" s="13" t="s">
        <v>3451</v>
      </c>
      <c r="D416" s="13"/>
      <c r="E416" s="13">
        <v>3</v>
      </c>
      <c r="F416" s="13" t="s">
        <v>3452</v>
      </c>
      <c r="G416" s="13">
        <v>2</v>
      </c>
      <c r="H416" s="13">
        <v>0</v>
      </c>
      <c r="I416" s="13"/>
      <c r="J416" s="13" t="s">
        <v>3453</v>
      </c>
      <c r="K416" s="13" t="s">
        <v>3454</v>
      </c>
    </row>
    <row r="417" spans="1:11" x14ac:dyDescent="0.3">
      <c r="A417" s="13" t="s">
        <v>923</v>
      </c>
      <c r="B417" s="13" t="s">
        <v>964</v>
      </c>
      <c r="C417" s="13" t="s">
        <v>3455</v>
      </c>
      <c r="D417" s="13"/>
      <c r="E417" s="13">
        <v>3</v>
      </c>
      <c r="F417" s="13" t="s">
        <v>3456</v>
      </c>
      <c r="G417" s="13">
        <v>14</v>
      </c>
      <c r="H417" s="13">
        <v>0</v>
      </c>
      <c r="I417" s="13"/>
      <c r="J417" s="13" t="s">
        <v>3457</v>
      </c>
      <c r="K417" s="13" t="s">
        <v>3458</v>
      </c>
    </row>
    <row r="418" spans="1:11" x14ac:dyDescent="0.3">
      <c r="A418" s="13" t="s">
        <v>923</v>
      </c>
      <c r="B418" s="13" t="s">
        <v>964</v>
      </c>
      <c r="C418" s="13" t="s">
        <v>1097</v>
      </c>
      <c r="D418" s="13"/>
      <c r="E418" s="13">
        <v>3</v>
      </c>
      <c r="F418" s="13" t="s">
        <v>351</v>
      </c>
      <c r="G418" s="13">
        <v>46</v>
      </c>
      <c r="H418" s="13">
        <v>0</v>
      </c>
      <c r="I418" s="3" t="s">
        <v>1096</v>
      </c>
      <c r="J418" s="13" t="s">
        <v>350</v>
      </c>
      <c r="K418" s="13" t="s">
        <v>359</v>
      </c>
    </row>
    <row r="419" spans="1:11" x14ac:dyDescent="0.3">
      <c r="A419" s="13" t="s">
        <v>923</v>
      </c>
      <c r="B419" s="13" t="s">
        <v>964</v>
      </c>
      <c r="C419" s="13" t="s">
        <v>3459</v>
      </c>
      <c r="D419" s="13" t="s">
        <v>3460</v>
      </c>
      <c r="E419" s="13">
        <v>4</v>
      </c>
      <c r="F419" s="13" t="s">
        <v>3461</v>
      </c>
      <c r="G419" s="13">
        <v>17</v>
      </c>
      <c r="H419" s="13">
        <v>0</v>
      </c>
      <c r="I419" s="13"/>
      <c r="J419" s="13" t="s">
        <v>3462</v>
      </c>
      <c r="K419" s="13" t="s">
        <v>3463</v>
      </c>
    </row>
    <row r="420" spans="1:11" x14ac:dyDescent="0.3">
      <c r="A420" s="13" t="s">
        <v>923</v>
      </c>
      <c r="B420" s="13" t="s">
        <v>964</v>
      </c>
      <c r="C420" s="13" t="s">
        <v>3459</v>
      </c>
      <c r="D420" s="13" t="s">
        <v>3464</v>
      </c>
      <c r="E420" s="13">
        <v>4</v>
      </c>
      <c r="F420" s="13" t="s">
        <v>3465</v>
      </c>
      <c r="G420" s="13">
        <v>2</v>
      </c>
      <c r="H420" s="13">
        <v>0</v>
      </c>
      <c r="I420" s="13"/>
      <c r="J420" s="13" t="s">
        <v>3466</v>
      </c>
      <c r="K420" s="13" t="s">
        <v>3467</v>
      </c>
    </row>
    <row r="421" spans="1:11" x14ac:dyDescent="0.3">
      <c r="A421" s="13" t="s">
        <v>923</v>
      </c>
      <c r="B421" s="13" t="s">
        <v>964</v>
      </c>
      <c r="C421" s="13" t="s">
        <v>3459</v>
      </c>
      <c r="D421" s="13" t="s">
        <v>3468</v>
      </c>
      <c r="E421" s="13">
        <v>4</v>
      </c>
      <c r="F421" s="13" t="s">
        <v>3469</v>
      </c>
      <c r="G421" s="13">
        <v>6</v>
      </c>
      <c r="H421" s="13">
        <v>0</v>
      </c>
      <c r="I421" s="13"/>
      <c r="J421" s="13" t="s">
        <v>3470</v>
      </c>
      <c r="K421" s="13" t="s">
        <v>3471</v>
      </c>
    </row>
    <row r="422" spans="1:11" x14ac:dyDescent="0.3">
      <c r="A422" s="13" t="s">
        <v>923</v>
      </c>
      <c r="B422" s="13" t="s">
        <v>964</v>
      </c>
      <c r="C422" s="13" t="s">
        <v>3459</v>
      </c>
      <c r="D422" s="13" t="s">
        <v>3472</v>
      </c>
      <c r="E422" s="13">
        <v>4</v>
      </c>
      <c r="F422" s="13" t="s">
        <v>3473</v>
      </c>
      <c r="G422" s="13">
        <v>5</v>
      </c>
      <c r="H422" s="13">
        <v>0</v>
      </c>
      <c r="I422" s="13"/>
      <c r="J422" s="13" t="s">
        <v>3474</v>
      </c>
      <c r="K422" s="13" t="s">
        <v>3475</v>
      </c>
    </row>
    <row r="423" spans="1:11" x14ac:dyDescent="0.3">
      <c r="A423" s="13" t="s">
        <v>923</v>
      </c>
      <c r="B423" s="13" t="s">
        <v>964</v>
      </c>
      <c r="C423" s="13" t="s">
        <v>3459</v>
      </c>
      <c r="D423" s="13" t="s">
        <v>3476</v>
      </c>
      <c r="E423" s="13">
        <v>4</v>
      </c>
      <c r="F423" s="13" t="s">
        <v>3477</v>
      </c>
      <c r="G423" s="13">
        <v>4</v>
      </c>
      <c r="H423" s="13">
        <v>0</v>
      </c>
      <c r="I423" s="13"/>
      <c r="J423" s="13" t="s">
        <v>3478</v>
      </c>
      <c r="K423" s="13" t="s">
        <v>3479</v>
      </c>
    </row>
    <row r="424" spans="1:11" x14ac:dyDescent="0.3">
      <c r="A424" s="13" t="s">
        <v>923</v>
      </c>
      <c r="B424" s="13" t="s">
        <v>964</v>
      </c>
      <c r="C424" s="13" t="s">
        <v>3459</v>
      </c>
      <c r="D424" s="13" t="s">
        <v>3480</v>
      </c>
      <c r="E424" s="13">
        <v>4</v>
      </c>
      <c r="F424" s="13" t="s">
        <v>3481</v>
      </c>
      <c r="G424" s="13">
        <v>6</v>
      </c>
      <c r="H424" s="13">
        <v>0</v>
      </c>
      <c r="I424" s="13"/>
      <c r="J424" s="13" t="s">
        <v>3482</v>
      </c>
      <c r="K424" s="13" t="s">
        <v>3483</v>
      </c>
    </row>
    <row r="425" spans="1:11" x14ac:dyDescent="0.3">
      <c r="A425" s="13" t="s">
        <v>923</v>
      </c>
      <c r="B425" s="13" t="s">
        <v>964</v>
      </c>
      <c r="C425" s="13" t="s">
        <v>1043</v>
      </c>
      <c r="D425" s="13"/>
      <c r="E425" s="13">
        <v>3</v>
      </c>
      <c r="F425" s="13" t="s">
        <v>1044</v>
      </c>
      <c r="G425" s="13">
        <v>52</v>
      </c>
      <c r="H425" s="13">
        <v>0</v>
      </c>
      <c r="I425" s="3" t="s">
        <v>1041</v>
      </c>
      <c r="J425" s="13" t="s">
        <v>1042</v>
      </c>
      <c r="K425" s="13" t="s">
        <v>3484</v>
      </c>
    </row>
    <row r="426" spans="1:11" x14ac:dyDescent="0.3">
      <c r="A426" s="13" t="s">
        <v>923</v>
      </c>
      <c r="B426" s="13" t="s">
        <v>964</v>
      </c>
      <c r="C426" s="13" t="s">
        <v>992</v>
      </c>
      <c r="D426" s="13"/>
      <c r="E426" s="13">
        <v>3</v>
      </c>
      <c r="F426" s="13" t="s">
        <v>993</v>
      </c>
      <c r="G426" s="13">
        <v>435</v>
      </c>
      <c r="H426" s="13">
        <v>0</v>
      </c>
      <c r="I426" s="3" t="s">
        <v>990</v>
      </c>
      <c r="J426" s="13" t="s">
        <v>991</v>
      </c>
      <c r="K426" s="13" t="s">
        <v>3485</v>
      </c>
    </row>
    <row r="427" spans="1:11" x14ac:dyDescent="0.3">
      <c r="A427" s="13" t="s">
        <v>923</v>
      </c>
      <c r="B427" s="13" t="s">
        <v>964</v>
      </c>
      <c r="C427" s="13" t="s">
        <v>3486</v>
      </c>
      <c r="D427" s="13" t="s">
        <v>3487</v>
      </c>
      <c r="E427" s="13">
        <v>4</v>
      </c>
      <c r="F427" s="13" t="s">
        <v>3488</v>
      </c>
      <c r="G427" s="13">
        <v>67</v>
      </c>
      <c r="H427" s="13">
        <v>0</v>
      </c>
      <c r="I427" s="13"/>
      <c r="J427" s="13" t="s">
        <v>3489</v>
      </c>
      <c r="K427" s="13" t="s">
        <v>3490</v>
      </c>
    </row>
    <row r="428" spans="1:11" x14ac:dyDescent="0.3">
      <c r="A428" s="13" t="s">
        <v>923</v>
      </c>
      <c r="B428" s="13" t="s">
        <v>964</v>
      </c>
      <c r="C428" s="13" t="s">
        <v>3486</v>
      </c>
      <c r="D428" s="13" t="s">
        <v>3491</v>
      </c>
      <c r="E428" s="13">
        <v>4</v>
      </c>
      <c r="F428" s="13" t="s">
        <v>3492</v>
      </c>
      <c r="G428" s="13">
        <v>11</v>
      </c>
      <c r="H428" s="13">
        <v>0</v>
      </c>
      <c r="I428" s="13"/>
      <c r="J428" s="13" t="s">
        <v>3493</v>
      </c>
      <c r="K428" s="13" t="s">
        <v>3494</v>
      </c>
    </row>
    <row r="429" spans="1:11" x14ac:dyDescent="0.3">
      <c r="A429" s="13" t="s">
        <v>923</v>
      </c>
      <c r="B429" s="13" t="s">
        <v>964</v>
      </c>
      <c r="C429" s="13" t="s">
        <v>3486</v>
      </c>
      <c r="D429" s="13" t="s">
        <v>3495</v>
      </c>
      <c r="E429" s="13">
        <v>4</v>
      </c>
      <c r="F429" s="13" t="s">
        <v>3496</v>
      </c>
      <c r="G429" s="13">
        <v>39</v>
      </c>
      <c r="H429" s="13">
        <v>0</v>
      </c>
      <c r="I429" s="13"/>
      <c r="J429" s="13" t="s">
        <v>3497</v>
      </c>
      <c r="K429" s="13" t="s">
        <v>3498</v>
      </c>
    </row>
    <row r="430" spans="1:11" x14ac:dyDescent="0.3">
      <c r="A430" s="13" t="s">
        <v>923</v>
      </c>
      <c r="B430" s="13" t="s">
        <v>964</v>
      </c>
      <c r="C430" s="13" t="s">
        <v>3486</v>
      </c>
      <c r="D430" s="13" t="s">
        <v>3499</v>
      </c>
      <c r="E430" s="13">
        <v>4</v>
      </c>
      <c r="F430" s="13" t="s">
        <v>3500</v>
      </c>
      <c r="G430" s="13">
        <v>52</v>
      </c>
      <c r="H430" s="13">
        <v>0</v>
      </c>
      <c r="I430" s="13"/>
      <c r="J430" s="13" t="s">
        <v>3501</v>
      </c>
      <c r="K430" s="13" t="s">
        <v>3502</v>
      </c>
    </row>
    <row r="431" spans="1:11" x14ac:dyDescent="0.3">
      <c r="A431" s="13" t="s">
        <v>923</v>
      </c>
      <c r="B431" s="13" t="s">
        <v>964</v>
      </c>
      <c r="C431" s="13" t="s">
        <v>3486</v>
      </c>
      <c r="D431" s="13" t="s">
        <v>3503</v>
      </c>
      <c r="E431" s="13">
        <v>4</v>
      </c>
      <c r="F431" s="13" t="s">
        <v>3504</v>
      </c>
      <c r="G431" s="13">
        <v>67</v>
      </c>
      <c r="H431" s="13">
        <v>0</v>
      </c>
      <c r="I431" s="13"/>
      <c r="J431" s="13" t="s">
        <v>3505</v>
      </c>
      <c r="K431" s="13" t="s">
        <v>3506</v>
      </c>
    </row>
    <row r="432" spans="1:11" x14ac:dyDescent="0.3">
      <c r="A432" s="13" t="s">
        <v>923</v>
      </c>
      <c r="B432" s="13" t="s">
        <v>964</v>
      </c>
      <c r="C432" s="13" t="s">
        <v>3486</v>
      </c>
      <c r="D432" s="13" t="s">
        <v>3507</v>
      </c>
      <c r="E432" s="13">
        <v>4</v>
      </c>
      <c r="F432" s="13" t="s">
        <v>3508</v>
      </c>
      <c r="G432" s="13">
        <v>67</v>
      </c>
      <c r="H432" s="13">
        <v>0</v>
      </c>
      <c r="I432" s="13"/>
      <c r="J432" s="13" t="s">
        <v>3509</v>
      </c>
      <c r="K432" s="13" t="s">
        <v>3510</v>
      </c>
    </row>
    <row r="433" spans="1:11" x14ac:dyDescent="0.3">
      <c r="A433" s="13" t="s">
        <v>923</v>
      </c>
      <c r="B433" s="13" t="s">
        <v>964</v>
      </c>
      <c r="C433" s="13" t="s">
        <v>3511</v>
      </c>
      <c r="D433" s="13"/>
      <c r="E433" s="13">
        <v>3</v>
      </c>
      <c r="F433" s="13" t="s">
        <v>3512</v>
      </c>
      <c r="G433" s="13">
        <v>6</v>
      </c>
      <c r="H433" s="13">
        <v>0</v>
      </c>
      <c r="I433" s="13"/>
      <c r="J433" s="13" t="s">
        <v>3513</v>
      </c>
      <c r="K433" s="13" t="s">
        <v>3514</v>
      </c>
    </row>
    <row r="434" spans="1:11" x14ac:dyDescent="0.3">
      <c r="A434" s="13" t="s">
        <v>923</v>
      </c>
      <c r="B434" s="13" t="s">
        <v>964</v>
      </c>
      <c r="C434" s="13" t="s">
        <v>3515</v>
      </c>
      <c r="D434" s="13" t="s">
        <v>3516</v>
      </c>
      <c r="E434" s="13">
        <v>4</v>
      </c>
      <c r="F434" s="13" t="s">
        <v>3517</v>
      </c>
      <c r="G434" s="13">
        <v>764</v>
      </c>
      <c r="H434" s="13">
        <v>0</v>
      </c>
      <c r="I434" s="13"/>
      <c r="J434" s="13" t="s">
        <v>3518</v>
      </c>
      <c r="K434" s="13" t="s">
        <v>3519</v>
      </c>
    </row>
    <row r="435" spans="1:11" x14ac:dyDescent="0.3">
      <c r="A435" s="13" t="s">
        <v>923</v>
      </c>
      <c r="B435" s="13" t="s">
        <v>964</v>
      </c>
      <c r="C435" s="13" t="s">
        <v>3515</v>
      </c>
      <c r="D435" s="13" t="s">
        <v>3520</v>
      </c>
      <c r="E435" s="13">
        <v>4</v>
      </c>
      <c r="F435" s="13" t="s">
        <v>3521</v>
      </c>
      <c r="G435" s="13">
        <v>316</v>
      </c>
      <c r="H435" s="13">
        <v>0</v>
      </c>
      <c r="I435" s="13"/>
      <c r="J435" s="13" t="s">
        <v>3522</v>
      </c>
      <c r="K435" s="13" t="s">
        <v>3523</v>
      </c>
    </row>
    <row r="436" spans="1:11" x14ac:dyDescent="0.3">
      <c r="A436" s="13" t="s">
        <v>923</v>
      </c>
      <c r="B436" s="13" t="s">
        <v>964</v>
      </c>
      <c r="C436" s="13" t="s">
        <v>3515</v>
      </c>
      <c r="D436" s="13" t="s">
        <v>3524</v>
      </c>
      <c r="E436" s="13">
        <v>4</v>
      </c>
      <c r="F436" s="13" t="s">
        <v>3525</v>
      </c>
      <c r="G436" s="13">
        <v>1144</v>
      </c>
      <c r="H436" s="13">
        <v>0</v>
      </c>
      <c r="I436" s="13"/>
      <c r="J436" s="13" t="s">
        <v>3526</v>
      </c>
      <c r="K436" s="13" t="s">
        <v>3527</v>
      </c>
    </row>
    <row r="437" spans="1:11" x14ac:dyDescent="0.3">
      <c r="A437" s="13" t="s">
        <v>923</v>
      </c>
      <c r="B437" s="13" t="s">
        <v>964</v>
      </c>
      <c r="C437" s="13" t="s">
        <v>3515</v>
      </c>
      <c r="D437" s="13" t="s">
        <v>3528</v>
      </c>
      <c r="E437" s="13">
        <v>4</v>
      </c>
      <c r="F437" s="13" t="s">
        <v>3529</v>
      </c>
      <c r="G437" s="13">
        <v>2</v>
      </c>
      <c r="H437" s="13">
        <v>0</v>
      </c>
      <c r="I437" s="13"/>
      <c r="J437" s="13" t="s">
        <v>3530</v>
      </c>
      <c r="K437" s="13" t="s">
        <v>3531</v>
      </c>
    </row>
    <row r="438" spans="1:11" x14ac:dyDescent="0.3">
      <c r="A438" s="13" t="s">
        <v>923</v>
      </c>
      <c r="B438" s="13" t="s">
        <v>964</v>
      </c>
      <c r="C438" s="13" t="s">
        <v>3515</v>
      </c>
      <c r="D438" s="13" t="s">
        <v>3532</v>
      </c>
      <c r="E438" s="13">
        <v>4</v>
      </c>
      <c r="F438" s="13" t="s">
        <v>3533</v>
      </c>
      <c r="G438" s="13">
        <v>1463</v>
      </c>
      <c r="H438" s="13">
        <v>0</v>
      </c>
      <c r="I438" s="13"/>
      <c r="J438" s="13" t="s">
        <v>3534</v>
      </c>
      <c r="K438" s="13" t="s">
        <v>3535</v>
      </c>
    </row>
    <row r="439" spans="1:11" x14ac:dyDescent="0.3">
      <c r="A439" s="13" t="s">
        <v>923</v>
      </c>
      <c r="B439" s="13" t="s">
        <v>964</v>
      </c>
      <c r="C439" s="13" t="s">
        <v>3515</v>
      </c>
      <c r="D439" s="13" t="s">
        <v>3536</v>
      </c>
      <c r="E439" s="13">
        <v>4</v>
      </c>
      <c r="F439" s="13" t="s">
        <v>3537</v>
      </c>
      <c r="G439" s="13">
        <v>572</v>
      </c>
      <c r="H439" s="13">
        <v>0</v>
      </c>
      <c r="I439" s="13"/>
      <c r="J439" s="13" t="s">
        <v>3538</v>
      </c>
      <c r="K439" s="13" t="s">
        <v>3539</v>
      </c>
    </row>
    <row r="440" spans="1:11" x14ac:dyDescent="0.3">
      <c r="A440" s="13" t="s">
        <v>923</v>
      </c>
      <c r="B440" s="13" t="s">
        <v>964</v>
      </c>
      <c r="C440" s="13" t="s">
        <v>3515</v>
      </c>
      <c r="D440" s="13" t="s">
        <v>3540</v>
      </c>
      <c r="E440" s="13">
        <v>4</v>
      </c>
      <c r="F440" s="13" t="s">
        <v>3541</v>
      </c>
      <c r="G440" s="13">
        <v>8</v>
      </c>
      <c r="H440" s="13">
        <v>0</v>
      </c>
      <c r="I440" s="13"/>
      <c r="J440" s="13" t="s">
        <v>3542</v>
      </c>
      <c r="K440" s="13" t="s">
        <v>3543</v>
      </c>
    </row>
    <row r="441" spans="1:11" x14ac:dyDescent="0.3">
      <c r="A441" s="13" t="s">
        <v>923</v>
      </c>
      <c r="B441" s="13" t="s">
        <v>964</v>
      </c>
      <c r="C441" s="13" t="s">
        <v>3515</v>
      </c>
      <c r="D441" s="13" t="s">
        <v>3544</v>
      </c>
      <c r="E441" s="13">
        <v>4</v>
      </c>
      <c r="F441" s="13" t="s">
        <v>3545</v>
      </c>
      <c r="G441" s="13">
        <v>15</v>
      </c>
      <c r="H441" s="13">
        <v>0</v>
      </c>
      <c r="I441" s="13"/>
      <c r="J441" s="13" t="s">
        <v>3546</v>
      </c>
      <c r="K441" s="13" t="s">
        <v>3547</v>
      </c>
    </row>
    <row r="442" spans="1:11" x14ac:dyDescent="0.3">
      <c r="A442" s="13" t="s">
        <v>923</v>
      </c>
      <c r="B442" s="13" t="s">
        <v>964</v>
      </c>
      <c r="C442" s="13" t="s">
        <v>3515</v>
      </c>
      <c r="D442" s="13" t="s">
        <v>3548</v>
      </c>
      <c r="E442" s="13">
        <v>4</v>
      </c>
      <c r="F442" s="13" t="s">
        <v>3549</v>
      </c>
      <c r="G442" s="13">
        <v>57</v>
      </c>
      <c r="H442" s="13">
        <v>0</v>
      </c>
      <c r="I442" s="13"/>
      <c r="J442" s="13" t="s">
        <v>3550</v>
      </c>
      <c r="K442" s="13" t="s">
        <v>3551</v>
      </c>
    </row>
    <row r="443" spans="1:11" x14ac:dyDescent="0.3">
      <c r="A443" s="13" t="s">
        <v>923</v>
      </c>
      <c r="B443" s="13" t="s">
        <v>964</v>
      </c>
      <c r="C443" s="13" t="s">
        <v>3515</v>
      </c>
      <c r="D443" s="13" t="s">
        <v>3552</v>
      </c>
      <c r="E443" s="13">
        <v>4</v>
      </c>
      <c r="F443" s="13" t="s">
        <v>3553</v>
      </c>
      <c r="G443" s="13">
        <v>415</v>
      </c>
      <c r="H443" s="13">
        <v>0</v>
      </c>
      <c r="I443" s="13"/>
      <c r="J443" s="13" t="s">
        <v>3554</v>
      </c>
      <c r="K443" s="13" t="s">
        <v>3555</v>
      </c>
    </row>
    <row r="444" spans="1:11" x14ac:dyDescent="0.3">
      <c r="A444" s="13" t="s">
        <v>923</v>
      </c>
      <c r="B444" s="13" t="s">
        <v>964</v>
      </c>
      <c r="C444" s="13" t="s">
        <v>3515</v>
      </c>
      <c r="D444" s="13" t="s">
        <v>3556</v>
      </c>
      <c r="E444" s="13">
        <v>4</v>
      </c>
      <c r="F444" s="13" t="s">
        <v>3557</v>
      </c>
      <c r="G444" s="13">
        <v>1</v>
      </c>
      <c r="H444" s="13">
        <v>0</v>
      </c>
      <c r="I444" s="13"/>
      <c r="J444" s="13" t="s">
        <v>3558</v>
      </c>
      <c r="K444" s="13" t="s">
        <v>3559</v>
      </c>
    </row>
    <row r="445" spans="1:11" x14ac:dyDescent="0.3">
      <c r="A445" s="13" t="s">
        <v>923</v>
      </c>
      <c r="B445" s="13" t="s">
        <v>964</v>
      </c>
      <c r="C445" s="13" t="s">
        <v>3515</v>
      </c>
      <c r="D445" s="13" t="s">
        <v>3560</v>
      </c>
      <c r="E445" s="13">
        <v>4</v>
      </c>
      <c r="F445" s="13" t="s">
        <v>3561</v>
      </c>
      <c r="G445" s="13">
        <v>13</v>
      </c>
      <c r="H445" s="13">
        <v>0</v>
      </c>
      <c r="I445" s="13"/>
      <c r="J445" s="13" t="s">
        <v>3562</v>
      </c>
      <c r="K445" s="13" t="s">
        <v>3563</v>
      </c>
    </row>
    <row r="446" spans="1:11" x14ac:dyDescent="0.3">
      <c r="A446" s="13" t="s">
        <v>923</v>
      </c>
      <c r="B446" s="13" t="s">
        <v>964</v>
      </c>
      <c r="C446" s="13" t="s">
        <v>3515</v>
      </c>
      <c r="D446" s="13" t="s">
        <v>3564</v>
      </c>
      <c r="E446" s="13">
        <v>4</v>
      </c>
      <c r="F446" s="13" t="s">
        <v>3565</v>
      </c>
      <c r="G446" s="13">
        <v>1166</v>
      </c>
      <c r="H446" s="13">
        <v>0</v>
      </c>
      <c r="I446" s="13"/>
      <c r="J446" s="13" t="s">
        <v>3566</v>
      </c>
      <c r="K446" s="13" t="s">
        <v>3567</v>
      </c>
    </row>
    <row r="447" spans="1:11" x14ac:dyDescent="0.3">
      <c r="A447" s="13" t="s">
        <v>923</v>
      </c>
      <c r="B447" s="13" t="s">
        <v>964</v>
      </c>
      <c r="C447" s="13" t="s">
        <v>3515</v>
      </c>
      <c r="D447" s="13" t="s">
        <v>3568</v>
      </c>
      <c r="E447" s="13">
        <v>4</v>
      </c>
      <c r="F447" s="13" t="s">
        <v>3569</v>
      </c>
      <c r="G447" s="13">
        <v>13</v>
      </c>
      <c r="H447" s="13">
        <v>0</v>
      </c>
      <c r="I447" s="13"/>
      <c r="J447" s="13" t="s">
        <v>3570</v>
      </c>
      <c r="K447" s="13" t="s">
        <v>3571</v>
      </c>
    </row>
    <row r="448" spans="1:11" x14ac:dyDescent="0.3">
      <c r="A448" s="13" t="s">
        <v>923</v>
      </c>
      <c r="B448" s="13" t="s">
        <v>964</v>
      </c>
      <c r="C448" s="13" t="s">
        <v>3515</v>
      </c>
      <c r="D448" s="13" t="s">
        <v>3572</v>
      </c>
      <c r="E448" s="13">
        <v>4</v>
      </c>
      <c r="F448" s="13" t="s">
        <v>3573</v>
      </c>
      <c r="G448" s="13">
        <v>629</v>
      </c>
      <c r="H448" s="13">
        <v>0</v>
      </c>
      <c r="I448" s="13"/>
      <c r="J448" s="13" t="s">
        <v>3574</v>
      </c>
      <c r="K448" s="13" t="s">
        <v>3575</v>
      </c>
    </row>
    <row r="449" spans="1:11" x14ac:dyDescent="0.3">
      <c r="A449" s="13" t="s">
        <v>923</v>
      </c>
      <c r="B449" s="13" t="s">
        <v>964</v>
      </c>
      <c r="C449" s="13" t="s">
        <v>3515</v>
      </c>
      <c r="D449" s="13" t="s">
        <v>3576</v>
      </c>
      <c r="E449" s="13">
        <v>4</v>
      </c>
      <c r="F449" s="13" t="s">
        <v>3577</v>
      </c>
      <c r="G449" s="13">
        <v>1</v>
      </c>
      <c r="H449" s="13">
        <v>0</v>
      </c>
      <c r="I449" s="13"/>
      <c r="J449" s="13" t="s">
        <v>3578</v>
      </c>
      <c r="K449" s="13" t="s">
        <v>3579</v>
      </c>
    </row>
    <row r="450" spans="1:11" x14ac:dyDescent="0.3">
      <c r="A450" s="13" t="s">
        <v>923</v>
      </c>
      <c r="B450" s="13" t="s">
        <v>964</v>
      </c>
      <c r="C450" s="13" t="s">
        <v>3515</v>
      </c>
      <c r="D450" s="13" t="s">
        <v>3580</v>
      </c>
      <c r="E450" s="13">
        <v>4</v>
      </c>
      <c r="F450" s="13" t="s">
        <v>3581</v>
      </c>
      <c r="G450" s="13">
        <v>3</v>
      </c>
      <c r="H450" s="13">
        <v>0</v>
      </c>
      <c r="I450" s="13"/>
      <c r="J450" s="13" t="s">
        <v>3582</v>
      </c>
      <c r="K450" s="13" t="s">
        <v>3583</v>
      </c>
    </row>
    <row r="451" spans="1:11" x14ac:dyDescent="0.3">
      <c r="A451" s="13" t="s">
        <v>923</v>
      </c>
      <c r="B451" s="13" t="s">
        <v>964</v>
      </c>
      <c r="C451" s="13" t="s">
        <v>3515</v>
      </c>
      <c r="D451" s="13" t="s">
        <v>3584</v>
      </c>
      <c r="E451" s="13">
        <v>4</v>
      </c>
      <c r="F451" s="13" t="s">
        <v>3585</v>
      </c>
      <c r="G451" s="13">
        <v>120</v>
      </c>
      <c r="H451" s="13">
        <v>0</v>
      </c>
      <c r="I451" s="13"/>
      <c r="J451" s="13" t="s">
        <v>3586</v>
      </c>
      <c r="K451" s="13" t="s">
        <v>3587</v>
      </c>
    </row>
    <row r="452" spans="1:11" x14ac:dyDescent="0.3">
      <c r="A452" s="13" t="s">
        <v>923</v>
      </c>
      <c r="B452" s="13" t="s">
        <v>964</v>
      </c>
      <c r="C452" s="13" t="s">
        <v>3515</v>
      </c>
      <c r="D452" s="13" t="s">
        <v>3588</v>
      </c>
      <c r="E452" s="13">
        <v>4</v>
      </c>
      <c r="F452" s="13" t="s">
        <v>3589</v>
      </c>
      <c r="G452" s="13">
        <v>168</v>
      </c>
      <c r="H452" s="13">
        <v>0</v>
      </c>
      <c r="I452" s="13"/>
      <c r="J452" s="13" t="s">
        <v>3590</v>
      </c>
      <c r="K452" s="13" t="s">
        <v>3591</v>
      </c>
    </row>
    <row r="453" spans="1:11" x14ac:dyDescent="0.3">
      <c r="A453" s="13" t="s">
        <v>923</v>
      </c>
      <c r="B453" s="13" t="s">
        <v>964</v>
      </c>
      <c r="C453" s="13" t="s">
        <v>3515</v>
      </c>
      <c r="D453" s="13" t="s">
        <v>3592</v>
      </c>
      <c r="E453" s="13">
        <v>4</v>
      </c>
      <c r="F453" s="13" t="s">
        <v>3593</v>
      </c>
      <c r="G453" s="13">
        <v>303</v>
      </c>
      <c r="H453" s="13">
        <v>0</v>
      </c>
      <c r="I453" s="13"/>
      <c r="J453" s="13" t="s">
        <v>3594</v>
      </c>
      <c r="K453" s="13" t="s">
        <v>3595</v>
      </c>
    </row>
    <row r="454" spans="1:11" x14ac:dyDescent="0.3">
      <c r="A454" s="13" t="s">
        <v>923</v>
      </c>
      <c r="B454" s="13" t="s">
        <v>964</v>
      </c>
      <c r="C454" s="13" t="s">
        <v>3515</v>
      </c>
      <c r="D454" s="13" t="s">
        <v>3596</v>
      </c>
      <c r="E454" s="13">
        <v>4</v>
      </c>
      <c r="F454" s="13" t="s">
        <v>1622</v>
      </c>
      <c r="G454" s="13">
        <v>10635</v>
      </c>
      <c r="H454" s="13">
        <v>0</v>
      </c>
      <c r="I454" s="13"/>
      <c r="J454" s="13" t="s">
        <v>3597</v>
      </c>
      <c r="K454" s="13" t="s">
        <v>3598</v>
      </c>
    </row>
    <row r="455" spans="1:11" x14ac:dyDescent="0.3">
      <c r="A455" s="13" t="s">
        <v>923</v>
      </c>
      <c r="B455" s="13" t="s">
        <v>964</v>
      </c>
      <c r="C455" s="13" t="s">
        <v>3515</v>
      </c>
      <c r="D455" s="13" t="s">
        <v>3599</v>
      </c>
      <c r="E455" s="13">
        <v>4</v>
      </c>
      <c r="F455" s="13" t="s">
        <v>3600</v>
      </c>
      <c r="G455" s="13">
        <v>293</v>
      </c>
      <c r="H455" s="13">
        <v>0</v>
      </c>
      <c r="I455" s="13"/>
      <c r="J455" s="13" t="s">
        <v>3601</v>
      </c>
      <c r="K455" s="13" t="s">
        <v>3602</v>
      </c>
    </row>
    <row r="456" spans="1:11" x14ac:dyDescent="0.3">
      <c r="A456" s="13" t="s">
        <v>923</v>
      </c>
      <c r="B456" s="13" t="s">
        <v>964</v>
      </c>
      <c r="C456" s="13" t="s">
        <v>3603</v>
      </c>
      <c r="D456" s="13"/>
      <c r="E456" s="13">
        <v>3</v>
      </c>
      <c r="F456" s="13" t="s">
        <v>3604</v>
      </c>
      <c r="G456" s="13">
        <v>18</v>
      </c>
      <c r="H456" s="13">
        <v>0</v>
      </c>
      <c r="I456" s="13"/>
      <c r="J456" s="13" t="s">
        <v>3605</v>
      </c>
      <c r="K456" s="13" t="s">
        <v>3606</v>
      </c>
    </row>
    <row r="457" spans="1:11" x14ac:dyDescent="0.3">
      <c r="A457" s="13" t="s">
        <v>923</v>
      </c>
      <c r="B457" s="13" t="s">
        <v>647</v>
      </c>
      <c r="C457" s="13" t="s">
        <v>3607</v>
      </c>
      <c r="D457" s="13"/>
      <c r="E457" s="13">
        <v>3</v>
      </c>
      <c r="F457" s="13" t="s">
        <v>3608</v>
      </c>
      <c r="G457" s="13">
        <v>20</v>
      </c>
      <c r="H457" s="13">
        <v>16</v>
      </c>
      <c r="I457" s="13"/>
      <c r="J457" s="13" t="s">
        <v>3609</v>
      </c>
      <c r="K457" s="13" t="s">
        <v>3610</v>
      </c>
    </row>
    <row r="458" spans="1:11" x14ac:dyDescent="0.3">
      <c r="A458" s="13" t="s">
        <v>923</v>
      </c>
      <c r="B458" s="13" t="s">
        <v>647</v>
      </c>
      <c r="C458" s="13" t="s">
        <v>1176</v>
      </c>
      <c r="D458" s="13" t="s">
        <v>3611</v>
      </c>
      <c r="E458" s="13">
        <v>4</v>
      </c>
      <c r="F458" s="13" t="s">
        <v>3612</v>
      </c>
      <c r="G458" s="13">
        <v>176</v>
      </c>
      <c r="H458" s="13">
        <v>157</v>
      </c>
      <c r="I458" s="13"/>
      <c r="J458" s="13" t="s">
        <v>3613</v>
      </c>
      <c r="K458" s="13" t="s">
        <v>3614</v>
      </c>
    </row>
    <row r="459" spans="1:11" x14ac:dyDescent="0.3">
      <c r="A459" s="13" t="s">
        <v>923</v>
      </c>
      <c r="B459" s="13" t="s">
        <v>647</v>
      </c>
      <c r="C459" s="13" t="s">
        <v>1176</v>
      </c>
      <c r="D459" s="13" t="s">
        <v>1177</v>
      </c>
      <c r="E459" s="13">
        <v>4</v>
      </c>
      <c r="F459" s="13" t="s">
        <v>741</v>
      </c>
      <c r="G459" s="13">
        <v>77</v>
      </c>
      <c r="H459" s="13">
        <v>40</v>
      </c>
      <c r="I459" s="3" t="s">
        <v>739</v>
      </c>
      <c r="J459" s="13" t="s">
        <v>740</v>
      </c>
      <c r="K459" s="13" t="s">
        <v>3615</v>
      </c>
    </row>
    <row r="460" spans="1:11" x14ac:dyDescent="0.3">
      <c r="A460" s="13" t="s">
        <v>923</v>
      </c>
      <c r="B460" s="13" t="s">
        <v>647</v>
      </c>
      <c r="C460" s="13" t="s">
        <v>957</v>
      </c>
      <c r="D460" s="13"/>
      <c r="E460" s="13">
        <v>3</v>
      </c>
      <c r="F460" s="13" t="s">
        <v>170</v>
      </c>
      <c r="G460" s="13">
        <v>1501</v>
      </c>
      <c r="H460" s="13">
        <v>1265</v>
      </c>
      <c r="I460" s="3" t="s">
        <v>734</v>
      </c>
      <c r="J460" s="13" t="s">
        <v>33</v>
      </c>
      <c r="K460" s="13" t="s">
        <v>176</v>
      </c>
    </row>
    <row r="461" spans="1:11" x14ac:dyDescent="0.3">
      <c r="A461" s="13" t="s">
        <v>923</v>
      </c>
      <c r="B461" s="13" t="s">
        <v>647</v>
      </c>
      <c r="C461" s="13" t="s">
        <v>1099</v>
      </c>
      <c r="D461" s="13"/>
      <c r="E461" s="13">
        <v>3</v>
      </c>
      <c r="F461" s="13" t="s">
        <v>737</v>
      </c>
      <c r="G461" s="13">
        <v>576</v>
      </c>
      <c r="H461" s="13">
        <v>395</v>
      </c>
      <c r="I461" s="3" t="s">
        <v>735</v>
      </c>
      <c r="J461" s="13" t="s">
        <v>736</v>
      </c>
      <c r="K461" s="13" t="s">
        <v>3616</v>
      </c>
    </row>
    <row r="462" spans="1:11" x14ac:dyDescent="0.3">
      <c r="A462" s="13" t="s">
        <v>923</v>
      </c>
      <c r="B462" s="13" t="s">
        <v>3617</v>
      </c>
      <c r="C462" s="13"/>
      <c r="D462" s="13"/>
      <c r="E462" s="13">
        <v>2</v>
      </c>
      <c r="F462" s="13" t="s">
        <v>3618</v>
      </c>
      <c r="G462" s="13">
        <v>798</v>
      </c>
      <c r="H462" s="13">
        <v>0</v>
      </c>
      <c r="I462" s="13"/>
      <c r="J462" s="13" t="s">
        <v>3619</v>
      </c>
      <c r="K462" s="13" t="s">
        <v>3620</v>
      </c>
    </row>
    <row r="463" spans="1:11" x14ac:dyDescent="0.3">
      <c r="A463" s="13" t="s">
        <v>923</v>
      </c>
      <c r="B463" s="13" t="s">
        <v>3621</v>
      </c>
      <c r="C463" s="13"/>
      <c r="D463" s="13"/>
      <c r="E463" s="13">
        <v>2</v>
      </c>
      <c r="F463" s="13" t="s">
        <v>3622</v>
      </c>
      <c r="G463" s="13">
        <v>8</v>
      </c>
      <c r="H463" s="13">
        <v>0</v>
      </c>
      <c r="I463" s="13"/>
      <c r="J463" s="13" t="s">
        <v>3623</v>
      </c>
      <c r="K463" s="13" t="s">
        <v>3624</v>
      </c>
    </row>
    <row r="464" spans="1:11" x14ac:dyDescent="0.3">
      <c r="A464" s="13" t="s">
        <v>923</v>
      </c>
      <c r="B464" s="13" t="s">
        <v>1134</v>
      </c>
      <c r="C464" s="13" t="s">
        <v>1135</v>
      </c>
      <c r="D464" s="13"/>
      <c r="E464" s="13">
        <v>3</v>
      </c>
      <c r="F464" s="13" t="s">
        <v>373</v>
      </c>
      <c r="G464" s="13">
        <v>203</v>
      </c>
      <c r="H464" s="13">
        <v>0</v>
      </c>
      <c r="I464" s="3" t="s">
        <v>1133</v>
      </c>
      <c r="J464" s="13" t="s">
        <v>372</v>
      </c>
      <c r="K464" s="13" t="s">
        <v>380</v>
      </c>
    </row>
    <row r="465" spans="1:11" x14ac:dyDescent="0.3">
      <c r="A465" s="13" t="s">
        <v>923</v>
      </c>
      <c r="B465" s="13" t="s">
        <v>1134</v>
      </c>
      <c r="C465" s="13" t="s">
        <v>3625</v>
      </c>
      <c r="D465" s="13"/>
      <c r="E465" s="13">
        <v>3</v>
      </c>
      <c r="F465" s="13" t="s">
        <v>3626</v>
      </c>
      <c r="G465" s="13">
        <v>718</v>
      </c>
      <c r="H465" s="13">
        <v>0</v>
      </c>
      <c r="I465" s="13"/>
      <c r="J465" s="13" t="s">
        <v>3627</v>
      </c>
      <c r="K465" s="13" t="s">
        <v>3628</v>
      </c>
    </row>
    <row r="466" spans="1:11" x14ac:dyDescent="0.3">
      <c r="A466" s="13" t="s">
        <v>923</v>
      </c>
      <c r="B466" s="13" t="s">
        <v>1134</v>
      </c>
      <c r="C466" s="13" t="s">
        <v>3629</v>
      </c>
      <c r="D466" s="13"/>
      <c r="E466" s="13">
        <v>3</v>
      </c>
      <c r="F466" s="13" t="s">
        <v>3630</v>
      </c>
      <c r="G466" s="13">
        <v>603</v>
      </c>
      <c r="H466" s="13">
        <v>0</v>
      </c>
      <c r="I466" s="13"/>
      <c r="J466" s="13" t="s">
        <v>3631</v>
      </c>
      <c r="K466" s="13" t="s">
        <v>3632</v>
      </c>
    </row>
    <row r="467" spans="1:11" x14ac:dyDescent="0.3">
      <c r="A467" s="13" t="s">
        <v>923</v>
      </c>
      <c r="B467" s="13" t="s">
        <v>1134</v>
      </c>
      <c r="C467" s="13" t="s">
        <v>3633</v>
      </c>
      <c r="D467" s="13"/>
      <c r="E467" s="13">
        <v>3</v>
      </c>
      <c r="F467" s="13" t="s">
        <v>3634</v>
      </c>
      <c r="G467" s="13">
        <v>151</v>
      </c>
      <c r="H467" s="13">
        <v>0</v>
      </c>
      <c r="I467" s="13"/>
      <c r="J467" s="13" t="s">
        <v>3635</v>
      </c>
      <c r="K467" s="13" t="s">
        <v>3636</v>
      </c>
    </row>
    <row r="468" spans="1:11" x14ac:dyDescent="0.3">
      <c r="A468" s="13" t="s">
        <v>923</v>
      </c>
      <c r="B468" s="13" t="s">
        <v>1134</v>
      </c>
      <c r="C468" s="13" t="s">
        <v>3637</v>
      </c>
      <c r="D468" s="13"/>
      <c r="E468" s="13">
        <v>3</v>
      </c>
      <c r="F468" s="13" t="s">
        <v>3638</v>
      </c>
      <c r="G468" s="13">
        <v>122</v>
      </c>
      <c r="H468" s="13">
        <v>0</v>
      </c>
      <c r="I468" s="13"/>
      <c r="J468" s="13" t="s">
        <v>3639</v>
      </c>
      <c r="K468" s="13" t="s">
        <v>3640</v>
      </c>
    </row>
    <row r="469" spans="1:11" x14ac:dyDescent="0.3">
      <c r="A469" s="13" t="s">
        <v>923</v>
      </c>
      <c r="B469" s="13" t="s">
        <v>1134</v>
      </c>
      <c r="C469" s="13" t="s">
        <v>3641</v>
      </c>
      <c r="D469" s="13"/>
      <c r="E469" s="13">
        <v>3</v>
      </c>
      <c r="F469" s="13" t="s">
        <v>3642</v>
      </c>
      <c r="G469" s="13">
        <v>71</v>
      </c>
      <c r="H469" s="13">
        <v>0</v>
      </c>
      <c r="I469" s="13"/>
      <c r="J469" s="13" t="s">
        <v>3643</v>
      </c>
      <c r="K469" s="13" t="s">
        <v>3644</v>
      </c>
    </row>
    <row r="470" spans="1:11" x14ac:dyDescent="0.3">
      <c r="A470" s="13" t="s">
        <v>923</v>
      </c>
      <c r="B470" s="13" t="s">
        <v>1134</v>
      </c>
      <c r="C470" s="13" t="s">
        <v>3645</v>
      </c>
      <c r="D470" s="13" t="s">
        <v>3646</v>
      </c>
      <c r="E470" s="13">
        <v>4</v>
      </c>
      <c r="F470" s="13" t="s">
        <v>3647</v>
      </c>
      <c r="G470" s="13">
        <v>46</v>
      </c>
      <c r="H470" s="13">
        <v>0</v>
      </c>
      <c r="I470" s="13"/>
      <c r="J470" s="13" t="s">
        <v>3648</v>
      </c>
      <c r="K470" s="13" t="s">
        <v>3649</v>
      </c>
    </row>
    <row r="471" spans="1:11" x14ac:dyDescent="0.3">
      <c r="A471" s="13" t="s">
        <v>923</v>
      </c>
      <c r="B471" s="13" t="s">
        <v>1134</v>
      </c>
      <c r="C471" s="13" t="s">
        <v>3645</v>
      </c>
      <c r="D471" s="13" t="s">
        <v>3650</v>
      </c>
      <c r="E471" s="13">
        <v>4</v>
      </c>
      <c r="F471" s="13" t="s">
        <v>3651</v>
      </c>
      <c r="G471" s="13">
        <v>160</v>
      </c>
      <c r="H471" s="13">
        <v>0</v>
      </c>
      <c r="I471" s="13"/>
      <c r="J471" s="13" t="s">
        <v>3652</v>
      </c>
      <c r="K471" s="13" t="s">
        <v>3653</v>
      </c>
    </row>
    <row r="472" spans="1:11" x14ac:dyDescent="0.3">
      <c r="A472" s="13" t="s">
        <v>923</v>
      </c>
      <c r="B472" s="13" t="s">
        <v>1134</v>
      </c>
      <c r="C472" s="13" t="s">
        <v>3654</v>
      </c>
      <c r="D472" s="13"/>
      <c r="E472" s="13">
        <v>3</v>
      </c>
      <c r="F472" s="13" t="s">
        <v>3655</v>
      </c>
      <c r="G472" s="13">
        <v>217</v>
      </c>
      <c r="H472" s="13">
        <v>0</v>
      </c>
      <c r="I472" s="13"/>
      <c r="J472" s="13" t="s">
        <v>3656</v>
      </c>
      <c r="K472" s="13" t="s">
        <v>3657</v>
      </c>
    </row>
    <row r="473" spans="1:11" x14ac:dyDescent="0.3">
      <c r="A473" s="13" t="s">
        <v>923</v>
      </c>
      <c r="B473" s="13" t="s">
        <v>654</v>
      </c>
      <c r="C473" s="13" t="s">
        <v>3658</v>
      </c>
      <c r="D473" s="13"/>
      <c r="E473" s="13">
        <v>3</v>
      </c>
      <c r="F473" s="13" t="s">
        <v>3659</v>
      </c>
      <c r="G473" s="13">
        <v>31</v>
      </c>
      <c r="H473" s="13">
        <v>31</v>
      </c>
      <c r="I473" s="13"/>
      <c r="J473" s="13" t="s">
        <v>3660</v>
      </c>
      <c r="K473" s="13" t="s">
        <v>3661</v>
      </c>
    </row>
    <row r="474" spans="1:11" x14ac:dyDescent="0.3">
      <c r="A474" s="13" t="s">
        <v>923</v>
      </c>
      <c r="B474" s="13" t="s">
        <v>654</v>
      </c>
      <c r="C474" s="13" t="s">
        <v>3662</v>
      </c>
      <c r="D474" s="13"/>
      <c r="E474" s="13">
        <v>3</v>
      </c>
      <c r="F474" s="13" t="s">
        <v>3663</v>
      </c>
      <c r="G474" s="13">
        <v>56</v>
      </c>
      <c r="H474" s="13">
        <v>48</v>
      </c>
      <c r="I474" s="13"/>
      <c r="J474" s="13" t="s">
        <v>3664</v>
      </c>
      <c r="K474" s="13" t="s">
        <v>3665</v>
      </c>
    </row>
    <row r="475" spans="1:11" x14ac:dyDescent="0.3">
      <c r="A475" s="13" t="s">
        <v>923</v>
      </c>
      <c r="B475" s="13" t="s">
        <v>654</v>
      </c>
      <c r="C475" s="13" t="s">
        <v>3666</v>
      </c>
      <c r="D475" s="13"/>
      <c r="E475" s="13">
        <v>3</v>
      </c>
      <c r="F475" s="13" t="s">
        <v>3667</v>
      </c>
      <c r="G475" s="13">
        <v>45</v>
      </c>
      <c r="H475" s="13">
        <v>40</v>
      </c>
      <c r="I475" s="13"/>
      <c r="J475" s="13" t="s">
        <v>3668</v>
      </c>
      <c r="K475" s="13" t="s">
        <v>3669</v>
      </c>
    </row>
    <row r="476" spans="1:11" x14ac:dyDescent="0.3">
      <c r="A476" s="13" t="s">
        <v>923</v>
      </c>
      <c r="B476" s="13" t="s">
        <v>654</v>
      </c>
      <c r="C476" s="13" t="s">
        <v>927</v>
      </c>
      <c r="D476" s="13"/>
      <c r="E476" s="13">
        <v>3</v>
      </c>
      <c r="F476" s="13" t="s">
        <v>205</v>
      </c>
      <c r="G476" s="13">
        <v>210</v>
      </c>
      <c r="H476" s="13">
        <v>195</v>
      </c>
      <c r="I476" s="3" t="s">
        <v>742</v>
      </c>
      <c r="J476" s="13" t="s">
        <v>48</v>
      </c>
      <c r="K476" s="13" t="s">
        <v>211</v>
      </c>
    </row>
    <row r="477" spans="1:11" x14ac:dyDescent="0.3">
      <c r="A477" s="13" t="s">
        <v>923</v>
      </c>
      <c r="B477" s="13" t="s">
        <v>654</v>
      </c>
      <c r="C477" s="13" t="s">
        <v>1024</v>
      </c>
      <c r="D477" s="13"/>
      <c r="E477" s="13">
        <v>3</v>
      </c>
      <c r="F477" s="13" t="s">
        <v>748</v>
      </c>
      <c r="G477" s="13">
        <v>132</v>
      </c>
      <c r="H477" s="13">
        <v>120</v>
      </c>
      <c r="I477" s="3" t="s">
        <v>746</v>
      </c>
      <c r="J477" s="13" t="s">
        <v>747</v>
      </c>
      <c r="K477" s="13" t="s">
        <v>3670</v>
      </c>
    </row>
    <row r="478" spans="1:11" x14ac:dyDescent="0.3">
      <c r="A478" s="13" t="s">
        <v>923</v>
      </c>
      <c r="B478" s="13" t="s">
        <v>654</v>
      </c>
      <c r="C478" s="13" t="s">
        <v>3671</v>
      </c>
      <c r="D478" s="13" t="s">
        <v>3672</v>
      </c>
      <c r="E478" s="13">
        <v>4</v>
      </c>
      <c r="F478" s="13" t="s">
        <v>3673</v>
      </c>
      <c r="G478" s="13">
        <v>16</v>
      </c>
      <c r="H478" s="13">
        <v>15</v>
      </c>
      <c r="I478" s="13"/>
      <c r="J478" s="13" t="s">
        <v>3674</v>
      </c>
      <c r="K478" s="13" t="s">
        <v>3675</v>
      </c>
    </row>
    <row r="479" spans="1:11" x14ac:dyDescent="0.3">
      <c r="A479" s="13" t="s">
        <v>923</v>
      </c>
      <c r="B479" s="13" t="s">
        <v>654</v>
      </c>
      <c r="C479" s="13" t="s">
        <v>3671</v>
      </c>
      <c r="D479" s="13" t="s">
        <v>3676</v>
      </c>
      <c r="E479" s="13">
        <v>4</v>
      </c>
      <c r="F479" s="13" t="s">
        <v>3677</v>
      </c>
      <c r="G479" s="13">
        <v>4</v>
      </c>
      <c r="H479" s="13">
        <v>4</v>
      </c>
      <c r="I479" s="13"/>
      <c r="J479" s="13" t="s">
        <v>3678</v>
      </c>
      <c r="K479" s="13" t="s">
        <v>3679</v>
      </c>
    </row>
    <row r="480" spans="1:11" x14ac:dyDescent="0.3">
      <c r="A480" s="13" t="s">
        <v>923</v>
      </c>
      <c r="B480" s="13" t="s">
        <v>654</v>
      </c>
      <c r="C480" s="13" t="s">
        <v>3671</v>
      </c>
      <c r="D480" s="13" t="s">
        <v>3680</v>
      </c>
      <c r="E480" s="13">
        <v>4</v>
      </c>
      <c r="F480" s="13" t="s">
        <v>3681</v>
      </c>
      <c r="G480" s="13">
        <v>1</v>
      </c>
      <c r="H480" s="13">
        <v>1</v>
      </c>
      <c r="I480" s="13"/>
      <c r="J480" s="13" t="s">
        <v>3682</v>
      </c>
      <c r="K480" s="13" t="s">
        <v>3683</v>
      </c>
    </row>
    <row r="481" spans="1:11" x14ac:dyDescent="0.3">
      <c r="A481" s="13" t="s">
        <v>923</v>
      </c>
      <c r="B481" s="13" t="s">
        <v>654</v>
      </c>
      <c r="C481" s="13" t="s">
        <v>3684</v>
      </c>
      <c r="D481" s="13"/>
      <c r="E481" s="13">
        <v>3</v>
      </c>
      <c r="F481" s="13" t="s">
        <v>3685</v>
      </c>
      <c r="G481" s="13">
        <v>18</v>
      </c>
      <c r="H481" s="13">
        <v>83</v>
      </c>
      <c r="I481" s="13"/>
      <c r="J481" s="13" t="s">
        <v>3686</v>
      </c>
      <c r="K481" s="13" t="s">
        <v>3687</v>
      </c>
    </row>
    <row r="482" spans="1:11" x14ac:dyDescent="0.3">
      <c r="A482" s="13" t="s">
        <v>923</v>
      </c>
      <c r="B482" s="13" t="s">
        <v>654</v>
      </c>
      <c r="C482" s="13" t="s">
        <v>3688</v>
      </c>
      <c r="D482" s="13"/>
      <c r="E482" s="13">
        <v>3</v>
      </c>
      <c r="F482" s="13" t="s">
        <v>3689</v>
      </c>
      <c r="G482" s="13">
        <v>38</v>
      </c>
      <c r="H482" s="13">
        <v>37</v>
      </c>
      <c r="I482" s="13"/>
      <c r="J482" s="13" t="s">
        <v>3690</v>
      </c>
      <c r="K482" s="13" t="s">
        <v>3691</v>
      </c>
    </row>
    <row r="483" spans="1:11" x14ac:dyDescent="0.3">
      <c r="A483" s="13" t="s">
        <v>923</v>
      </c>
      <c r="B483" s="13" t="s">
        <v>654</v>
      </c>
      <c r="C483" s="13" t="s">
        <v>1012</v>
      </c>
      <c r="D483" s="13"/>
      <c r="E483" s="13">
        <v>3</v>
      </c>
      <c r="F483" s="13" t="s">
        <v>745</v>
      </c>
      <c r="G483" s="13">
        <v>211</v>
      </c>
      <c r="H483" s="13">
        <v>129</v>
      </c>
      <c r="I483" s="3" t="s">
        <v>743</v>
      </c>
      <c r="J483" s="13" t="s">
        <v>744</v>
      </c>
      <c r="K483" s="13" t="s">
        <v>3692</v>
      </c>
    </row>
    <row r="484" spans="1:11" x14ac:dyDescent="0.3">
      <c r="A484" s="13" t="s">
        <v>923</v>
      </c>
      <c r="B484" s="13" t="s">
        <v>654</v>
      </c>
      <c r="C484" s="13" t="s">
        <v>3693</v>
      </c>
      <c r="D484" s="13"/>
      <c r="E484" s="13">
        <v>3</v>
      </c>
      <c r="F484" s="13" t="s">
        <v>3694</v>
      </c>
      <c r="G484" s="13">
        <v>2</v>
      </c>
      <c r="H484" s="13">
        <v>2</v>
      </c>
      <c r="I484" s="13"/>
      <c r="J484" s="13" t="s">
        <v>3695</v>
      </c>
      <c r="K484" s="13" t="s">
        <v>3696</v>
      </c>
    </row>
    <row r="485" spans="1:11" x14ac:dyDescent="0.3">
      <c r="A485" s="13" t="s">
        <v>923</v>
      </c>
      <c r="B485" s="13" t="s">
        <v>654</v>
      </c>
      <c r="C485" s="13" t="s">
        <v>3697</v>
      </c>
      <c r="D485" s="13"/>
      <c r="E485" s="13">
        <v>3</v>
      </c>
      <c r="F485" s="13" t="s">
        <v>3698</v>
      </c>
      <c r="G485" s="13">
        <v>8</v>
      </c>
      <c r="H485" s="13">
        <v>8</v>
      </c>
      <c r="I485" s="13"/>
      <c r="J485" s="13" t="s">
        <v>3699</v>
      </c>
      <c r="K485" s="13" t="s">
        <v>3700</v>
      </c>
    </row>
    <row r="486" spans="1:11" x14ac:dyDescent="0.3">
      <c r="A486" s="13" t="s">
        <v>923</v>
      </c>
      <c r="B486" s="13" t="s">
        <v>3701</v>
      </c>
      <c r="C486" s="13" t="s">
        <v>3702</v>
      </c>
      <c r="D486" s="13"/>
      <c r="E486" s="13">
        <v>3</v>
      </c>
      <c r="F486" s="13" t="s">
        <v>3703</v>
      </c>
      <c r="G486" s="13">
        <v>47</v>
      </c>
      <c r="H486" s="13">
        <v>0</v>
      </c>
      <c r="I486" s="13"/>
      <c r="J486" s="13" t="s">
        <v>3704</v>
      </c>
      <c r="K486" s="13" t="s">
        <v>3705</v>
      </c>
    </row>
    <row r="487" spans="1:11" x14ac:dyDescent="0.3">
      <c r="A487" s="13" t="s">
        <v>923</v>
      </c>
      <c r="B487" s="13" t="s">
        <v>3701</v>
      </c>
      <c r="C487" s="13" t="s">
        <v>3706</v>
      </c>
      <c r="D487" s="13"/>
      <c r="E487" s="13">
        <v>3</v>
      </c>
      <c r="F487" s="13" t="s">
        <v>3707</v>
      </c>
      <c r="G487" s="13">
        <v>79</v>
      </c>
      <c r="H487" s="13">
        <v>53</v>
      </c>
      <c r="I487" s="13"/>
      <c r="J487" s="13" t="s">
        <v>3708</v>
      </c>
      <c r="K487" s="13" t="s">
        <v>3709</v>
      </c>
    </row>
    <row r="488" spans="1:11" x14ac:dyDescent="0.3">
      <c r="A488" s="13" t="s">
        <v>923</v>
      </c>
      <c r="B488" s="13" t="s">
        <v>3701</v>
      </c>
      <c r="C488" s="13" t="s">
        <v>3710</v>
      </c>
      <c r="D488" s="13"/>
      <c r="E488" s="13">
        <v>3</v>
      </c>
      <c r="F488" s="13" t="s">
        <v>3711</v>
      </c>
      <c r="G488" s="13">
        <v>28</v>
      </c>
      <c r="H488" s="13">
        <v>0</v>
      </c>
      <c r="I488" s="13"/>
      <c r="J488" s="13" t="s">
        <v>3712</v>
      </c>
      <c r="K488" s="13" t="s">
        <v>3713</v>
      </c>
    </row>
    <row r="489" spans="1:11" x14ac:dyDescent="0.3">
      <c r="A489" s="13" t="s">
        <v>923</v>
      </c>
      <c r="B489" s="13" t="s">
        <v>3714</v>
      </c>
      <c r="C489" s="13"/>
      <c r="D489" s="13"/>
      <c r="E489" s="13">
        <v>2</v>
      </c>
      <c r="F489" s="13" t="s">
        <v>3715</v>
      </c>
      <c r="G489" s="13">
        <v>102</v>
      </c>
      <c r="H489" s="13">
        <v>0</v>
      </c>
      <c r="I489" s="13"/>
      <c r="J489" s="13" t="s">
        <v>3716</v>
      </c>
      <c r="K489" s="13" t="s">
        <v>3717</v>
      </c>
    </row>
    <row r="490" spans="1:11" x14ac:dyDescent="0.3">
      <c r="A490" s="13" t="s">
        <v>923</v>
      </c>
      <c r="B490" s="13" t="s">
        <v>3718</v>
      </c>
      <c r="C490" s="13" t="s">
        <v>3719</v>
      </c>
      <c r="D490" s="13"/>
      <c r="E490" s="13">
        <v>3</v>
      </c>
      <c r="F490" s="13" t="s">
        <v>3720</v>
      </c>
      <c r="G490" s="13">
        <v>102</v>
      </c>
      <c r="H490" s="13">
        <v>0</v>
      </c>
      <c r="I490" s="13"/>
      <c r="J490" s="13" t="s">
        <v>3721</v>
      </c>
      <c r="K490" s="13" t="s">
        <v>3722</v>
      </c>
    </row>
    <row r="491" spans="1:11" x14ac:dyDescent="0.3">
      <c r="A491" s="13" t="s">
        <v>923</v>
      </c>
      <c r="B491" s="13" t="s">
        <v>3718</v>
      </c>
      <c r="C491" s="13" t="s">
        <v>3723</v>
      </c>
      <c r="D491" s="13"/>
      <c r="E491" s="13">
        <v>3</v>
      </c>
      <c r="F491" s="13" t="s">
        <v>3724</v>
      </c>
      <c r="G491" s="13">
        <v>59</v>
      </c>
      <c r="H491" s="13">
        <v>0</v>
      </c>
      <c r="I491" s="13"/>
      <c r="J491" s="13" t="s">
        <v>3725</v>
      </c>
      <c r="K491" s="13" t="s">
        <v>3726</v>
      </c>
    </row>
    <row r="492" spans="1:11" x14ac:dyDescent="0.3">
      <c r="A492" s="13" t="s">
        <v>923</v>
      </c>
      <c r="B492" s="13" t="s">
        <v>3727</v>
      </c>
      <c r="C492" s="13"/>
      <c r="D492" s="13"/>
      <c r="E492" s="13">
        <v>2</v>
      </c>
      <c r="F492" s="13" t="s">
        <v>3728</v>
      </c>
      <c r="G492" s="13">
        <v>43</v>
      </c>
      <c r="H492" s="13">
        <v>0</v>
      </c>
      <c r="I492" s="13"/>
      <c r="J492" s="13" t="s">
        <v>3729</v>
      </c>
      <c r="K492" s="13" t="s">
        <v>3730</v>
      </c>
    </row>
    <row r="493" spans="1:11" x14ac:dyDescent="0.3">
      <c r="A493" s="13" t="s">
        <v>923</v>
      </c>
      <c r="B493" s="13" t="s">
        <v>1142</v>
      </c>
      <c r="C493" s="13" t="s">
        <v>3731</v>
      </c>
      <c r="D493" s="13" t="s">
        <v>3732</v>
      </c>
      <c r="E493" s="13">
        <v>4</v>
      </c>
      <c r="F493" s="13" t="s">
        <v>3733</v>
      </c>
      <c r="G493" s="13">
        <v>127</v>
      </c>
      <c r="H493" s="13">
        <v>0</v>
      </c>
      <c r="I493" s="13"/>
      <c r="J493" s="13" t="s">
        <v>3734</v>
      </c>
      <c r="K493" s="13" t="s">
        <v>3735</v>
      </c>
    </row>
    <row r="494" spans="1:11" x14ac:dyDescent="0.3">
      <c r="A494" s="13" t="s">
        <v>923</v>
      </c>
      <c r="B494" s="13" t="s">
        <v>1142</v>
      </c>
      <c r="C494" s="13" t="s">
        <v>3731</v>
      </c>
      <c r="D494" s="13" t="s">
        <v>3736</v>
      </c>
      <c r="E494" s="13">
        <v>4</v>
      </c>
      <c r="F494" s="13" t="s">
        <v>3737</v>
      </c>
      <c r="G494" s="13">
        <v>1</v>
      </c>
      <c r="H494" s="13">
        <v>0</v>
      </c>
      <c r="I494" s="13"/>
      <c r="J494" s="13" t="s">
        <v>3738</v>
      </c>
      <c r="K494" s="13" t="s">
        <v>3739</v>
      </c>
    </row>
    <row r="495" spans="1:11" x14ac:dyDescent="0.3">
      <c r="A495" s="13" t="s">
        <v>923</v>
      </c>
      <c r="B495" s="13" t="s">
        <v>1142</v>
      </c>
      <c r="C495" s="13" t="s">
        <v>3731</v>
      </c>
      <c r="D495" s="13" t="s">
        <v>3740</v>
      </c>
      <c r="E495" s="13">
        <v>4</v>
      </c>
      <c r="F495" s="13" t="s">
        <v>3741</v>
      </c>
      <c r="G495" s="13">
        <v>18</v>
      </c>
      <c r="H495" s="13">
        <v>0</v>
      </c>
      <c r="I495" s="13"/>
      <c r="J495" s="13" t="s">
        <v>3742</v>
      </c>
      <c r="K495" s="13" t="s">
        <v>3743</v>
      </c>
    </row>
    <row r="496" spans="1:11" x14ac:dyDescent="0.3">
      <c r="A496" s="13" t="s">
        <v>923</v>
      </c>
      <c r="B496" s="13" t="s">
        <v>1142</v>
      </c>
      <c r="C496" s="13" t="s">
        <v>3731</v>
      </c>
      <c r="D496" s="13" t="s">
        <v>3744</v>
      </c>
      <c r="E496" s="13">
        <v>4</v>
      </c>
      <c r="F496" s="13" t="s">
        <v>3745</v>
      </c>
      <c r="G496" s="13">
        <v>83</v>
      </c>
      <c r="H496" s="13">
        <v>0</v>
      </c>
      <c r="I496" s="13"/>
      <c r="J496" s="13" t="s">
        <v>3746</v>
      </c>
      <c r="K496" s="13" t="s">
        <v>3747</v>
      </c>
    </row>
    <row r="497" spans="1:11" x14ac:dyDescent="0.3">
      <c r="A497" s="13" t="s">
        <v>923</v>
      </c>
      <c r="B497" s="13" t="s">
        <v>1142</v>
      </c>
      <c r="C497" s="13" t="s">
        <v>1143</v>
      </c>
      <c r="D497" s="13"/>
      <c r="E497" s="13">
        <v>3</v>
      </c>
      <c r="F497" s="13" t="s">
        <v>1144</v>
      </c>
      <c r="G497" s="13">
        <v>126</v>
      </c>
      <c r="H497" s="13">
        <v>0</v>
      </c>
      <c r="I497" s="3" t="s">
        <v>1140</v>
      </c>
      <c r="J497" s="13" t="s">
        <v>1141</v>
      </c>
      <c r="K497" s="13" t="s">
        <v>3748</v>
      </c>
    </row>
    <row r="498" spans="1:11" x14ac:dyDescent="0.3">
      <c r="A498" s="13" t="s">
        <v>923</v>
      </c>
      <c r="B498" s="13" t="s">
        <v>1142</v>
      </c>
      <c r="C498" s="13" t="s">
        <v>3749</v>
      </c>
      <c r="D498" s="13"/>
      <c r="E498" s="13">
        <v>3</v>
      </c>
      <c r="F498" s="13" t="s">
        <v>3750</v>
      </c>
      <c r="G498" s="13">
        <v>396</v>
      </c>
      <c r="H498" s="13">
        <v>0</v>
      </c>
      <c r="I498" s="13"/>
      <c r="J498" s="13" t="s">
        <v>3751</v>
      </c>
      <c r="K498" s="13" t="s">
        <v>3752</v>
      </c>
    </row>
    <row r="499" spans="1:11" x14ac:dyDescent="0.3">
      <c r="A499" s="13" t="s">
        <v>923</v>
      </c>
      <c r="B499" s="13" t="s">
        <v>1142</v>
      </c>
      <c r="C499" s="13" t="s">
        <v>3753</v>
      </c>
      <c r="D499" s="13"/>
      <c r="E499" s="13">
        <v>3</v>
      </c>
      <c r="F499" s="13" t="s">
        <v>3754</v>
      </c>
      <c r="G499" s="13">
        <v>43</v>
      </c>
      <c r="H499" s="13">
        <v>0</v>
      </c>
      <c r="I499" s="13"/>
      <c r="J499" s="13" t="s">
        <v>3755</v>
      </c>
      <c r="K499" s="13" t="s">
        <v>3756</v>
      </c>
    </row>
    <row r="500" spans="1:11" x14ac:dyDescent="0.3">
      <c r="A500" s="13" t="s">
        <v>923</v>
      </c>
      <c r="B500" s="13" t="s">
        <v>1142</v>
      </c>
      <c r="C500" s="13" t="s">
        <v>3757</v>
      </c>
      <c r="D500" s="13"/>
      <c r="E500" s="13">
        <v>3</v>
      </c>
      <c r="F500" s="13" t="s">
        <v>3758</v>
      </c>
      <c r="G500" s="13">
        <v>276</v>
      </c>
      <c r="H500" s="13">
        <v>0</v>
      </c>
      <c r="I500" s="13"/>
      <c r="J500" s="13" t="s">
        <v>3759</v>
      </c>
      <c r="K500" s="13" t="s">
        <v>3760</v>
      </c>
    </row>
    <row r="501" spans="1:11" x14ac:dyDescent="0.3">
      <c r="A501" s="13" t="s">
        <v>923</v>
      </c>
      <c r="B501" s="13" t="s">
        <v>1142</v>
      </c>
      <c r="C501" s="13" t="s">
        <v>3761</v>
      </c>
      <c r="D501" s="13"/>
      <c r="E501" s="13">
        <v>3</v>
      </c>
      <c r="F501" s="13" t="s">
        <v>3762</v>
      </c>
      <c r="G501" s="13">
        <v>29</v>
      </c>
      <c r="H501" s="13">
        <v>0</v>
      </c>
      <c r="I501" s="13"/>
      <c r="J501" s="13" t="s">
        <v>3763</v>
      </c>
      <c r="K501" s="13" t="s">
        <v>3764</v>
      </c>
    </row>
    <row r="502" spans="1:11" x14ac:dyDescent="0.3">
      <c r="A502" s="13" t="s">
        <v>923</v>
      </c>
      <c r="B502" s="13" t="s">
        <v>1142</v>
      </c>
      <c r="C502" s="13" t="s">
        <v>3765</v>
      </c>
      <c r="D502" s="13"/>
      <c r="E502" s="13">
        <v>3</v>
      </c>
      <c r="F502" s="13" t="s">
        <v>3766</v>
      </c>
      <c r="G502" s="13">
        <v>200</v>
      </c>
      <c r="H502" s="13">
        <v>0</v>
      </c>
      <c r="I502" s="13"/>
      <c r="J502" s="13" t="s">
        <v>3767</v>
      </c>
      <c r="K502" s="13" t="s">
        <v>3768</v>
      </c>
    </row>
    <row r="503" spans="1:11" x14ac:dyDescent="0.3">
      <c r="A503" s="13" t="s">
        <v>923</v>
      </c>
      <c r="B503" s="13" t="s">
        <v>1142</v>
      </c>
      <c r="C503" s="13" t="s">
        <v>3769</v>
      </c>
      <c r="D503" s="13"/>
      <c r="E503" s="13">
        <v>3</v>
      </c>
      <c r="F503" s="13" t="s">
        <v>3770</v>
      </c>
      <c r="G503" s="13">
        <v>600</v>
      </c>
      <c r="H503" s="13">
        <v>0</v>
      </c>
      <c r="I503" s="13"/>
      <c r="J503" s="13" t="s">
        <v>3771</v>
      </c>
      <c r="K503" s="13" t="s">
        <v>3772</v>
      </c>
    </row>
    <row r="504" spans="1:11" x14ac:dyDescent="0.3">
      <c r="A504" s="13" t="s">
        <v>923</v>
      </c>
      <c r="B504" s="13" t="s">
        <v>1142</v>
      </c>
      <c r="C504" s="13" t="s">
        <v>3773</v>
      </c>
      <c r="D504" s="13"/>
      <c r="E504" s="13">
        <v>3</v>
      </c>
      <c r="F504" s="13" t="s">
        <v>3774</v>
      </c>
      <c r="G504" s="13">
        <v>56</v>
      </c>
      <c r="H504" s="13">
        <v>0</v>
      </c>
      <c r="I504" s="13"/>
      <c r="J504" s="13" t="s">
        <v>3775</v>
      </c>
      <c r="K504" s="13" t="s">
        <v>3776</v>
      </c>
    </row>
    <row r="505" spans="1:11" x14ac:dyDescent="0.3">
      <c r="A505" s="13" t="s">
        <v>3777</v>
      </c>
      <c r="B505" s="13" t="s">
        <v>3778</v>
      </c>
      <c r="C505" s="13"/>
      <c r="D505" s="13"/>
      <c r="E505" s="13">
        <v>2</v>
      </c>
      <c r="F505" s="13" t="s">
        <v>3779</v>
      </c>
      <c r="G505" s="13">
        <v>144</v>
      </c>
      <c r="H505" s="13">
        <v>0</v>
      </c>
      <c r="I505" s="13"/>
      <c r="J505" s="13" t="s">
        <v>3780</v>
      </c>
      <c r="K505" s="13" t="s">
        <v>3781</v>
      </c>
    </row>
    <row r="506" spans="1:11" x14ac:dyDescent="0.3">
      <c r="A506" s="13" t="s">
        <v>3777</v>
      </c>
      <c r="B506" s="13" t="s">
        <v>3782</v>
      </c>
      <c r="C506" s="13"/>
      <c r="D506" s="13"/>
      <c r="E506" s="13">
        <v>2</v>
      </c>
      <c r="F506" s="13" t="s">
        <v>3783</v>
      </c>
      <c r="G506" s="13">
        <v>13</v>
      </c>
      <c r="H506" s="13">
        <v>0</v>
      </c>
      <c r="I506" s="13"/>
      <c r="J506" s="13" t="s">
        <v>3784</v>
      </c>
      <c r="K506" s="13" t="s">
        <v>3785</v>
      </c>
    </row>
    <row r="507" spans="1:11" x14ac:dyDescent="0.3">
      <c r="A507" s="13" t="s">
        <v>3777</v>
      </c>
      <c r="B507" s="13" t="s">
        <v>3786</v>
      </c>
      <c r="C507" s="13"/>
      <c r="D507" s="13"/>
      <c r="E507" s="13">
        <v>2</v>
      </c>
      <c r="F507" s="13" t="s">
        <v>3787</v>
      </c>
      <c r="G507" s="13">
        <v>56</v>
      </c>
      <c r="H507" s="13">
        <v>0</v>
      </c>
      <c r="I507" s="13"/>
      <c r="J507" s="13" t="s">
        <v>3788</v>
      </c>
      <c r="K507" s="13" t="s">
        <v>3789</v>
      </c>
    </row>
    <row r="508" spans="1:11" x14ac:dyDescent="0.3">
      <c r="A508" s="13" t="s">
        <v>3777</v>
      </c>
      <c r="B508" s="13" t="s">
        <v>3790</v>
      </c>
      <c r="C508" s="13"/>
      <c r="D508" s="13"/>
      <c r="E508" s="13">
        <v>2</v>
      </c>
      <c r="F508" s="13" t="s">
        <v>3791</v>
      </c>
      <c r="G508" s="13">
        <v>7</v>
      </c>
      <c r="H508" s="13">
        <v>0</v>
      </c>
      <c r="I508" s="13"/>
      <c r="J508" s="13" t="s">
        <v>3792</v>
      </c>
      <c r="K508" s="13" t="s">
        <v>3793</v>
      </c>
    </row>
    <row r="509" spans="1:11" x14ac:dyDescent="0.3">
      <c r="A509" s="13" t="s">
        <v>3777</v>
      </c>
      <c r="B509" s="13" t="s">
        <v>3794</v>
      </c>
      <c r="C509" s="13"/>
      <c r="D509" s="13"/>
      <c r="E509" s="13">
        <v>2</v>
      </c>
      <c r="F509" s="13" t="s">
        <v>3795</v>
      </c>
      <c r="G509" s="13">
        <v>37</v>
      </c>
      <c r="H509" s="13">
        <v>0</v>
      </c>
      <c r="I509" s="13"/>
      <c r="J509" s="13" t="s">
        <v>3796</v>
      </c>
      <c r="K509" s="13" t="s">
        <v>3797</v>
      </c>
    </row>
    <row r="510" spans="1:11" x14ac:dyDescent="0.3">
      <c r="A510" s="13" t="s">
        <v>3777</v>
      </c>
      <c r="B510" s="13" t="s">
        <v>3798</v>
      </c>
      <c r="C510" s="13"/>
      <c r="D510" s="13"/>
      <c r="E510" s="13">
        <v>2</v>
      </c>
      <c r="F510" s="13" t="s">
        <v>3799</v>
      </c>
      <c r="G510" s="13">
        <v>6</v>
      </c>
      <c r="H510" s="13">
        <v>0</v>
      </c>
      <c r="I510" s="13"/>
      <c r="J510" s="13" t="s">
        <v>3800</v>
      </c>
      <c r="K510" s="13" t="s">
        <v>3801</v>
      </c>
    </row>
    <row r="511" spans="1:11" x14ac:dyDescent="0.3">
      <c r="A511" s="13" t="s">
        <v>3802</v>
      </c>
      <c r="B511" s="13" t="s">
        <v>3802</v>
      </c>
      <c r="C511" s="13"/>
      <c r="D511" s="13"/>
      <c r="E511" s="13">
        <v>2</v>
      </c>
      <c r="F511" s="13" t="s">
        <v>3803</v>
      </c>
      <c r="G511" s="13">
        <v>1045</v>
      </c>
      <c r="H511" s="13">
        <v>0</v>
      </c>
      <c r="I511" s="13"/>
      <c r="J511" s="13" t="s">
        <v>3804</v>
      </c>
      <c r="K511" s="13" t="s">
        <v>3805</v>
      </c>
    </row>
    <row r="512" spans="1:11" x14ac:dyDescent="0.3">
      <c r="A512" s="13" t="s">
        <v>3802</v>
      </c>
      <c r="B512" s="13" t="s">
        <v>3806</v>
      </c>
      <c r="C512" s="13"/>
      <c r="D512" s="13"/>
      <c r="E512" s="13">
        <v>2</v>
      </c>
      <c r="F512" s="13" t="s">
        <v>3807</v>
      </c>
      <c r="G512" s="13">
        <v>6</v>
      </c>
      <c r="H512" s="13">
        <v>0</v>
      </c>
      <c r="I512" s="13"/>
      <c r="J512" s="13" t="s">
        <v>3808</v>
      </c>
      <c r="K512" s="13" t="s">
        <v>3809</v>
      </c>
    </row>
    <row r="513" spans="1:11" x14ac:dyDescent="0.3">
      <c r="A513" s="13" t="s">
        <v>1201</v>
      </c>
      <c r="B513" s="13" t="s">
        <v>3810</v>
      </c>
      <c r="C513" s="13"/>
      <c r="D513" s="13"/>
      <c r="E513" s="13">
        <v>2</v>
      </c>
      <c r="F513" s="13" t="s">
        <v>3811</v>
      </c>
      <c r="G513" s="13">
        <v>288</v>
      </c>
      <c r="H513" s="13">
        <v>0</v>
      </c>
      <c r="I513" s="13"/>
      <c r="J513" s="13" t="s">
        <v>3812</v>
      </c>
      <c r="K513" s="13" t="s">
        <v>3813</v>
      </c>
    </row>
    <row r="514" spans="1:11" x14ac:dyDescent="0.3">
      <c r="A514" s="13" t="s">
        <v>1201</v>
      </c>
      <c r="B514" s="13" t="s">
        <v>3814</v>
      </c>
      <c r="C514" s="13" t="s">
        <v>3815</v>
      </c>
      <c r="D514" s="13" t="s">
        <v>3816</v>
      </c>
      <c r="E514" s="13">
        <v>4</v>
      </c>
      <c r="F514" s="13" t="s">
        <v>3817</v>
      </c>
      <c r="G514" s="13">
        <v>4</v>
      </c>
      <c r="H514" s="13">
        <v>0</v>
      </c>
      <c r="I514" s="13"/>
      <c r="J514" s="13" t="s">
        <v>3818</v>
      </c>
      <c r="K514" s="13" t="s">
        <v>3819</v>
      </c>
    </row>
    <row r="515" spans="1:11" x14ac:dyDescent="0.3">
      <c r="A515" s="13" t="s">
        <v>1201</v>
      </c>
      <c r="B515" s="13" t="s">
        <v>3814</v>
      </c>
      <c r="C515" s="13" t="s">
        <v>3815</v>
      </c>
      <c r="D515" s="13" t="s">
        <v>3820</v>
      </c>
      <c r="E515" s="13">
        <v>4</v>
      </c>
      <c r="F515" s="13" t="s">
        <v>3821</v>
      </c>
      <c r="G515" s="13">
        <v>48</v>
      </c>
      <c r="H515" s="13">
        <v>0</v>
      </c>
      <c r="I515" s="13"/>
      <c r="J515" s="13" t="s">
        <v>3822</v>
      </c>
      <c r="K515" s="13" t="s">
        <v>3823</v>
      </c>
    </row>
    <row r="516" spans="1:11" x14ac:dyDescent="0.3">
      <c r="A516" s="13" t="s">
        <v>1201</v>
      </c>
      <c r="B516" s="13" t="s">
        <v>3814</v>
      </c>
      <c r="C516" s="13" t="s">
        <v>3815</v>
      </c>
      <c r="D516" s="13" t="s">
        <v>3824</v>
      </c>
      <c r="E516" s="13">
        <v>4</v>
      </c>
      <c r="F516" s="13" t="s">
        <v>3825</v>
      </c>
      <c r="G516" s="13">
        <v>3</v>
      </c>
      <c r="H516" s="13">
        <v>0</v>
      </c>
      <c r="I516" s="13"/>
      <c r="J516" s="13" t="s">
        <v>3826</v>
      </c>
      <c r="K516" s="13" t="s">
        <v>3827</v>
      </c>
    </row>
    <row r="517" spans="1:11" x14ac:dyDescent="0.3">
      <c r="A517" s="13" t="s">
        <v>1201</v>
      </c>
      <c r="B517" s="13" t="s">
        <v>3828</v>
      </c>
      <c r="C517" s="13" t="s">
        <v>3829</v>
      </c>
      <c r="D517" s="13"/>
      <c r="E517" s="13">
        <v>3</v>
      </c>
      <c r="F517" s="13" t="s">
        <v>3830</v>
      </c>
      <c r="G517" s="13">
        <v>21</v>
      </c>
      <c r="H517" s="13">
        <v>0</v>
      </c>
      <c r="I517" s="13"/>
      <c r="J517" s="13" t="s">
        <v>3831</v>
      </c>
      <c r="K517" s="13" t="s">
        <v>3832</v>
      </c>
    </row>
    <row r="518" spans="1:11" x14ac:dyDescent="0.3">
      <c r="A518" s="13" t="s">
        <v>1201</v>
      </c>
      <c r="B518" s="13" t="s">
        <v>3828</v>
      </c>
      <c r="C518" s="13" t="s">
        <v>3833</v>
      </c>
      <c r="D518" s="13"/>
      <c r="E518" s="13">
        <v>3</v>
      </c>
      <c r="F518" s="13" t="s">
        <v>3834</v>
      </c>
      <c r="G518" s="13">
        <v>1</v>
      </c>
      <c r="H518" s="13">
        <v>0</v>
      </c>
      <c r="I518" s="13"/>
      <c r="J518" s="13" t="s">
        <v>3835</v>
      </c>
      <c r="K518" s="13" t="s">
        <v>3836</v>
      </c>
    </row>
    <row r="519" spans="1:11" x14ac:dyDescent="0.3">
      <c r="A519" s="13" t="s">
        <v>1201</v>
      </c>
      <c r="B519" s="13" t="s">
        <v>3837</v>
      </c>
      <c r="C519" s="13"/>
      <c r="D519" s="13"/>
      <c r="E519" s="13">
        <v>2</v>
      </c>
      <c r="F519" s="13" t="s">
        <v>3838</v>
      </c>
      <c r="G519" s="13">
        <v>18</v>
      </c>
      <c r="H519" s="13">
        <v>0</v>
      </c>
      <c r="I519" s="13"/>
      <c r="J519" s="13" t="s">
        <v>3839</v>
      </c>
      <c r="K519" s="13" t="s">
        <v>3840</v>
      </c>
    </row>
    <row r="520" spans="1:11" x14ac:dyDescent="0.3">
      <c r="A520" s="13" t="s">
        <v>1201</v>
      </c>
      <c r="B520" s="13" t="s">
        <v>3841</v>
      </c>
      <c r="C520" s="13"/>
      <c r="D520" s="13"/>
      <c r="E520" s="13">
        <v>2</v>
      </c>
      <c r="F520" s="13" t="s">
        <v>3842</v>
      </c>
      <c r="G520" s="13">
        <v>105</v>
      </c>
      <c r="H520" s="13">
        <v>0</v>
      </c>
      <c r="I520" s="13"/>
      <c r="J520" s="13" t="s">
        <v>3843</v>
      </c>
      <c r="K520" s="13" t="s">
        <v>3844</v>
      </c>
    </row>
    <row r="521" spans="1:11" x14ac:dyDescent="0.3">
      <c r="A521" s="13" t="s">
        <v>1201</v>
      </c>
      <c r="B521" s="13" t="s">
        <v>3845</v>
      </c>
      <c r="C521" s="13"/>
      <c r="D521" s="13"/>
      <c r="E521" s="13">
        <v>2</v>
      </c>
      <c r="F521" s="13" t="s">
        <v>3846</v>
      </c>
      <c r="G521" s="13">
        <v>15</v>
      </c>
      <c r="H521" s="13">
        <v>0</v>
      </c>
      <c r="I521" s="13"/>
      <c r="J521" s="13" t="s">
        <v>3847</v>
      </c>
      <c r="K521" s="13" t="s">
        <v>3848</v>
      </c>
    </row>
    <row r="522" spans="1:11" x14ac:dyDescent="0.3">
      <c r="A522" s="13" t="s">
        <v>1201</v>
      </c>
      <c r="B522" s="13" t="s">
        <v>3849</v>
      </c>
      <c r="C522" s="13" t="s">
        <v>3850</v>
      </c>
      <c r="D522" s="13"/>
      <c r="E522" s="13">
        <v>3</v>
      </c>
      <c r="F522" s="13" t="s">
        <v>3851</v>
      </c>
      <c r="G522" s="13">
        <v>13</v>
      </c>
      <c r="H522" s="13">
        <v>0</v>
      </c>
      <c r="I522" s="13"/>
      <c r="J522" s="13" t="s">
        <v>3852</v>
      </c>
      <c r="K522" s="13" t="s">
        <v>3853</v>
      </c>
    </row>
    <row r="523" spans="1:11" x14ac:dyDescent="0.3">
      <c r="A523" s="13" t="s">
        <v>1201</v>
      </c>
      <c r="B523" s="13" t="s">
        <v>3849</v>
      </c>
      <c r="C523" s="13" t="s">
        <v>3854</v>
      </c>
      <c r="D523" s="13"/>
      <c r="E523" s="13">
        <v>3</v>
      </c>
      <c r="F523" s="13" t="s">
        <v>3855</v>
      </c>
      <c r="G523" s="13">
        <v>15</v>
      </c>
      <c r="H523" s="13">
        <v>0</v>
      </c>
      <c r="I523" s="13"/>
      <c r="J523" s="13" t="s">
        <v>3856</v>
      </c>
      <c r="K523" s="13" t="s">
        <v>3857</v>
      </c>
    </row>
    <row r="524" spans="1:11" x14ac:dyDescent="0.3">
      <c r="A524" s="13" t="s">
        <v>1201</v>
      </c>
      <c r="B524" s="13" t="s">
        <v>3849</v>
      </c>
      <c r="C524" s="13" t="s">
        <v>3858</v>
      </c>
      <c r="D524" s="13"/>
      <c r="E524" s="13">
        <v>3</v>
      </c>
      <c r="F524" s="13" t="s">
        <v>3859</v>
      </c>
      <c r="G524" s="13">
        <v>15</v>
      </c>
      <c r="H524" s="13">
        <v>0</v>
      </c>
      <c r="I524" s="13"/>
      <c r="J524" s="13" t="s">
        <v>3860</v>
      </c>
      <c r="K524" s="13" t="s">
        <v>3861</v>
      </c>
    </row>
    <row r="525" spans="1:11" x14ac:dyDescent="0.3">
      <c r="A525" s="13" t="s">
        <v>1201</v>
      </c>
      <c r="B525" s="13" t="s">
        <v>3849</v>
      </c>
      <c r="C525" s="13" t="s">
        <v>3862</v>
      </c>
      <c r="D525" s="13"/>
      <c r="E525" s="13">
        <v>3</v>
      </c>
      <c r="F525" s="13" t="s">
        <v>3863</v>
      </c>
      <c r="G525" s="13">
        <v>1</v>
      </c>
      <c r="H525" s="13">
        <v>0</v>
      </c>
      <c r="I525" s="13"/>
      <c r="J525" s="13" t="s">
        <v>3864</v>
      </c>
      <c r="K525" s="13" t="s">
        <v>3865</v>
      </c>
    </row>
    <row r="526" spans="1:11" x14ac:dyDescent="0.3">
      <c r="A526" s="13" t="s">
        <v>1201</v>
      </c>
      <c r="B526" s="13" t="s">
        <v>3849</v>
      </c>
      <c r="C526" s="13" t="s">
        <v>3866</v>
      </c>
      <c r="D526" s="13"/>
      <c r="E526" s="13">
        <v>3</v>
      </c>
      <c r="F526" s="13" t="s">
        <v>3867</v>
      </c>
      <c r="G526" s="13">
        <v>39</v>
      </c>
      <c r="H526" s="13">
        <v>0</v>
      </c>
      <c r="I526" s="13"/>
      <c r="J526" s="13" t="s">
        <v>3868</v>
      </c>
      <c r="K526" s="13" t="s">
        <v>3869</v>
      </c>
    </row>
    <row r="527" spans="1:11" x14ac:dyDescent="0.3">
      <c r="A527" s="13" t="s">
        <v>1201</v>
      </c>
      <c r="B527" s="13" t="s">
        <v>3849</v>
      </c>
      <c r="C527" s="13" t="s">
        <v>3870</v>
      </c>
      <c r="D527" s="13"/>
      <c r="E527" s="13">
        <v>3</v>
      </c>
      <c r="F527" s="13" t="s">
        <v>3871</v>
      </c>
      <c r="G527" s="13">
        <v>36</v>
      </c>
      <c r="H527" s="13">
        <v>0</v>
      </c>
      <c r="I527" s="13"/>
      <c r="J527" s="13" t="s">
        <v>3872</v>
      </c>
      <c r="K527" s="13" t="s">
        <v>3873</v>
      </c>
    </row>
    <row r="528" spans="1:11" x14ac:dyDescent="0.3">
      <c r="A528" s="13" t="s">
        <v>1201</v>
      </c>
      <c r="B528" s="13" t="s">
        <v>3874</v>
      </c>
      <c r="C528" s="13"/>
      <c r="D528" s="13"/>
      <c r="E528" s="13">
        <v>2</v>
      </c>
      <c r="F528" s="13" t="s">
        <v>3875</v>
      </c>
      <c r="G528" s="13">
        <v>67</v>
      </c>
      <c r="H528" s="13">
        <v>0</v>
      </c>
      <c r="I528" s="13"/>
      <c r="J528" s="13" t="s">
        <v>3876</v>
      </c>
      <c r="K528" s="13" t="s">
        <v>3877</v>
      </c>
    </row>
    <row r="529" spans="1:11" x14ac:dyDescent="0.3">
      <c r="A529" s="13" t="s">
        <v>1201</v>
      </c>
      <c r="B529" s="13" t="s">
        <v>3878</v>
      </c>
      <c r="C529" s="13"/>
      <c r="D529" s="13"/>
      <c r="E529" s="13">
        <v>2</v>
      </c>
      <c r="F529" s="13" t="s">
        <v>3879</v>
      </c>
      <c r="G529" s="13">
        <v>758</v>
      </c>
      <c r="H529" s="13">
        <v>0</v>
      </c>
      <c r="I529" s="13"/>
      <c r="J529" s="13" t="s">
        <v>3880</v>
      </c>
      <c r="K529" s="13" t="s">
        <v>3881</v>
      </c>
    </row>
    <row r="530" spans="1:11" x14ac:dyDescent="0.3">
      <c r="A530" s="13" t="s">
        <v>1201</v>
      </c>
      <c r="B530" s="13" t="s">
        <v>1207</v>
      </c>
      <c r="C530" s="13" t="s">
        <v>3882</v>
      </c>
      <c r="D530" s="13"/>
      <c r="E530" s="13">
        <v>3</v>
      </c>
      <c r="F530" s="13" t="s">
        <v>3883</v>
      </c>
      <c r="G530" s="13">
        <v>4</v>
      </c>
      <c r="H530" s="13">
        <v>0</v>
      </c>
      <c r="I530" s="13"/>
      <c r="J530" s="13" t="s">
        <v>3884</v>
      </c>
      <c r="K530" s="13" t="s">
        <v>3885</v>
      </c>
    </row>
    <row r="531" spans="1:11" x14ac:dyDescent="0.3">
      <c r="A531" s="13" t="s">
        <v>1201</v>
      </c>
      <c r="B531" s="13" t="s">
        <v>1207</v>
      </c>
      <c r="C531" s="13" t="s">
        <v>1208</v>
      </c>
      <c r="D531" s="13" t="s">
        <v>3886</v>
      </c>
      <c r="E531" s="13">
        <v>4</v>
      </c>
      <c r="F531" s="13" t="s">
        <v>3887</v>
      </c>
      <c r="G531" s="13">
        <v>27</v>
      </c>
      <c r="H531" s="13">
        <v>0</v>
      </c>
      <c r="I531" s="13"/>
      <c r="J531" s="13" t="s">
        <v>3888</v>
      </c>
      <c r="K531" s="13" t="s">
        <v>3889</v>
      </c>
    </row>
    <row r="532" spans="1:11" x14ac:dyDescent="0.3">
      <c r="A532" s="13" t="s">
        <v>1201</v>
      </c>
      <c r="B532" s="13" t="s">
        <v>1207</v>
      </c>
      <c r="C532" s="13" t="s">
        <v>1208</v>
      </c>
      <c r="D532" s="13" t="s">
        <v>3890</v>
      </c>
      <c r="E532" s="13">
        <v>4</v>
      </c>
      <c r="F532" s="13" t="s">
        <v>3891</v>
      </c>
      <c r="G532" s="13">
        <v>1</v>
      </c>
      <c r="H532" s="13">
        <v>0</v>
      </c>
      <c r="I532" s="13"/>
      <c r="J532" s="13" t="s">
        <v>3892</v>
      </c>
      <c r="K532" s="13" t="s">
        <v>3893</v>
      </c>
    </row>
    <row r="533" spans="1:11" x14ac:dyDescent="0.3">
      <c r="A533" s="13" t="s">
        <v>1201</v>
      </c>
      <c r="B533" s="13" t="s">
        <v>1207</v>
      </c>
      <c r="C533" s="13" t="s">
        <v>1208</v>
      </c>
      <c r="D533" s="13" t="s">
        <v>3894</v>
      </c>
      <c r="E533" s="13">
        <v>4</v>
      </c>
      <c r="F533" s="13" t="s">
        <v>3895</v>
      </c>
      <c r="G533" s="13">
        <v>49</v>
      </c>
      <c r="H533" s="13">
        <v>0</v>
      </c>
      <c r="I533" s="13"/>
      <c r="J533" s="13" t="s">
        <v>3896</v>
      </c>
      <c r="K533" s="13" t="s">
        <v>3897</v>
      </c>
    </row>
    <row r="534" spans="1:11" x14ac:dyDescent="0.3">
      <c r="A534" s="13" t="s">
        <v>1201</v>
      </c>
      <c r="B534" s="13" t="s">
        <v>1207</v>
      </c>
      <c r="C534" s="13" t="s">
        <v>1208</v>
      </c>
      <c r="D534" s="13" t="s">
        <v>3898</v>
      </c>
      <c r="E534" s="13">
        <v>4</v>
      </c>
      <c r="F534" s="13" t="s">
        <v>3899</v>
      </c>
      <c r="G534" s="13">
        <v>31</v>
      </c>
      <c r="H534" s="13">
        <v>0</v>
      </c>
      <c r="I534" s="13"/>
      <c r="J534" s="13" t="s">
        <v>3900</v>
      </c>
      <c r="K534" s="13" t="s">
        <v>3901</v>
      </c>
    </row>
    <row r="535" spans="1:11" x14ac:dyDescent="0.3">
      <c r="A535" s="13" t="s">
        <v>1201</v>
      </c>
      <c r="B535" s="13" t="s">
        <v>1207</v>
      </c>
      <c r="C535" s="13" t="s">
        <v>1208</v>
      </c>
      <c r="D535" s="13" t="s">
        <v>3902</v>
      </c>
      <c r="E535" s="13">
        <v>4</v>
      </c>
      <c r="F535" s="13" t="s">
        <v>3903</v>
      </c>
      <c r="G535" s="13">
        <v>6</v>
      </c>
      <c r="H535" s="13">
        <v>0</v>
      </c>
      <c r="I535" s="13"/>
      <c r="J535" s="13" t="s">
        <v>3904</v>
      </c>
      <c r="K535" s="13" t="s">
        <v>3905</v>
      </c>
    </row>
    <row r="536" spans="1:11" x14ac:dyDescent="0.3">
      <c r="A536" s="13" t="s">
        <v>1201</v>
      </c>
      <c r="B536" s="13" t="s">
        <v>1207</v>
      </c>
      <c r="C536" s="13" t="s">
        <v>1208</v>
      </c>
      <c r="D536" s="13" t="s">
        <v>3906</v>
      </c>
      <c r="E536" s="13">
        <v>4</v>
      </c>
      <c r="F536" s="13" t="s">
        <v>3907</v>
      </c>
      <c r="G536" s="13">
        <v>8</v>
      </c>
      <c r="H536" s="13">
        <v>0</v>
      </c>
      <c r="I536" s="13"/>
      <c r="J536" s="13" t="s">
        <v>3908</v>
      </c>
      <c r="K536" s="13" t="s">
        <v>3909</v>
      </c>
    </row>
    <row r="537" spans="1:11" x14ac:dyDescent="0.3">
      <c r="A537" s="13" t="s">
        <v>1201</v>
      </c>
      <c r="B537" s="13" t="s">
        <v>1207</v>
      </c>
      <c r="C537" s="13" t="s">
        <v>1208</v>
      </c>
      <c r="D537" s="13" t="s">
        <v>1209</v>
      </c>
      <c r="E537" s="13">
        <v>4</v>
      </c>
      <c r="F537" s="13" t="s">
        <v>1210</v>
      </c>
      <c r="G537" s="13">
        <v>1116</v>
      </c>
      <c r="H537" s="13">
        <v>0</v>
      </c>
      <c r="I537" s="3" t="s">
        <v>1205</v>
      </c>
      <c r="J537" s="13" t="s">
        <v>1206</v>
      </c>
      <c r="K537" s="13" t="s">
        <v>3910</v>
      </c>
    </row>
    <row r="538" spans="1:11" x14ac:dyDescent="0.3">
      <c r="A538" s="13" t="s">
        <v>1201</v>
      </c>
      <c r="B538" s="13" t="s">
        <v>1207</v>
      </c>
      <c r="C538" s="13" t="s">
        <v>1208</v>
      </c>
      <c r="D538" s="13" t="s">
        <v>3911</v>
      </c>
      <c r="E538" s="13">
        <v>4</v>
      </c>
      <c r="F538" s="13" t="s">
        <v>3912</v>
      </c>
      <c r="G538" s="13">
        <v>1</v>
      </c>
      <c r="H538" s="13">
        <v>0</v>
      </c>
      <c r="I538" s="13"/>
      <c r="J538" s="13" t="s">
        <v>3913</v>
      </c>
      <c r="K538" s="13" t="s">
        <v>3914</v>
      </c>
    </row>
    <row r="539" spans="1:11" x14ac:dyDescent="0.3">
      <c r="A539" s="13" t="s">
        <v>1201</v>
      </c>
      <c r="B539" s="13" t="s">
        <v>1207</v>
      </c>
      <c r="C539" s="13" t="s">
        <v>1208</v>
      </c>
      <c r="D539" s="13" t="s">
        <v>3915</v>
      </c>
      <c r="E539" s="13">
        <v>4</v>
      </c>
      <c r="F539" s="13" t="s">
        <v>3916</v>
      </c>
      <c r="G539" s="13">
        <v>2</v>
      </c>
      <c r="H539" s="13">
        <v>0</v>
      </c>
      <c r="I539" s="13"/>
      <c r="J539" s="13" t="s">
        <v>3917</v>
      </c>
      <c r="K539" s="13" t="s">
        <v>3918</v>
      </c>
    </row>
    <row r="540" spans="1:11" x14ac:dyDescent="0.3">
      <c r="A540" s="13" t="s">
        <v>1201</v>
      </c>
      <c r="B540" s="13" t="s">
        <v>1207</v>
      </c>
      <c r="C540" s="13" t="s">
        <v>1208</v>
      </c>
      <c r="D540" s="13" t="s">
        <v>3919</v>
      </c>
      <c r="E540" s="13">
        <v>4</v>
      </c>
      <c r="F540" s="13" t="s">
        <v>3920</v>
      </c>
      <c r="G540" s="13">
        <v>5</v>
      </c>
      <c r="H540" s="13">
        <v>0</v>
      </c>
      <c r="I540" s="13"/>
      <c r="J540" s="13" t="s">
        <v>3921</v>
      </c>
      <c r="K540" s="13" t="s">
        <v>3922</v>
      </c>
    </row>
    <row r="541" spans="1:11" x14ac:dyDescent="0.3">
      <c r="A541" s="13" t="s">
        <v>1201</v>
      </c>
      <c r="B541" s="13" t="s">
        <v>1207</v>
      </c>
      <c r="C541" s="13" t="s">
        <v>3923</v>
      </c>
      <c r="D541" s="13"/>
      <c r="E541" s="13">
        <v>3</v>
      </c>
      <c r="F541" s="13" t="s">
        <v>3924</v>
      </c>
      <c r="G541" s="13">
        <v>1</v>
      </c>
      <c r="H541" s="13">
        <v>0</v>
      </c>
      <c r="I541" s="13"/>
      <c r="J541" s="13" t="s">
        <v>3925</v>
      </c>
      <c r="K541" s="13" t="s">
        <v>3926</v>
      </c>
    </row>
    <row r="542" spans="1:11" x14ac:dyDescent="0.3">
      <c r="A542" s="13" t="s">
        <v>1201</v>
      </c>
      <c r="B542" s="13" t="s">
        <v>1207</v>
      </c>
      <c r="C542" s="13" t="s">
        <v>3927</v>
      </c>
      <c r="D542" s="13"/>
      <c r="E542" s="13">
        <v>3</v>
      </c>
      <c r="F542" s="13" t="s">
        <v>3928</v>
      </c>
      <c r="G542" s="13">
        <v>1</v>
      </c>
      <c r="H542" s="13">
        <v>0</v>
      </c>
      <c r="I542" s="13"/>
      <c r="J542" s="13" t="s">
        <v>3929</v>
      </c>
      <c r="K542" s="13" t="s">
        <v>3930</v>
      </c>
    </row>
    <row r="543" spans="1:11" x14ac:dyDescent="0.3">
      <c r="A543" s="13" t="s">
        <v>1201</v>
      </c>
      <c r="B543" s="13" t="s">
        <v>1207</v>
      </c>
      <c r="C543" s="13" t="s">
        <v>3931</v>
      </c>
      <c r="D543" s="13"/>
      <c r="E543" s="13">
        <v>3</v>
      </c>
      <c r="F543" s="13" t="s">
        <v>3932</v>
      </c>
      <c r="G543" s="13">
        <v>7</v>
      </c>
      <c r="H543" s="13">
        <v>0</v>
      </c>
      <c r="I543" s="13"/>
      <c r="J543" s="13" t="s">
        <v>3933</v>
      </c>
      <c r="K543" s="13" t="s">
        <v>3934</v>
      </c>
    </row>
    <row r="544" spans="1:11" x14ac:dyDescent="0.3">
      <c r="A544" s="13" t="s">
        <v>1201</v>
      </c>
      <c r="B544" s="13" t="s">
        <v>1202</v>
      </c>
      <c r="C544" s="13"/>
      <c r="D544" s="13"/>
      <c r="E544" s="13">
        <v>2</v>
      </c>
      <c r="F544" s="13" t="s">
        <v>1203</v>
      </c>
      <c r="G544" s="13">
        <v>437</v>
      </c>
      <c r="H544" s="13">
        <v>0</v>
      </c>
      <c r="I544" s="3" t="s">
        <v>1199</v>
      </c>
      <c r="J544" s="13" t="s">
        <v>1200</v>
      </c>
      <c r="K544" s="13" t="s">
        <v>3935</v>
      </c>
    </row>
    <row r="545" spans="1:11" x14ac:dyDescent="0.3">
      <c r="A545" s="13" t="s">
        <v>1201</v>
      </c>
      <c r="B545" s="13" t="s">
        <v>3936</v>
      </c>
      <c r="C545" s="13"/>
      <c r="D545" s="13"/>
      <c r="E545" s="13">
        <v>2</v>
      </c>
      <c r="F545" s="13" t="s">
        <v>3937</v>
      </c>
      <c r="G545" s="13">
        <v>40</v>
      </c>
      <c r="H545" s="13">
        <v>0</v>
      </c>
      <c r="I545" s="13"/>
      <c r="J545" s="13" t="s">
        <v>3938</v>
      </c>
      <c r="K545" s="13" t="s">
        <v>3939</v>
      </c>
    </row>
    <row r="546" spans="1:11" x14ac:dyDescent="0.3">
      <c r="A546" s="13" t="s">
        <v>1201</v>
      </c>
      <c r="B546" s="13" t="s">
        <v>3940</v>
      </c>
      <c r="C546" s="13"/>
      <c r="D546" s="13"/>
      <c r="E546" s="13">
        <v>2</v>
      </c>
      <c r="F546" s="13" t="s">
        <v>3941</v>
      </c>
      <c r="G546" s="13">
        <v>5</v>
      </c>
      <c r="H546" s="13">
        <v>0</v>
      </c>
      <c r="I546" s="13"/>
      <c r="J546" s="13" t="s">
        <v>3942</v>
      </c>
      <c r="K546" s="13" t="s">
        <v>3943</v>
      </c>
    </row>
    <row r="547" spans="1:11" x14ac:dyDescent="0.3">
      <c r="A547" s="13" t="s">
        <v>3944</v>
      </c>
      <c r="B547" s="13" t="s">
        <v>3945</v>
      </c>
      <c r="C547" s="13"/>
      <c r="D547" s="13"/>
      <c r="E547" s="13">
        <v>2</v>
      </c>
      <c r="F547" s="13" t="s">
        <v>3946</v>
      </c>
      <c r="G547" s="13">
        <v>99</v>
      </c>
      <c r="H547" s="13">
        <v>0</v>
      </c>
      <c r="I547" s="13"/>
      <c r="J547" s="13" t="s">
        <v>3947</v>
      </c>
      <c r="K547" s="13" t="s">
        <v>3948</v>
      </c>
    </row>
    <row r="548" spans="1:11" x14ac:dyDescent="0.3">
      <c r="A548" s="13" t="s">
        <v>3944</v>
      </c>
      <c r="B548" s="13" t="s">
        <v>3949</v>
      </c>
      <c r="C548" s="13"/>
      <c r="D548" s="13"/>
      <c r="E548" s="13">
        <v>2</v>
      </c>
      <c r="F548" s="13" t="s">
        <v>3950</v>
      </c>
      <c r="G548" s="13">
        <v>19</v>
      </c>
      <c r="H548" s="13">
        <v>0</v>
      </c>
      <c r="I548" s="13"/>
      <c r="J548" s="13" t="s">
        <v>3951</v>
      </c>
      <c r="K548" s="13" t="s">
        <v>3952</v>
      </c>
    </row>
    <row r="549" spans="1:11" x14ac:dyDescent="0.3">
      <c r="A549" s="13" t="s">
        <v>3944</v>
      </c>
      <c r="B549" s="13" t="s">
        <v>3953</v>
      </c>
      <c r="C549" s="13"/>
      <c r="D549" s="13"/>
      <c r="E549" s="13">
        <v>2</v>
      </c>
      <c r="F549" s="13" t="s">
        <v>3954</v>
      </c>
      <c r="G549" s="13">
        <v>11</v>
      </c>
      <c r="H549" s="13">
        <v>0</v>
      </c>
      <c r="I549" s="13"/>
      <c r="J549" s="13" t="s">
        <v>3955</v>
      </c>
      <c r="K549" s="13" t="s">
        <v>3956</v>
      </c>
    </row>
    <row r="550" spans="1:11" x14ac:dyDescent="0.3">
      <c r="A550" s="13" t="s">
        <v>3944</v>
      </c>
      <c r="B550" s="13" t="s">
        <v>3957</v>
      </c>
      <c r="C550" s="13"/>
      <c r="D550" s="13"/>
      <c r="E550" s="13">
        <v>2</v>
      </c>
      <c r="F550" s="13" t="s">
        <v>3958</v>
      </c>
      <c r="G550" s="13">
        <v>176</v>
      </c>
      <c r="H550" s="13">
        <v>0</v>
      </c>
      <c r="I550" s="13"/>
      <c r="J550" s="13" t="s">
        <v>3959</v>
      </c>
      <c r="K550" s="13" t="s">
        <v>3960</v>
      </c>
    </row>
    <row r="551" spans="1:11" x14ac:dyDescent="0.3">
      <c r="A551" s="13" t="s">
        <v>3944</v>
      </c>
      <c r="B551" s="13" t="s">
        <v>3961</v>
      </c>
      <c r="C551" s="13"/>
      <c r="D551" s="13"/>
      <c r="E551" s="13">
        <v>2</v>
      </c>
      <c r="F551" s="13" t="s">
        <v>3962</v>
      </c>
      <c r="G551" s="13">
        <v>78</v>
      </c>
      <c r="H551" s="13">
        <v>0</v>
      </c>
      <c r="I551" s="13"/>
      <c r="J551" s="13" t="s">
        <v>3963</v>
      </c>
      <c r="K551" s="13" t="s">
        <v>3964</v>
      </c>
    </row>
    <row r="552" spans="1:11" x14ac:dyDescent="0.3">
      <c r="A552" s="13" t="s">
        <v>3944</v>
      </c>
      <c r="B552" s="13" t="s">
        <v>3965</v>
      </c>
      <c r="C552" s="13"/>
      <c r="D552" s="13"/>
      <c r="E552" s="13">
        <v>2</v>
      </c>
      <c r="F552" s="13" t="s">
        <v>3966</v>
      </c>
      <c r="G552" s="13">
        <v>79</v>
      </c>
      <c r="H552" s="13">
        <v>0</v>
      </c>
      <c r="I552" s="13"/>
      <c r="J552" s="13" t="s">
        <v>3967</v>
      </c>
      <c r="K552" s="13" t="s">
        <v>3968</v>
      </c>
    </row>
    <row r="553" spans="1:11" x14ac:dyDescent="0.3">
      <c r="A553" s="13" t="s">
        <v>3944</v>
      </c>
      <c r="B553" s="13" t="s">
        <v>3969</v>
      </c>
      <c r="C553" s="13"/>
      <c r="D553" s="13"/>
      <c r="E553" s="13">
        <v>2</v>
      </c>
      <c r="F553" s="13" t="s">
        <v>3970</v>
      </c>
      <c r="G553" s="13">
        <v>31</v>
      </c>
      <c r="H553" s="13">
        <v>0</v>
      </c>
      <c r="I553" s="13"/>
      <c r="J553" s="13" t="s">
        <v>3971</v>
      </c>
      <c r="K553" s="13" t="s">
        <v>3972</v>
      </c>
    </row>
    <row r="554" spans="1:11" x14ac:dyDescent="0.3">
      <c r="A554" s="13" t="s">
        <v>3944</v>
      </c>
      <c r="B554" s="13" t="s">
        <v>3973</v>
      </c>
      <c r="C554" s="13"/>
      <c r="D554" s="13"/>
      <c r="E554" s="13">
        <v>2</v>
      </c>
      <c r="F554" s="13" t="s">
        <v>3974</v>
      </c>
      <c r="G554" s="13">
        <v>36</v>
      </c>
      <c r="H554" s="13">
        <v>0</v>
      </c>
      <c r="I554" s="13"/>
      <c r="J554" s="13" t="s">
        <v>3975</v>
      </c>
      <c r="K554" s="13" t="s">
        <v>3976</v>
      </c>
    </row>
    <row r="555" spans="1:11" x14ac:dyDescent="0.3">
      <c r="A555" s="13" t="s">
        <v>3944</v>
      </c>
      <c r="B555" s="13" t="s">
        <v>3977</v>
      </c>
      <c r="C555" s="13"/>
      <c r="D555" s="13"/>
      <c r="E555" s="13">
        <v>2</v>
      </c>
      <c r="F555" s="13" t="s">
        <v>3978</v>
      </c>
      <c r="G555" s="13">
        <v>158</v>
      </c>
      <c r="H555" s="13">
        <v>0</v>
      </c>
      <c r="I555" s="13"/>
      <c r="J555" s="13" t="s">
        <v>3979</v>
      </c>
      <c r="K555" s="13" t="s">
        <v>3980</v>
      </c>
    </row>
    <row r="556" spans="1:11" x14ac:dyDescent="0.3">
      <c r="A556" s="13" t="s">
        <v>3944</v>
      </c>
      <c r="B556" s="13" t="s">
        <v>3981</v>
      </c>
      <c r="C556" s="13"/>
      <c r="D556" s="13"/>
      <c r="E556" s="13">
        <v>2</v>
      </c>
      <c r="F556" s="13" t="s">
        <v>3982</v>
      </c>
      <c r="G556" s="13">
        <v>228</v>
      </c>
      <c r="H556" s="13">
        <v>0</v>
      </c>
      <c r="I556" s="13"/>
      <c r="J556" s="13" t="s">
        <v>3983</v>
      </c>
      <c r="K556" s="13" t="s">
        <v>3984</v>
      </c>
    </row>
    <row r="557" spans="1:11" x14ac:dyDescent="0.3">
      <c r="A557" s="13" t="s">
        <v>3944</v>
      </c>
      <c r="B557" s="13" t="s">
        <v>3985</v>
      </c>
      <c r="C557" s="13"/>
      <c r="D557" s="13"/>
      <c r="E557" s="13">
        <v>2</v>
      </c>
      <c r="F557" s="13" t="s">
        <v>3986</v>
      </c>
      <c r="G557" s="13">
        <v>377</v>
      </c>
      <c r="H557" s="13">
        <v>0</v>
      </c>
      <c r="I557" s="13"/>
      <c r="J557" s="13" t="s">
        <v>3987</v>
      </c>
      <c r="K557" s="13" t="s">
        <v>3988</v>
      </c>
    </row>
    <row r="558" spans="1:11" x14ac:dyDescent="0.3">
      <c r="A558" s="13" t="s">
        <v>3989</v>
      </c>
      <c r="B558" s="13" t="s">
        <v>3990</v>
      </c>
      <c r="C558" s="13" t="s">
        <v>3991</v>
      </c>
      <c r="D558" s="13"/>
      <c r="E558" s="13">
        <v>3</v>
      </c>
      <c r="F558" s="13" t="s">
        <v>3992</v>
      </c>
      <c r="G558" s="13">
        <v>12</v>
      </c>
      <c r="H558" s="13">
        <v>0</v>
      </c>
      <c r="I558" s="13"/>
      <c r="J558" s="13" t="s">
        <v>3993</v>
      </c>
      <c r="K558" s="13" t="s">
        <v>3994</v>
      </c>
    </row>
    <row r="559" spans="1:11" x14ac:dyDescent="0.3">
      <c r="A559" s="13" t="s">
        <v>3989</v>
      </c>
      <c r="B559" s="13" t="s">
        <v>3990</v>
      </c>
      <c r="C559" s="13" t="s">
        <v>3995</v>
      </c>
      <c r="D559" s="13" t="s">
        <v>3996</v>
      </c>
      <c r="E559" s="13">
        <v>4</v>
      </c>
      <c r="F559" s="13" t="s">
        <v>3997</v>
      </c>
      <c r="G559" s="13">
        <v>55</v>
      </c>
      <c r="H559" s="13">
        <v>0</v>
      </c>
      <c r="I559" s="13"/>
      <c r="J559" s="13" t="s">
        <v>3998</v>
      </c>
      <c r="K559" s="13" t="s">
        <v>3999</v>
      </c>
    </row>
    <row r="560" spans="1:11" x14ac:dyDescent="0.3">
      <c r="A560" s="13" t="s">
        <v>3989</v>
      </c>
      <c r="B560" s="13" t="s">
        <v>3990</v>
      </c>
      <c r="C560" s="13" t="s">
        <v>3995</v>
      </c>
      <c r="D560" s="13" t="s">
        <v>4000</v>
      </c>
      <c r="E560" s="13">
        <v>4</v>
      </c>
      <c r="F560" s="13" t="s">
        <v>4001</v>
      </c>
      <c r="G560" s="13">
        <v>16</v>
      </c>
      <c r="H560" s="13">
        <v>0</v>
      </c>
      <c r="I560" s="13"/>
      <c r="J560" s="13" t="s">
        <v>4002</v>
      </c>
      <c r="K560" s="13" t="s">
        <v>4003</v>
      </c>
    </row>
    <row r="561" spans="1:11" x14ac:dyDescent="0.3">
      <c r="A561" s="13" t="s">
        <v>3989</v>
      </c>
      <c r="B561" s="13" t="s">
        <v>3990</v>
      </c>
      <c r="C561" s="13" t="s">
        <v>3995</v>
      </c>
      <c r="D561" s="13" t="s">
        <v>4004</v>
      </c>
      <c r="E561" s="13">
        <v>4</v>
      </c>
      <c r="F561" s="13" t="s">
        <v>4005</v>
      </c>
      <c r="G561" s="13">
        <v>69</v>
      </c>
      <c r="H561" s="13">
        <v>0</v>
      </c>
      <c r="I561" s="13"/>
      <c r="J561" s="13" t="s">
        <v>4006</v>
      </c>
      <c r="K561" s="13" t="s">
        <v>4007</v>
      </c>
    </row>
    <row r="562" spans="1:11" x14ac:dyDescent="0.3">
      <c r="A562" s="13" t="s">
        <v>3989</v>
      </c>
      <c r="B562" s="13" t="s">
        <v>3990</v>
      </c>
      <c r="C562" s="13" t="s">
        <v>3995</v>
      </c>
      <c r="D562" s="13" t="s">
        <v>4008</v>
      </c>
      <c r="E562" s="13">
        <v>4</v>
      </c>
      <c r="F562" s="13" t="s">
        <v>4009</v>
      </c>
      <c r="G562" s="13">
        <v>2</v>
      </c>
      <c r="H562" s="13">
        <v>0</v>
      </c>
      <c r="I562" s="13"/>
      <c r="J562" s="13" t="s">
        <v>4010</v>
      </c>
      <c r="K562" s="13" t="s">
        <v>4011</v>
      </c>
    </row>
    <row r="563" spans="1:11" x14ac:dyDescent="0.3">
      <c r="A563" s="13" t="s">
        <v>3989</v>
      </c>
      <c r="B563" s="13" t="s">
        <v>3990</v>
      </c>
      <c r="C563" s="13" t="s">
        <v>3995</v>
      </c>
      <c r="D563" s="13" t="s">
        <v>4012</v>
      </c>
      <c r="E563" s="13">
        <v>4</v>
      </c>
      <c r="F563" s="13" t="s">
        <v>4013</v>
      </c>
      <c r="G563" s="13">
        <v>6</v>
      </c>
      <c r="H563" s="13">
        <v>0</v>
      </c>
      <c r="I563" s="13"/>
      <c r="J563" s="13" t="s">
        <v>4014</v>
      </c>
      <c r="K563" s="13" t="s">
        <v>4015</v>
      </c>
    </row>
    <row r="564" spans="1:11" x14ac:dyDescent="0.3">
      <c r="A564" s="13" t="s">
        <v>3989</v>
      </c>
      <c r="B564" s="13" t="s">
        <v>3990</v>
      </c>
      <c r="C564" s="13" t="s">
        <v>3995</v>
      </c>
      <c r="D564" s="13" t="s">
        <v>4016</v>
      </c>
      <c r="E564" s="13">
        <v>4</v>
      </c>
      <c r="F564" s="13" t="s">
        <v>4017</v>
      </c>
      <c r="G564" s="13">
        <v>83</v>
      </c>
      <c r="H564" s="13">
        <v>0</v>
      </c>
      <c r="I564" s="13"/>
      <c r="J564" s="13" t="s">
        <v>4018</v>
      </c>
      <c r="K564" s="13" t="s">
        <v>4019</v>
      </c>
    </row>
    <row r="565" spans="1:11" x14ac:dyDescent="0.3">
      <c r="A565" s="13" t="s">
        <v>3989</v>
      </c>
      <c r="B565" s="13" t="s">
        <v>3990</v>
      </c>
      <c r="C565" s="13" t="s">
        <v>3995</v>
      </c>
      <c r="D565" s="13" t="s">
        <v>4020</v>
      </c>
      <c r="E565" s="13">
        <v>4</v>
      </c>
      <c r="F565" s="13" t="s">
        <v>4021</v>
      </c>
      <c r="G565" s="13">
        <v>89</v>
      </c>
      <c r="H565" s="13">
        <v>0</v>
      </c>
      <c r="I565" s="13"/>
      <c r="J565" s="13" t="s">
        <v>4022</v>
      </c>
      <c r="K565" s="13" t="s">
        <v>4023</v>
      </c>
    </row>
    <row r="566" spans="1:11" x14ac:dyDescent="0.3">
      <c r="A566" s="13" t="s">
        <v>3989</v>
      </c>
      <c r="B566" s="13" t="s">
        <v>3990</v>
      </c>
      <c r="C566" s="13" t="s">
        <v>4024</v>
      </c>
      <c r="D566" s="13" t="s">
        <v>4025</v>
      </c>
      <c r="E566" s="13">
        <v>4</v>
      </c>
      <c r="F566" s="13" t="s">
        <v>4026</v>
      </c>
      <c r="G566" s="13">
        <v>95</v>
      </c>
      <c r="H566" s="13">
        <v>0</v>
      </c>
      <c r="I566" s="13"/>
      <c r="J566" s="13" t="s">
        <v>4027</v>
      </c>
      <c r="K566" s="13" t="s">
        <v>4028</v>
      </c>
    </row>
    <row r="567" spans="1:11" x14ac:dyDescent="0.3">
      <c r="A567" s="13" t="s">
        <v>3989</v>
      </c>
      <c r="B567" s="13" t="s">
        <v>3990</v>
      </c>
      <c r="C567" s="13" t="s">
        <v>4024</v>
      </c>
      <c r="D567" s="13" t="s">
        <v>4029</v>
      </c>
      <c r="E567" s="13">
        <v>4</v>
      </c>
      <c r="F567" s="13" t="s">
        <v>4030</v>
      </c>
      <c r="G567" s="13">
        <v>84</v>
      </c>
      <c r="H567" s="13">
        <v>0</v>
      </c>
      <c r="I567" s="13"/>
      <c r="J567" s="13" t="s">
        <v>4031</v>
      </c>
      <c r="K567" s="13" t="s">
        <v>4032</v>
      </c>
    </row>
    <row r="568" spans="1:11" x14ac:dyDescent="0.3">
      <c r="A568" s="13" t="s">
        <v>3989</v>
      </c>
      <c r="B568" s="13" t="s">
        <v>3990</v>
      </c>
      <c r="C568" s="13" t="s">
        <v>4024</v>
      </c>
      <c r="D568" s="13" t="s">
        <v>4033</v>
      </c>
      <c r="E568" s="13">
        <v>4</v>
      </c>
      <c r="F568" s="13" t="s">
        <v>4034</v>
      </c>
      <c r="G568" s="13">
        <v>325</v>
      </c>
      <c r="H568" s="13">
        <v>0</v>
      </c>
      <c r="I568" s="13"/>
      <c r="J568" s="13" t="s">
        <v>4035</v>
      </c>
      <c r="K568" s="13" t="s">
        <v>4036</v>
      </c>
    </row>
    <row r="569" spans="1:11" x14ac:dyDescent="0.3">
      <c r="A569" s="13" t="s">
        <v>3989</v>
      </c>
      <c r="B569" s="13" t="s">
        <v>3990</v>
      </c>
      <c r="C569" s="13" t="s">
        <v>4024</v>
      </c>
      <c r="D569" s="13" t="s">
        <v>4037</v>
      </c>
      <c r="E569" s="13">
        <v>4</v>
      </c>
      <c r="F569" s="13" t="s">
        <v>4038</v>
      </c>
      <c r="G569" s="13">
        <v>692</v>
      </c>
      <c r="H569" s="13">
        <v>0</v>
      </c>
      <c r="I569" s="13"/>
      <c r="J569" s="13" t="s">
        <v>4039</v>
      </c>
      <c r="K569" s="13" t="s">
        <v>4040</v>
      </c>
    </row>
    <row r="570" spans="1:11" x14ac:dyDescent="0.3">
      <c r="A570" s="13" t="s">
        <v>3989</v>
      </c>
      <c r="B570" s="13" t="s">
        <v>3990</v>
      </c>
      <c r="C570" s="13" t="s">
        <v>4024</v>
      </c>
      <c r="D570" s="13" t="s">
        <v>4041</v>
      </c>
      <c r="E570" s="13">
        <v>4</v>
      </c>
      <c r="F570" s="13" t="s">
        <v>4042</v>
      </c>
      <c r="G570" s="13">
        <v>168</v>
      </c>
      <c r="H570" s="13">
        <v>0</v>
      </c>
      <c r="I570" s="13"/>
      <c r="J570" s="13" t="s">
        <v>4043</v>
      </c>
      <c r="K570" s="13" t="s">
        <v>4044</v>
      </c>
    </row>
    <row r="571" spans="1:11" x14ac:dyDescent="0.3">
      <c r="A571" s="13" t="s">
        <v>3989</v>
      </c>
      <c r="B571" s="13" t="s">
        <v>3990</v>
      </c>
      <c r="C571" s="13" t="s">
        <v>4024</v>
      </c>
      <c r="D571" s="13" t="s">
        <v>4045</v>
      </c>
      <c r="E571" s="13">
        <v>4</v>
      </c>
      <c r="F571" s="13" t="s">
        <v>4046</v>
      </c>
      <c r="G571" s="13">
        <v>39</v>
      </c>
      <c r="H571" s="13">
        <v>0</v>
      </c>
      <c r="I571" s="13"/>
      <c r="J571" s="13" t="s">
        <v>4047</v>
      </c>
      <c r="K571" s="13" t="s">
        <v>4048</v>
      </c>
    </row>
    <row r="572" spans="1:11" x14ac:dyDescent="0.3">
      <c r="A572" s="13" t="s">
        <v>3989</v>
      </c>
      <c r="B572" s="13" t="s">
        <v>3990</v>
      </c>
      <c r="C572" s="13" t="s">
        <v>4024</v>
      </c>
      <c r="D572" s="13" t="s">
        <v>4049</v>
      </c>
      <c r="E572" s="13">
        <v>4</v>
      </c>
      <c r="F572" s="13" t="s">
        <v>4050</v>
      </c>
      <c r="G572" s="13">
        <v>29</v>
      </c>
      <c r="H572" s="13">
        <v>0</v>
      </c>
      <c r="I572" s="13"/>
      <c r="J572" s="13" t="s">
        <v>4051</v>
      </c>
      <c r="K572" s="13" t="s">
        <v>4052</v>
      </c>
    </row>
    <row r="573" spans="1:11" x14ac:dyDescent="0.3">
      <c r="A573" s="13" t="s">
        <v>3989</v>
      </c>
      <c r="B573" s="13" t="s">
        <v>3990</v>
      </c>
      <c r="C573" s="13" t="s">
        <v>4024</v>
      </c>
      <c r="D573" s="13" t="s">
        <v>4053</v>
      </c>
      <c r="E573" s="13">
        <v>4</v>
      </c>
      <c r="F573" s="13" t="s">
        <v>4054</v>
      </c>
      <c r="G573" s="13">
        <v>13</v>
      </c>
      <c r="H573" s="13">
        <v>0</v>
      </c>
      <c r="I573" s="13"/>
      <c r="J573" s="13" t="s">
        <v>4055</v>
      </c>
      <c r="K573" s="13" t="s">
        <v>4056</v>
      </c>
    </row>
    <row r="574" spans="1:11" x14ac:dyDescent="0.3">
      <c r="A574" s="13" t="s">
        <v>3989</v>
      </c>
      <c r="B574" s="13" t="s">
        <v>3990</v>
      </c>
      <c r="C574" s="13" t="s">
        <v>4024</v>
      </c>
      <c r="D574" s="13" t="s">
        <v>4057</v>
      </c>
      <c r="E574" s="13">
        <v>4</v>
      </c>
      <c r="F574" s="13" t="s">
        <v>4058</v>
      </c>
      <c r="G574" s="13">
        <v>30</v>
      </c>
      <c r="H574" s="13">
        <v>0</v>
      </c>
      <c r="I574" s="13"/>
      <c r="J574" s="13" t="s">
        <v>4059</v>
      </c>
      <c r="K574" s="13" t="s">
        <v>4060</v>
      </c>
    </row>
    <row r="575" spans="1:11" x14ac:dyDescent="0.3">
      <c r="A575" s="13" t="s">
        <v>3989</v>
      </c>
      <c r="B575" s="13" t="s">
        <v>3990</v>
      </c>
      <c r="C575" s="13" t="s">
        <v>4024</v>
      </c>
      <c r="D575" s="13" t="s">
        <v>4061</v>
      </c>
      <c r="E575" s="13">
        <v>4</v>
      </c>
      <c r="F575" s="13" t="s">
        <v>4062</v>
      </c>
      <c r="G575" s="13">
        <v>10</v>
      </c>
      <c r="H575" s="13">
        <v>0</v>
      </c>
      <c r="I575" s="13"/>
      <c r="J575" s="13" t="s">
        <v>4063</v>
      </c>
      <c r="K575" s="13" t="s">
        <v>4064</v>
      </c>
    </row>
    <row r="576" spans="1:11" x14ac:dyDescent="0.3">
      <c r="A576" s="13" t="s">
        <v>3989</v>
      </c>
      <c r="B576" s="13" t="s">
        <v>3990</v>
      </c>
      <c r="C576" s="13" t="s">
        <v>4024</v>
      </c>
      <c r="D576" s="13" t="s">
        <v>4065</v>
      </c>
      <c r="E576" s="13">
        <v>4</v>
      </c>
      <c r="F576" s="13" t="s">
        <v>4066</v>
      </c>
      <c r="G576" s="13">
        <v>244</v>
      </c>
      <c r="H576" s="13">
        <v>0</v>
      </c>
      <c r="I576" s="13"/>
      <c r="J576" s="13" t="s">
        <v>4067</v>
      </c>
      <c r="K576" s="13" t="s">
        <v>4068</v>
      </c>
    </row>
    <row r="577" spans="1:11" x14ac:dyDescent="0.3">
      <c r="A577" s="13" t="s">
        <v>3989</v>
      </c>
      <c r="B577" s="13" t="s">
        <v>3990</v>
      </c>
      <c r="C577" s="13" t="s">
        <v>4069</v>
      </c>
      <c r="D577" s="13" t="s">
        <v>4070</v>
      </c>
      <c r="E577" s="13">
        <v>4</v>
      </c>
      <c r="F577" s="13" t="s">
        <v>4071</v>
      </c>
      <c r="G577" s="13">
        <v>2</v>
      </c>
      <c r="H577" s="13">
        <v>0</v>
      </c>
      <c r="I577" s="13"/>
      <c r="J577" s="13" t="s">
        <v>4072</v>
      </c>
      <c r="K577" s="13" t="s">
        <v>4073</v>
      </c>
    </row>
    <row r="578" spans="1:11" x14ac:dyDescent="0.3">
      <c r="A578" s="13" t="s">
        <v>3989</v>
      </c>
      <c r="B578" s="13" t="s">
        <v>3990</v>
      </c>
      <c r="C578" s="13" t="s">
        <v>4069</v>
      </c>
      <c r="D578" s="13" t="s">
        <v>4074</v>
      </c>
      <c r="E578" s="13">
        <v>4</v>
      </c>
      <c r="F578" s="13" t="s">
        <v>4075</v>
      </c>
      <c r="G578" s="13">
        <v>14</v>
      </c>
      <c r="H578" s="13">
        <v>0</v>
      </c>
      <c r="I578" s="13"/>
      <c r="J578" s="13" t="s">
        <v>4076</v>
      </c>
      <c r="K578" s="13" t="s">
        <v>4077</v>
      </c>
    </row>
    <row r="579" spans="1:11" x14ac:dyDescent="0.3">
      <c r="A579" s="13" t="s">
        <v>3989</v>
      </c>
      <c r="B579" s="13" t="s">
        <v>3990</v>
      </c>
      <c r="C579" s="13" t="s">
        <v>4078</v>
      </c>
      <c r="D579" s="13" t="s">
        <v>4079</v>
      </c>
      <c r="E579" s="13">
        <v>4</v>
      </c>
      <c r="F579" s="13" t="s">
        <v>4080</v>
      </c>
      <c r="G579" s="13">
        <v>6</v>
      </c>
      <c r="H579" s="13">
        <v>0</v>
      </c>
      <c r="I579" s="13"/>
      <c r="J579" s="13" t="s">
        <v>4081</v>
      </c>
      <c r="K579" s="13" t="s">
        <v>4082</v>
      </c>
    </row>
    <row r="580" spans="1:11" x14ac:dyDescent="0.3">
      <c r="A580" s="13" t="s">
        <v>3989</v>
      </c>
      <c r="B580" s="13" t="s">
        <v>3990</v>
      </c>
      <c r="C580" s="13" t="s">
        <v>4078</v>
      </c>
      <c r="D580" s="13" t="s">
        <v>4083</v>
      </c>
      <c r="E580" s="13">
        <v>4</v>
      </c>
      <c r="F580" s="13" t="s">
        <v>4084</v>
      </c>
      <c r="G580" s="13">
        <v>18</v>
      </c>
      <c r="H580" s="13">
        <v>0</v>
      </c>
      <c r="I580" s="13"/>
      <c r="J580" s="13" t="s">
        <v>4085</v>
      </c>
      <c r="K580" s="13" t="s">
        <v>4086</v>
      </c>
    </row>
    <row r="581" spans="1:11" x14ac:dyDescent="0.3">
      <c r="A581" s="13" t="s">
        <v>3989</v>
      </c>
      <c r="B581" s="13" t="s">
        <v>3990</v>
      </c>
      <c r="C581" s="13" t="s">
        <v>4078</v>
      </c>
      <c r="D581" s="13" t="s">
        <v>4087</v>
      </c>
      <c r="E581" s="13">
        <v>4</v>
      </c>
      <c r="F581" s="13" t="s">
        <v>4088</v>
      </c>
      <c r="G581" s="13">
        <v>40</v>
      </c>
      <c r="H581" s="13">
        <v>0</v>
      </c>
      <c r="I581" s="13"/>
      <c r="J581" s="13" t="s">
        <v>4089</v>
      </c>
      <c r="K581" s="13" t="s">
        <v>4090</v>
      </c>
    </row>
    <row r="582" spans="1:11" x14ac:dyDescent="0.3">
      <c r="A582" s="13" t="s">
        <v>3989</v>
      </c>
      <c r="B582" s="13" t="s">
        <v>3990</v>
      </c>
      <c r="C582" s="13" t="s">
        <v>4091</v>
      </c>
      <c r="D582" s="13" t="s">
        <v>4092</v>
      </c>
      <c r="E582" s="13">
        <v>4</v>
      </c>
      <c r="F582" s="13" t="s">
        <v>4093</v>
      </c>
      <c r="G582" s="13">
        <v>36</v>
      </c>
      <c r="H582" s="13">
        <v>0</v>
      </c>
      <c r="I582" s="13"/>
      <c r="J582" s="13" t="s">
        <v>4094</v>
      </c>
      <c r="K582" s="13" t="s">
        <v>4095</v>
      </c>
    </row>
    <row r="583" spans="1:11" x14ac:dyDescent="0.3">
      <c r="A583" s="13" t="s">
        <v>3989</v>
      </c>
      <c r="B583" s="13" t="s">
        <v>3990</v>
      </c>
      <c r="C583" s="13" t="s">
        <v>4091</v>
      </c>
      <c r="D583" s="13" t="s">
        <v>4096</v>
      </c>
      <c r="E583" s="13">
        <v>4</v>
      </c>
      <c r="F583" s="13" t="s">
        <v>4097</v>
      </c>
      <c r="G583" s="13">
        <v>19</v>
      </c>
      <c r="H583" s="13">
        <v>0</v>
      </c>
      <c r="I583" s="13"/>
      <c r="J583" s="13" t="s">
        <v>4098</v>
      </c>
      <c r="K583" s="13" t="s">
        <v>4099</v>
      </c>
    </row>
    <row r="584" spans="1:11" x14ac:dyDescent="0.3">
      <c r="A584" s="13" t="s">
        <v>3989</v>
      </c>
      <c r="B584" s="13" t="s">
        <v>3990</v>
      </c>
      <c r="C584" s="13" t="s">
        <v>4091</v>
      </c>
      <c r="D584" s="13" t="s">
        <v>4100</v>
      </c>
      <c r="E584" s="13">
        <v>4</v>
      </c>
      <c r="F584" s="13" t="s">
        <v>4101</v>
      </c>
      <c r="G584" s="13">
        <v>18</v>
      </c>
      <c r="H584" s="13">
        <v>0</v>
      </c>
      <c r="I584" s="13"/>
      <c r="J584" s="13" t="s">
        <v>4102</v>
      </c>
      <c r="K584" s="13" t="s">
        <v>4103</v>
      </c>
    </row>
    <row r="585" spans="1:11" x14ac:dyDescent="0.3">
      <c r="A585" s="13" t="s">
        <v>3989</v>
      </c>
      <c r="B585" s="13" t="s">
        <v>3990</v>
      </c>
      <c r="C585" s="13" t="s">
        <v>4091</v>
      </c>
      <c r="D585" s="13" t="s">
        <v>4104</v>
      </c>
      <c r="E585" s="13">
        <v>4</v>
      </c>
      <c r="F585" s="13" t="s">
        <v>4105</v>
      </c>
      <c r="G585" s="13">
        <v>30</v>
      </c>
      <c r="H585" s="13">
        <v>0</v>
      </c>
      <c r="I585" s="13"/>
      <c r="J585" s="13" t="s">
        <v>4106</v>
      </c>
      <c r="K585" s="13" t="s">
        <v>4107</v>
      </c>
    </row>
    <row r="586" spans="1:11" x14ac:dyDescent="0.3">
      <c r="A586" s="13" t="s">
        <v>3989</v>
      </c>
      <c r="B586" s="13" t="s">
        <v>4108</v>
      </c>
      <c r="C586" s="13" t="s">
        <v>4109</v>
      </c>
      <c r="D586" s="13"/>
      <c r="E586" s="13">
        <v>3</v>
      </c>
      <c r="F586" s="13" t="s">
        <v>4110</v>
      </c>
      <c r="G586" s="13">
        <v>10</v>
      </c>
      <c r="H586" s="13">
        <v>0</v>
      </c>
      <c r="I586" s="13"/>
      <c r="J586" s="13" t="s">
        <v>4111</v>
      </c>
      <c r="K586" s="13" t="s">
        <v>4112</v>
      </c>
    </row>
    <row r="587" spans="1:11" x14ac:dyDescent="0.3">
      <c r="A587" s="13" t="s">
        <v>3989</v>
      </c>
      <c r="B587" s="13" t="s">
        <v>4108</v>
      </c>
      <c r="C587" s="13" t="s">
        <v>4113</v>
      </c>
      <c r="D587" s="13"/>
      <c r="E587" s="13">
        <v>3</v>
      </c>
      <c r="F587" s="13" t="s">
        <v>4114</v>
      </c>
      <c r="G587" s="13">
        <v>60</v>
      </c>
      <c r="H587" s="13">
        <v>0</v>
      </c>
      <c r="I587" s="13"/>
      <c r="J587" s="13" t="s">
        <v>4115</v>
      </c>
      <c r="K587" s="13" t="s">
        <v>4116</v>
      </c>
    </row>
    <row r="588" spans="1:11" x14ac:dyDescent="0.3">
      <c r="A588" s="13" t="s">
        <v>3989</v>
      </c>
      <c r="B588" s="13" t="s">
        <v>4108</v>
      </c>
      <c r="C588" s="13" t="s">
        <v>4117</v>
      </c>
      <c r="D588" s="13"/>
      <c r="E588" s="13">
        <v>3</v>
      </c>
      <c r="F588" s="13" t="s">
        <v>4118</v>
      </c>
      <c r="G588" s="13">
        <v>99</v>
      </c>
      <c r="H588" s="13">
        <v>0</v>
      </c>
      <c r="I588" s="13"/>
      <c r="J588" s="13" t="s">
        <v>4119</v>
      </c>
      <c r="K588" s="13" t="s">
        <v>4120</v>
      </c>
    </row>
    <row r="589" spans="1:11" x14ac:dyDescent="0.3">
      <c r="A589" s="13" t="s">
        <v>3989</v>
      </c>
      <c r="B589" s="13" t="s">
        <v>4108</v>
      </c>
      <c r="C589" s="13" t="s">
        <v>4121</v>
      </c>
      <c r="D589" s="13"/>
      <c r="E589" s="13">
        <v>3</v>
      </c>
      <c r="F589" s="13" t="s">
        <v>4122</v>
      </c>
      <c r="G589" s="13">
        <v>101</v>
      </c>
      <c r="H589" s="13">
        <v>0</v>
      </c>
      <c r="I589" s="13"/>
      <c r="J589" s="13" t="s">
        <v>4123</v>
      </c>
      <c r="K589" s="13" t="s">
        <v>4124</v>
      </c>
    </row>
    <row r="590" spans="1:11" x14ac:dyDescent="0.3">
      <c r="A590" s="13" t="s">
        <v>3989</v>
      </c>
      <c r="B590" s="13" t="s">
        <v>4108</v>
      </c>
      <c r="C590" s="13" t="s">
        <v>4125</v>
      </c>
      <c r="D590" s="13"/>
      <c r="E590" s="13">
        <v>3</v>
      </c>
      <c r="F590" s="13" t="s">
        <v>4126</v>
      </c>
      <c r="G590" s="13">
        <v>21</v>
      </c>
      <c r="H590" s="13">
        <v>0</v>
      </c>
      <c r="I590" s="13"/>
      <c r="J590" s="13" t="s">
        <v>4127</v>
      </c>
      <c r="K590" s="13" t="s">
        <v>4128</v>
      </c>
    </row>
    <row r="591" spans="1:11" x14ac:dyDescent="0.3">
      <c r="A591" s="13" t="s">
        <v>3989</v>
      </c>
      <c r="B591" s="13" t="s">
        <v>4129</v>
      </c>
      <c r="C591" s="13" t="s">
        <v>4130</v>
      </c>
      <c r="D591" s="13"/>
      <c r="E591" s="13">
        <v>3</v>
      </c>
      <c r="F591" s="13" t="s">
        <v>4131</v>
      </c>
      <c r="G591" s="13">
        <v>74</v>
      </c>
      <c r="H591" s="13">
        <v>0</v>
      </c>
      <c r="I591" s="13"/>
      <c r="J591" s="13" t="s">
        <v>4132</v>
      </c>
      <c r="K591" s="13" t="s">
        <v>4133</v>
      </c>
    </row>
    <row r="592" spans="1:11" x14ac:dyDescent="0.3">
      <c r="A592" s="13" t="s">
        <v>3989</v>
      </c>
      <c r="B592" s="13" t="s">
        <v>4129</v>
      </c>
      <c r="C592" s="13" t="s">
        <v>4134</v>
      </c>
      <c r="D592" s="13" t="s">
        <v>4135</v>
      </c>
      <c r="E592" s="13">
        <v>4</v>
      </c>
      <c r="F592" s="13" t="s">
        <v>4136</v>
      </c>
      <c r="G592" s="13">
        <v>13</v>
      </c>
      <c r="H592" s="13">
        <v>0</v>
      </c>
      <c r="I592" s="13"/>
      <c r="J592" s="13" t="s">
        <v>4137</v>
      </c>
      <c r="K592" s="13" t="s">
        <v>4138</v>
      </c>
    </row>
    <row r="593" spans="1:11" x14ac:dyDescent="0.3">
      <c r="A593" s="13" t="s">
        <v>3989</v>
      </c>
      <c r="B593" s="13" t="s">
        <v>4129</v>
      </c>
      <c r="C593" s="13" t="s">
        <v>4134</v>
      </c>
      <c r="D593" s="13" t="s">
        <v>4139</v>
      </c>
      <c r="E593" s="13">
        <v>4</v>
      </c>
      <c r="F593" s="13" t="s">
        <v>4140</v>
      </c>
      <c r="G593" s="13">
        <v>3</v>
      </c>
      <c r="H593" s="13">
        <v>0</v>
      </c>
      <c r="I593" s="13"/>
      <c r="J593" s="13" t="s">
        <v>4141</v>
      </c>
      <c r="K593" s="13" t="s">
        <v>4142</v>
      </c>
    </row>
    <row r="594" spans="1:11" x14ac:dyDescent="0.3">
      <c r="A594" s="13" t="s">
        <v>3989</v>
      </c>
      <c r="B594" s="13" t="s">
        <v>4129</v>
      </c>
      <c r="C594" s="13" t="s">
        <v>4134</v>
      </c>
      <c r="D594" s="13" t="s">
        <v>4143</v>
      </c>
      <c r="E594" s="13">
        <v>4</v>
      </c>
      <c r="F594" s="13" t="s">
        <v>4144</v>
      </c>
      <c r="G594" s="13">
        <v>7</v>
      </c>
      <c r="H594" s="13">
        <v>0</v>
      </c>
      <c r="I594" s="13"/>
      <c r="J594" s="13" t="s">
        <v>4145</v>
      </c>
      <c r="K594" s="13" t="s">
        <v>4146</v>
      </c>
    </row>
    <row r="595" spans="1:11" x14ac:dyDescent="0.3">
      <c r="A595" s="13" t="s">
        <v>3989</v>
      </c>
      <c r="B595" s="13" t="s">
        <v>4129</v>
      </c>
      <c r="C595" s="13" t="s">
        <v>4134</v>
      </c>
      <c r="D595" s="13" t="s">
        <v>4147</v>
      </c>
      <c r="E595" s="13">
        <v>4</v>
      </c>
      <c r="F595" s="13" t="s">
        <v>4148</v>
      </c>
      <c r="G595" s="13">
        <v>37</v>
      </c>
      <c r="H595" s="13">
        <v>0</v>
      </c>
      <c r="I595" s="13"/>
      <c r="J595" s="13" t="s">
        <v>4149</v>
      </c>
      <c r="K595" s="13" t="s">
        <v>4150</v>
      </c>
    </row>
    <row r="596" spans="1:11" x14ac:dyDescent="0.3">
      <c r="A596" s="13" t="s">
        <v>3989</v>
      </c>
      <c r="B596" s="13" t="s">
        <v>4129</v>
      </c>
      <c r="C596" s="13" t="s">
        <v>4134</v>
      </c>
      <c r="D596" s="13" t="s">
        <v>4151</v>
      </c>
      <c r="E596" s="13">
        <v>4</v>
      </c>
      <c r="F596" s="13" t="s">
        <v>4152</v>
      </c>
      <c r="G596" s="13">
        <v>4</v>
      </c>
      <c r="H596" s="13">
        <v>0</v>
      </c>
      <c r="I596" s="13"/>
      <c r="J596" s="13" t="s">
        <v>4153</v>
      </c>
      <c r="K596" s="13" t="s">
        <v>4154</v>
      </c>
    </row>
    <row r="597" spans="1:11" x14ac:dyDescent="0.3">
      <c r="A597" s="13" t="s">
        <v>3989</v>
      </c>
      <c r="B597" s="13" t="s">
        <v>4129</v>
      </c>
      <c r="C597" s="13" t="s">
        <v>4134</v>
      </c>
      <c r="D597" s="13" t="s">
        <v>4155</v>
      </c>
      <c r="E597" s="13">
        <v>4</v>
      </c>
      <c r="F597" s="13" t="s">
        <v>4156</v>
      </c>
      <c r="G597" s="13">
        <v>33</v>
      </c>
      <c r="H597" s="13">
        <v>0</v>
      </c>
      <c r="I597" s="13"/>
      <c r="J597" s="13" t="s">
        <v>4157</v>
      </c>
      <c r="K597" s="13" t="s">
        <v>4158</v>
      </c>
    </row>
    <row r="598" spans="1:11" x14ac:dyDescent="0.3">
      <c r="A598" s="13" t="s">
        <v>3989</v>
      </c>
      <c r="B598" s="13" t="s">
        <v>4129</v>
      </c>
      <c r="C598" s="13" t="s">
        <v>4134</v>
      </c>
      <c r="D598" s="13" t="s">
        <v>4159</v>
      </c>
      <c r="E598" s="13">
        <v>4</v>
      </c>
      <c r="F598" s="13" t="s">
        <v>4160</v>
      </c>
      <c r="G598" s="13">
        <v>20</v>
      </c>
      <c r="H598" s="13">
        <v>0</v>
      </c>
      <c r="I598" s="13"/>
      <c r="J598" s="13" t="s">
        <v>4161</v>
      </c>
      <c r="K598" s="13" t="s">
        <v>4162</v>
      </c>
    </row>
    <row r="599" spans="1:11" x14ac:dyDescent="0.3">
      <c r="A599" s="13" t="s">
        <v>3989</v>
      </c>
      <c r="B599" s="13" t="s">
        <v>4129</v>
      </c>
      <c r="C599" s="13" t="s">
        <v>4134</v>
      </c>
      <c r="D599" s="13" t="s">
        <v>4163</v>
      </c>
      <c r="E599" s="13">
        <v>4</v>
      </c>
      <c r="F599" s="13" t="s">
        <v>4164</v>
      </c>
      <c r="G599" s="13">
        <v>3</v>
      </c>
      <c r="H599" s="13">
        <v>0</v>
      </c>
      <c r="I599" s="13"/>
      <c r="J599" s="13" t="s">
        <v>4165</v>
      </c>
      <c r="K599" s="13" t="s">
        <v>4166</v>
      </c>
    </row>
    <row r="600" spans="1:11" x14ac:dyDescent="0.3">
      <c r="A600" s="13" t="s">
        <v>3989</v>
      </c>
      <c r="B600" s="13" t="s">
        <v>4129</v>
      </c>
      <c r="C600" s="13" t="s">
        <v>4134</v>
      </c>
      <c r="D600" s="13" t="s">
        <v>4167</v>
      </c>
      <c r="E600" s="13">
        <v>4</v>
      </c>
      <c r="F600" s="13" t="s">
        <v>4168</v>
      </c>
      <c r="G600" s="13">
        <v>1</v>
      </c>
      <c r="H600" s="13">
        <v>0</v>
      </c>
      <c r="I600" s="13"/>
      <c r="J600" s="13" t="s">
        <v>4169</v>
      </c>
      <c r="K600" s="13" t="s">
        <v>4170</v>
      </c>
    </row>
    <row r="601" spans="1:11" x14ac:dyDescent="0.3">
      <c r="A601" s="13" t="s">
        <v>3989</v>
      </c>
      <c r="B601" s="13" t="s">
        <v>4129</v>
      </c>
      <c r="C601" s="13" t="s">
        <v>4134</v>
      </c>
      <c r="D601" s="13" t="s">
        <v>4171</v>
      </c>
      <c r="E601" s="13">
        <v>4</v>
      </c>
      <c r="F601" s="13" t="s">
        <v>4172</v>
      </c>
      <c r="G601" s="13">
        <v>12</v>
      </c>
      <c r="H601" s="13">
        <v>0</v>
      </c>
      <c r="I601" s="13"/>
      <c r="J601" s="13" t="s">
        <v>4173</v>
      </c>
      <c r="K601" s="13" t="s">
        <v>4174</v>
      </c>
    </row>
    <row r="602" spans="1:11" x14ac:dyDescent="0.3">
      <c r="A602" s="13" t="s">
        <v>3989</v>
      </c>
      <c r="B602" s="13" t="s">
        <v>4129</v>
      </c>
      <c r="C602" s="13" t="s">
        <v>4134</v>
      </c>
      <c r="D602" s="13" t="s">
        <v>4175</v>
      </c>
      <c r="E602" s="13">
        <v>4</v>
      </c>
      <c r="F602" s="13" t="s">
        <v>4176</v>
      </c>
      <c r="G602" s="13">
        <v>4</v>
      </c>
      <c r="H602" s="13">
        <v>0</v>
      </c>
      <c r="I602" s="13"/>
      <c r="J602" s="13" t="s">
        <v>4177</v>
      </c>
      <c r="K602" s="13" t="s">
        <v>4178</v>
      </c>
    </row>
    <row r="603" spans="1:11" x14ac:dyDescent="0.3">
      <c r="A603" s="13" t="s">
        <v>3989</v>
      </c>
      <c r="B603" s="13" t="s">
        <v>4179</v>
      </c>
      <c r="C603" s="13" t="s">
        <v>4180</v>
      </c>
      <c r="D603" s="13" t="s">
        <v>4181</v>
      </c>
      <c r="E603" s="13">
        <v>4</v>
      </c>
      <c r="F603" s="13" t="s">
        <v>4182</v>
      </c>
      <c r="G603" s="13">
        <v>4</v>
      </c>
      <c r="H603" s="13">
        <v>0</v>
      </c>
      <c r="I603" s="13"/>
      <c r="J603" s="13" t="s">
        <v>4183</v>
      </c>
      <c r="K603" s="13" t="s">
        <v>4184</v>
      </c>
    </row>
    <row r="604" spans="1:11" x14ac:dyDescent="0.3">
      <c r="A604" s="13" t="s">
        <v>3989</v>
      </c>
      <c r="B604" s="13" t="s">
        <v>4179</v>
      </c>
      <c r="C604" s="13" t="s">
        <v>4180</v>
      </c>
      <c r="D604" s="13" t="s">
        <v>4185</v>
      </c>
      <c r="E604" s="13">
        <v>4</v>
      </c>
      <c r="F604" s="13" t="s">
        <v>4186</v>
      </c>
      <c r="G604" s="13">
        <v>11</v>
      </c>
      <c r="H604" s="13">
        <v>0</v>
      </c>
      <c r="I604" s="13"/>
      <c r="J604" s="13" t="s">
        <v>4187</v>
      </c>
      <c r="K604" s="13" t="s">
        <v>4188</v>
      </c>
    </row>
    <row r="605" spans="1:11" x14ac:dyDescent="0.3">
      <c r="A605" s="13" t="s">
        <v>3989</v>
      </c>
      <c r="B605" s="13" t="s">
        <v>4179</v>
      </c>
      <c r="C605" s="13" t="s">
        <v>4180</v>
      </c>
      <c r="D605" s="13" t="s">
        <v>4189</v>
      </c>
      <c r="E605" s="13">
        <v>4</v>
      </c>
      <c r="F605" s="13" t="s">
        <v>4190</v>
      </c>
      <c r="G605" s="13">
        <v>11</v>
      </c>
      <c r="H605" s="13">
        <v>0</v>
      </c>
      <c r="I605" s="13"/>
      <c r="J605" s="13" t="s">
        <v>4191</v>
      </c>
      <c r="K605" s="13" t="s">
        <v>4192</v>
      </c>
    </row>
    <row r="606" spans="1:11" x14ac:dyDescent="0.3">
      <c r="A606" s="13" t="s">
        <v>3989</v>
      </c>
      <c r="B606" s="13" t="s">
        <v>4179</v>
      </c>
      <c r="C606" s="13" t="s">
        <v>4180</v>
      </c>
      <c r="D606" s="13" t="s">
        <v>4193</v>
      </c>
      <c r="E606" s="13">
        <v>4</v>
      </c>
      <c r="F606" s="13" t="s">
        <v>4194</v>
      </c>
      <c r="G606" s="13">
        <v>28</v>
      </c>
      <c r="H606" s="13">
        <v>0</v>
      </c>
      <c r="I606" s="13"/>
      <c r="J606" s="13" t="s">
        <v>4195</v>
      </c>
      <c r="K606" s="13" t="s">
        <v>4196</v>
      </c>
    </row>
    <row r="607" spans="1:11" x14ac:dyDescent="0.3">
      <c r="A607" s="13" t="s">
        <v>3989</v>
      </c>
      <c r="B607" s="13" t="s">
        <v>4179</v>
      </c>
      <c r="C607" s="13" t="s">
        <v>4180</v>
      </c>
      <c r="D607" s="13" t="s">
        <v>4197</v>
      </c>
      <c r="E607" s="13">
        <v>4</v>
      </c>
      <c r="F607" s="13" t="s">
        <v>4198</v>
      </c>
      <c r="G607" s="13">
        <v>5</v>
      </c>
      <c r="H607" s="13">
        <v>0</v>
      </c>
      <c r="I607" s="13"/>
      <c r="J607" s="13" t="s">
        <v>4199</v>
      </c>
      <c r="K607" s="13" t="s">
        <v>4200</v>
      </c>
    </row>
    <row r="608" spans="1:11" x14ac:dyDescent="0.3">
      <c r="A608" s="13" t="s">
        <v>3989</v>
      </c>
      <c r="B608" s="13" t="s">
        <v>4179</v>
      </c>
      <c r="C608" s="13" t="s">
        <v>4180</v>
      </c>
      <c r="D608" s="13" t="s">
        <v>4201</v>
      </c>
      <c r="E608" s="13">
        <v>4</v>
      </c>
      <c r="F608" s="13" t="s">
        <v>4202</v>
      </c>
      <c r="G608" s="13">
        <v>2</v>
      </c>
      <c r="H608" s="13">
        <v>0</v>
      </c>
      <c r="I608" s="13"/>
      <c r="J608" s="13" t="s">
        <v>4203</v>
      </c>
      <c r="K608" s="13" t="s">
        <v>4204</v>
      </c>
    </row>
    <row r="609" spans="1:11" x14ac:dyDescent="0.3">
      <c r="A609" s="13" t="s">
        <v>3989</v>
      </c>
      <c r="B609" s="13" t="s">
        <v>4179</v>
      </c>
      <c r="C609" s="13" t="s">
        <v>4180</v>
      </c>
      <c r="D609" s="13" t="s">
        <v>4205</v>
      </c>
      <c r="E609" s="13">
        <v>4</v>
      </c>
      <c r="F609" s="13" t="s">
        <v>4206</v>
      </c>
      <c r="G609" s="13">
        <v>19</v>
      </c>
      <c r="H609" s="13">
        <v>0</v>
      </c>
      <c r="I609" s="13"/>
      <c r="J609" s="13" t="s">
        <v>4207</v>
      </c>
      <c r="K609" s="13" t="s">
        <v>4208</v>
      </c>
    </row>
    <row r="610" spans="1:11" x14ac:dyDescent="0.3">
      <c r="A610" s="13" t="s">
        <v>3989</v>
      </c>
      <c r="B610" s="13" t="s">
        <v>4179</v>
      </c>
      <c r="C610" s="13" t="s">
        <v>4180</v>
      </c>
      <c r="D610" s="13" t="s">
        <v>4209</v>
      </c>
      <c r="E610" s="13">
        <v>4</v>
      </c>
      <c r="F610" s="13" t="s">
        <v>4210</v>
      </c>
      <c r="G610" s="13">
        <v>3</v>
      </c>
      <c r="H610" s="13">
        <v>0</v>
      </c>
      <c r="I610" s="13"/>
      <c r="J610" s="13" t="s">
        <v>4211</v>
      </c>
      <c r="K610" s="13" t="s">
        <v>4212</v>
      </c>
    </row>
    <row r="611" spans="1:11" x14ac:dyDescent="0.3">
      <c r="A611" s="13" t="s">
        <v>3989</v>
      </c>
      <c r="B611" s="13" t="s">
        <v>4179</v>
      </c>
      <c r="C611" s="13" t="s">
        <v>4180</v>
      </c>
      <c r="D611" s="13" t="s">
        <v>4213</v>
      </c>
      <c r="E611" s="13">
        <v>4</v>
      </c>
      <c r="F611" s="13" t="s">
        <v>4214</v>
      </c>
      <c r="G611" s="13">
        <v>4</v>
      </c>
      <c r="H611" s="13">
        <v>0</v>
      </c>
      <c r="I611" s="13"/>
      <c r="J611" s="13" t="s">
        <v>4215</v>
      </c>
      <c r="K611" s="13" t="s">
        <v>4216</v>
      </c>
    </row>
    <row r="612" spans="1:11" x14ac:dyDescent="0.3">
      <c r="A612" s="13" t="s">
        <v>3989</v>
      </c>
      <c r="B612" s="13" t="s">
        <v>4179</v>
      </c>
      <c r="C612" s="13" t="s">
        <v>4180</v>
      </c>
      <c r="D612" s="13" t="s">
        <v>4217</v>
      </c>
      <c r="E612" s="13">
        <v>4</v>
      </c>
      <c r="F612" s="13" t="s">
        <v>4218</v>
      </c>
      <c r="G612" s="13">
        <v>6</v>
      </c>
      <c r="H612" s="13">
        <v>0</v>
      </c>
      <c r="I612" s="13"/>
      <c r="J612" s="13" t="s">
        <v>4219</v>
      </c>
      <c r="K612" s="13" t="s">
        <v>4220</v>
      </c>
    </row>
    <row r="613" spans="1:11" x14ac:dyDescent="0.3">
      <c r="A613" s="13" t="s">
        <v>3989</v>
      </c>
      <c r="B613" s="13" t="s">
        <v>4179</v>
      </c>
      <c r="C613" s="13" t="s">
        <v>4221</v>
      </c>
      <c r="D613" s="13" t="s">
        <v>4222</v>
      </c>
      <c r="E613" s="13">
        <v>4</v>
      </c>
      <c r="F613" s="13" t="s">
        <v>4223</v>
      </c>
      <c r="G613" s="13">
        <v>55</v>
      </c>
      <c r="H613" s="13">
        <v>0</v>
      </c>
      <c r="I613" s="13"/>
      <c r="J613" s="13" t="s">
        <v>4224</v>
      </c>
      <c r="K613" s="13" t="s">
        <v>4225</v>
      </c>
    </row>
    <row r="614" spans="1:11" x14ac:dyDescent="0.3">
      <c r="A614" s="13" t="s">
        <v>3989</v>
      </c>
      <c r="B614" s="13" t="s">
        <v>4179</v>
      </c>
      <c r="C614" s="13" t="s">
        <v>4221</v>
      </c>
      <c r="D614" s="13" t="s">
        <v>4226</v>
      </c>
      <c r="E614" s="13">
        <v>4</v>
      </c>
      <c r="F614" s="13" t="s">
        <v>4227</v>
      </c>
      <c r="G614" s="13">
        <v>27</v>
      </c>
      <c r="H614" s="13">
        <v>0</v>
      </c>
      <c r="I614" s="13"/>
      <c r="J614" s="13" t="s">
        <v>4228</v>
      </c>
      <c r="K614" s="13" t="s">
        <v>4229</v>
      </c>
    </row>
    <row r="615" spans="1:11" x14ac:dyDescent="0.3">
      <c r="A615" s="13" t="s">
        <v>3989</v>
      </c>
      <c r="B615" s="13" t="s">
        <v>4179</v>
      </c>
      <c r="C615" s="13" t="s">
        <v>4221</v>
      </c>
      <c r="D615" s="13" t="s">
        <v>4230</v>
      </c>
      <c r="E615" s="13">
        <v>4</v>
      </c>
      <c r="F615" s="13" t="s">
        <v>4231</v>
      </c>
      <c r="G615" s="13">
        <v>40</v>
      </c>
      <c r="H615" s="13">
        <v>0</v>
      </c>
      <c r="I615" s="13"/>
      <c r="J615" s="13" t="s">
        <v>4232</v>
      </c>
      <c r="K615" s="13" t="s">
        <v>4233</v>
      </c>
    </row>
    <row r="616" spans="1:11" x14ac:dyDescent="0.3">
      <c r="A616" s="13" t="s">
        <v>3989</v>
      </c>
      <c r="B616" s="13" t="s">
        <v>4179</v>
      </c>
      <c r="C616" s="13" t="s">
        <v>4221</v>
      </c>
      <c r="D616" s="13" t="s">
        <v>4234</v>
      </c>
      <c r="E616" s="13">
        <v>4</v>
      </c>
      <c r="F616" s="13" t="s">
        <v>4235</v>
      </c>
      <c r="G616" s="13">
        <v>10</v>
      </c>
      <c r="H616" s="13">
        <v>0</v>
      </c>
      <c r="I616" s="13"/>
      <c r="J616" s="13" t="s">
        <v>4236</v>
      </c>
      <c r="K616" s="13" t="s">
        <v>4237</v>
      </c>
    </row>
    <row r="617" spans="1:11" x14ac:dyDescent="0.3">
      <c r="A617" s="13" t="s">
        <v>3989</v>
      </c>
      <c r="B617" s="13" t="s">
        <v>4179</v>
      </c>
      <c r="C617" s="13" t="s">
        <v>4221</v>
      </c>
      <c r="D617" s="13" t="s">
        <v>4238</v>
      </c>
      <c r="E617" s="13">
        <v>4</v>
      </c>
      <c r="F617" s="13" t="s">
        <v>4239</v>
      </c>
      <c r="G617" s="13">
        <v>19</v>
      </c>
      <c r="H617" s="13">
        <v>0</v>
      </c>
      <c r="I617" s="13"/>
      <c r="J617" s="13" t="s">
        <v>4240</v>
      </c>
      <c r="K617" s="13" t="s">
        <v>4241</v>
      </c>
    </row>
    <row r="618" spans="1:11" x14ac:dyDescent="0.3">
      <c r="A618" s="13" t="s">
        <v>3989</v>
      </c>
      <c r="B618" s="13" t="s">
        <v>4179</v>
      </c>
      <c r="C618" s="13" t="s">
        <v>4221</v>
      </c>
      <c r="D618" s="13" t="s">
        <v>4242</v>
      </c>
      <c r="E618" s="13">
        <v>4</v>
      </c>
      <c r="F618" s="13" t="s">
        <v>4243</v>
      </c>
      <c r="G618" s="13">
        <v>3</v>
      </c>
      <c r="H618" s="13">
        <v>0</v>
      </c>
      <c r="I618" s="13"/>
      <c r="J618" s="13" t="s">
        <v>4244</v>
      </c>
      <c r="K618" s="13" t="s">
        <v>4245</v>
      </c>
    </row>
    <row r="619" spans="1:11" x14ac:dyDescent="0.3">
      <c r="A619" s="13" t="s">
        <v>3989</v>
      </c>
      <c r="B619" s="13" t="s">
        <v>4179</v>
      </c>
      <c r="C619" s="13" t="s">
        <v>4221</v>
      </c>
      <c r="D619" s="13" t="s">
        <v>4246</v>
      </c>
      <c r="E619" s="13">
        <v>4</v>
      </c>
      <c r="F619" s="13" t="s">
        <v>4247</v>
      </c>
      <c r="G619" s="13">
        <v>1</v>
      </c>
      <c r="H619" s="13">
        <v>0</v>
      </c>
      <c r="I619" s="13"/>
      <c r="J619" s="13" t="s">
        <v>4248</v>
      </c>
      <c r="K619" s="13" t="s">
        <v>4249</v>
      </c>
    </row>
    <row r="620" spans="1:11" x14ac:dyDescent="0.3">
      <c r="A620" s="13" t="s">
        <v>3989</v>
      </c>
      <c r="B620" s="13" t="s">
        <v>4179</v>
      </c>
      <c r="C620" s="13" t="s">
        <v>4221</v>
      </c>
      <c r="D620" s="13" t="s">
        <v>4250</v>
      </c>
      <c r="E620" s="13">
        <v>4</v>
      </c>
      <c r="F620" s="13" t="s">
        <v>4251</v>
      </c>
      <c r="G620" s="13">
        <v>10</v>
      </c>
      <c r="H620" s="13">
        <v>0</v>
      </c>
      <c r="I620" s="13"/>
      <c r="J620" s="13" t="s">
        <v>4252</v>
      </c>
      <c r="K620" s="13" t="s">
        <v>4253</v>
      </c>
    </row>
    <row r="621" spans="1:11" x14ac:dyDescent="0.3">
      <c r="A621" s="13" t="s">
        <v>3989</v>
      </c>
      <c r="B621" s="13" t="s">
        <v>4179</v>
      </c>
      <c r="C621" s="13" t="s">
        <v>4221</v>
      </c>
      <c r="D621" s="13" t="s">
        <v>4254</v>
      </c>
      <c r="E621" s="13">
        <v>4</v>
      </c>
      <c r="F621" s="13" t="s">
        <v>4255</v>
      </c>
      <c r="G621" s="13">
        <v>34</v>
      </c>
      <c r="H621" s="13">
        <v>0</v>
      </c>
      <c r="I621" s="13"/>
      <c r="J621" s="13" t="s">
        <v>4256</v>
      </c>
      <c r="K621" s="13" t="s">
        <v>4257</v>
      </c>
    </row>
    <row r="622" spans="1:11" x14ac:dyDescent="0.3">
      <c r="A622" s="13" t="s">
        <v>3989</v>
      </c>
      <c r="B622" s="13" t="s">
        <v>4179</v>
      </c>
      <c r="C622" s="13" t="s">
        <v>4221</v>
      </c>
      <c r="D622" s="13" t="s">
        <v>4258</v>
      </c>
      <c r="E622" s="13">
        <v>4</v>
      </c>
      <c r="F622" s="13" t="s">
        <v>4259</v>
      </c>
      <c r="G622" s="13">
        <v>8</v>
      </c>
      <c r="H622" s="13">
        <v>0</v>
      </c>
      <c r="I622" s="13"/>
      <c r="J622" s="13" t="s">
        <v>4260</v>
      </c>
      <c r="K622" s="13" t="s">
        <v>4261</v>
      </c>
    </row>
    <row r="623" spans="1:11" x14ac:dyDescent="0.3">
      <c r="A623" s="13" t="s">
        <v>3989</v>
      </c>
      <c r="B623" s="13" t="s">
        <v>4179</v>
      </c>
      <c r="C623" s="13" t="s">
        <v>4221</v>
      </c>
      <c r="D623" s="13" t="s">
        <v>4262</v>
      </c>
      <c r="E623" s="13">
        <v>4</v>
      </c>
      <c r="F623" s="13" t="s">
        <v>4263</v>
      </c>
      <c r="G623" s="13">
        <v>6</v>
      </c>
      <c r="H623" s="13">
        <v>0</v>
      </c>
      <c r="I623" s="13"/>
      <c r="J623" s="13" t="s">
        <v>4264</v>
      </c>
      <c r="K623" s="13" t="s">
        <v>4265</v>
      </c>
    </row>
    <row r="624" spans="1:11" x14ac:dyDescent="0.3">
      <c r="A624" s="13" t="s">
        <v>3989</v>
      </c>
      <c r="B624" s="13" t="s">
        <v>4179</v>
      </c>
      <c r="C624" s="13" t="s">
        <v>4266</v>
      </c>
      <c r="D624" s="13" t="s">
        <v>4267</v>
      </c>
      <c r="E624" s="13">
        <v>4</v>
      </c>
      <c r="F624" s="13" t="s">
        <v>4268</v>
      </c>
      <c r="G624" s="13">
        <v>18</v>
      </c>
      <c r="H624" s="13">
        <v>0</v>
      </c>
      <c r="I624" s="13"/>
      <c r="J624" s="13" t="s">
        <v>4269</v>
      </c>
      <c r="K624" s="13" t="s">
        <v>4270</v>
      </c>
    </row>
    <row r="625" spans="1:11" x14ac:dyDescent="0.3">
      <c r="A625" s="13" t="s">
        <v>3989</v>
      </c>
      <c r="B625" s="13" t="s">
        <v>4179</v>
      </c>
      <c r="C625" s="13" t="s">
        <v>4266</v>
      </c>
      <c r="D625" s="13" t="s">
        <v>4271</v>
      </c>
      <c r="E625" s="13">
        <v>4</v>
      </c>
      <c r="F625" s="13" t="s">
        <v>4272</v>
      </c>
      <c r="G625" s="13">
        <v>10</v>
      </c>
      <c r="H625" s="13">
        <v>0</v>
      </c>
      <c r="I625" s="13"/>
      <c r="J625" s="13" t="s">
        <v>4273</v>
      </c>
      <c r="K625" s="13" t="s">
        <v>4274</v>
      </c>
    </row>
    <row r="626" spans="1:11" x14ac:dyDescent="0.3">
      <c r="A626" s="13" t="s">
        <v>3989</v>
      </c>
      <c r="B626" s="13" t="s">
        <v>4179</v>
      </c>
      <c r="C626" s="13" t="s">
        <v>4266</v>
      </c>
      <c r="D626" s="13" t="s">
        <v>4275</v>
      </c>
      <c r="E626" s="13">
        <v>4</v>
      </c>
      <c r="F626" s="13" t="s">
        <v>4276</v>
      </c>
      <c r="G626" s="13">
        <v>6</v>
      </c>
      <c r="H626" s="13">
        <v>0</v>
      </c>
      <c r="I626" s="13"/>
      <c r="J626" s="13" t="s">
        <v>4277</v>
      </c>
      <c r="K626" s="13" t="s">
        <v>4278</v>
      </c>
    </row>
    <row r="627" spans="1:11" x14ac:dyDescent="0.3">
      <c r="A627" s="13" t="s">
        <v>3989</v>
      </c>
      <c r="B627" s="13" t="s">
        <v>4179</v>
      </c>
      <c r="C627" s="13" t="s">
        <v>4266</v>
      </c>
      <c r="D627" s="13" t="s">
        <v>4279</v>
      </c>
      <c r="E627" s="13">
        <v>4</v>
      </c>
      <c r="F627" s="13" t="s">
        <v>4280</v>
      </c>
      <c r="G627" s="13">
        <v>7</v>
      </c>
      <c r="H627" s="13">
        <v>0</v>
      </c>
      <c r="I627" s="13"/>
      <c r="J627" s="13" t="s">
        <v>4281</v>
      </c>
      <c r="K627" s="13" t="s">
        <v>4282</v>
      </c>
    </row>
    <row r="628" spans="1:11" x14ac:dyDescent="0.3">
      <c r="A628" s="13" t="s">
        <v>3989</v>
      </c>
      <c r="B628" s="13" t="s">
        <v>4179</v>
      </c>
      <c r="C628" s="13" t="s">
        <v>4266</v>
      </c>
      <c r="D628" s="13" t="s">
        <v>4283</v>
      </c>
      <c r="E628" s="13">
        <v>4</v>
      </c>
      <c r="F628" s="13" t="s">
        <v>4284</v>
      </c>
      <c r="G628" s="13">
        <v>33</v>
      </c>
      <c r="H628" s="13">
        <v>0</v>
      </c>
      <c r="I628" s="13"/>
      <c r="J628" s="13" t="s">
        <v>4285</v>
      </c>
      <c r="K628" s="13" t="s">
        <v>4286</v>
      </c>
    </row>
    <row r="629" spans="1:11" x14ac:dyDescent="0.3">
      <c r="A629" s="13" t="s">
        <v>3989</v>
      </c>
      <c r="B629" s="13" t="s">
        <v>4179</v>
      </c>
      <c r="C629" s="13" t="s">
        <v>4266</v>
      </c>
      <c r="D629" s="13" t="s">
        <v>4287</v>
      </c>
      <c r="E629" s="13">
        <v>4</v>
      </c>
      <c r="F629" s="13" t="s">
        <v>4288</v>
      </c>
      <c r="G629" s="13">
        <v>1</v>
      </c>
      <c r="H629" s="13">
        <v>0</v>
      </c>
      <c r="I629" s="13"/>
      <c r="J629" s="13" t="s">
        <v>4289</v>
      </c>
      <c r="K629" s="13" t="s">
        <v>4290</v>
      </c>
    </row>
    <row r="630" spans="1:11" x14ac:dyDescent="0.3">
      <c r="A630" s="13" t="s">
        <v>3989</v>
      </c>
      <c r="B630" s="13" t="s">
        <v>4179</v>
      </c>
      <c r="C630" s="13" t="s">
        <v>4266</v>
      </c>
      <c r="D630" s="13" t="s">
        <v>4291</v>
      </c>
      <c r="E630" s="13">
        <v>4</v>
      </c>
      <c r="F630" s="13" t="s">
        <v>4292</v>
      </c>
      <c r="G630" s="13">
        <v>26</v>
      </c>
      <c r="H630" s="13">
        <v>0</v>
      </c>
      <c r="I630" s="13"/>
      <c r="J630" s="13" t="s">
        <v>4293</v>
      </c>
      <c r="K630" s="13" t="s">
        <v>4294</v>
      </c>
    </row>
    <row r="631" spans="1:11" x14ac:dyDescent="0.3">
      <c r="A631" s="13" t="s">
        <v>3989</v>
      </c>
      <c r="B631" s="13" t="s">
        <v>4179</v>
      </c>
      <c r="C631" s="13" t="s">
        <v>4266</v>
      </c>
      <c r="D631" s="13" t="s">
        <v>4295</v>
      </c>
      <c r="E631" s="13">
        <v>4</v>
      </c>
      <c r="F631" s="13" t="s">
        <v>4296</v>
      </c>
      <c r="G631" s="13">
        <v>3</v>
      </c>
      <c r="H631" s="13">
        <v>0</v>
      </c>
      <c r="I631" s="13"/>
      <c r="J631" s="13" t="s">
        <v>4297</v>
      </c>
      <c r="K631" s="13" t="s">
        <v>4298</v>
      </c>
    </row>
    <row r="632" spans="1:11" x14ac:dyDescent="0.3">
      <c r="A632" s="13" t="s">
        <v>3989</v>
      </c>
      <c r="B632" s="13" t="s">
        <v>4179</v>
      </c>
      <c r="C632" s="13" t="s">
        <v>4266</v>
      </c>
      <c r="D632" s="13" t="s">
        <v>4299</v>
      </c>
      <c r="E632" s="13">
        <v>4</v>
      </c>
      <c r="F632" s="13" t="s">
        <v>4300</v>
      </c>
      <c r="G632" s="13">
        <v>5</v>
      </c>
      <c r="H632" s="13">
        <v>0</v>
      </c>
      <c r="I632" s="13"/>
      <c r="J632" s="13" t="s">
        <v>4301</v>
      </c>
      <c r="K632" s="13" t="s">
        <v>4302</v>
      </c>
    </row>
    <row r="633" spans="1:11" x14ac:dyDescent="0.3">
      <c r="A633" s="13" t="s">
        <v>3989</v>
      </c>
      <c r="B633" s="13" t="s">
        <v>4179</v>
      </c>
      <c r="C633" s="13" t="s">
        <v>4266</v>
      </c>
      <c r="D633" s="13" t="s">
        <v>4303</v>
      </c>
      <c r="E633" s="13">
        <v>4</v>
      </c>
      <c r="F633" s="13" t="s">
        <v>4304</v>
      </c>
      <c r="G633" s="13">
        <v>4</v>
      </c>
      <c r="H633" s="13">
        <v>0</v>
      </c>
      <c r="I633" s="13"/>
      <c r="J633" s="13" t="s">
        <v>4305</v>
      </c>
      <c r="K633" s="13" t="s">
        <v>4306</v>
      </c>
    </row>
    <row r="634" spans="1:11" x14ac:dyDescent="0.3">
      <c r="A634" s="13" t="s">
        <v>3989</v>
      </c>
      <c r="B634" s="13" t="s">
        <v>4179</v>
      </c>
      <c r="C634" s="13" t="s">
        <v>4266</v>
      </c>
      <c r="D634" s="13" t="s">
        <v>4307</v>
      </c>
      <c r="E634" s="13">
        <v>4</v>
      </c>
      <c r="F634" s="13" t="s">
        <v>4308</v>
      </c>
      <c r="G634" s="13">
        <v>1</v>
      </c>
      <c r="H634" s="13">
        <v>0</v>
      </c>
      <c r="I634" s="13"/>
      <c r="J634" s="13" t="s">
        <v>4309</v>
      </c>
      <c r="K634" s="13" t="s">
        <v>4310</v>
      </c>
    </row>
    <row r="635" spans="1:11" x14ac:dyDescent="0.3">
      <c r="A635" s="13" t="s">
        <v>3989</v>
      </c>
      <c r="B635" s="13" t="s">
        <v>4179</v>
      </c>
      <c r="C635" s="13" t="s">
        <v>4266</v>
      </c>
      <c r="D635" s="13" t="s">
        <v>4311</v>
      </c>
      <c r="E635" s="13">
        <v>4</v>
      </c>
      <c r="F635" s="13" t="s">
        <v>4312</v>
      </c>
      <c r="G635" s="13">
        <v>2</v>
      </c>
      <c r="H635" s="13">
        <v>0</v>
      </c>
      <c r="I635" s="13"/>
      <c r="J635" s="13" t="s">
        <v>4313</v>
      </c>
      <c r="K635" s="13" t="s">
        <v>4314</v>
      </c>
    </row>
    <row r="636" spans="1:11" x14ac:dyDescent="0.3">
      <c r="A636" s="13" t="s">
        <v>3989</v>
      </c>
      <c r="B636" s="13" t="s">
        <v>4179</v>
      </c>
      <c r="C636" s="13" t="s">
        <v>4266</v>
      </c>
      <c r="D636" s="13" t="s">
        <v>4315</v>
      </c>
      <c r="E636" s="13">
        <v>4</v>
      </c>
      <c r="F636" s="13" t="s">
        <v>4316</v>
      </c>
      <c r="G636" s="13">
        <v>2</v>
      </c>
      <c r="H636" s="13">
        <v>0</v>
      </c>
      <c r="I636" s="13"/>
      <c r="J636" s="13" t="s">
        <v>4317</v>
      </c>
      <c r="K636" s="13" t="s">
        <v>4318</v>
      </c>
    </row>
    <row r="637" spans="1:11" x14ac:dyDescent="0.3">
      <c r="A637" s="13" t="s">
        <v>3989</v>
      </c>
      <c r="B637" s="13" t="s">
        <v>4179</v>
      </c>
      <c r="C637" s="13" t="s">
        <v>4266</v>
      </c>
      <c r="D637" s="13" t="s">
        <v>4319</v>
      </c>
      <c r="E637" s="13">
        <v>4</v>
      </c>
      <c r="F637" s="13" t="s">
        <v>4320</v>
      </c>
      <c r="G637" s="13">
        <v>25</v>
      </c>
      <c r="H637" s="13">
        <v>0</v>
      </c>
      <c r="I637" s="13"/>
      <c r="J637" s="13" t="s">
        <v>4321</v>
      </c>
      <c r="K637" s="13" t="s">
        <v>4322</v>
      </c>
    </row>
    <row r="638" spans="1:11" x14ac:dyDescent="0.3">
      <c r="A638" s="13" t="s">
        <v>3989</v>
      </c>
      <c r="B638" s="13" t="s">
        <v>4179</v>
      </c>
      <c r="C638" s="13" t="s">
        <v>4266</v>
      </c>
      <c r="D638" s="13" t="s">
        <v>4323</v>
      </c>
      <c r="E638" s="13">
        <v>4</v>
      </c>
      <c r="F638" s="13" t="s">
        <v>4324</v>
      </c>
      <c r="G638" s="13">
        <v>3</v>
      </c>
      <c r="H638" s="13">
        <v>0</v>
      </c>
      <c r="I638" s="13"/>
      <c r="J638" s="13" t="s">
        <v>4325</v>
      </c>
      <c r="K638" s="13" t="s">
        <v>4326</v>
      </c>
    </row>
    <row r="639" spans="1:11" x14ac:dyDescent="0.3">
      <c r="A639" s="13" t="s">
        <v>3989</v>
      </c>
      <c r="B639" s="13" t="s">
        <v>4179</v>
      </c>
      <c r="C639" s="13" t="s">
        <v>4266</v>
      </c>
      <c r="D639" s="13" t="s">
        <v>4327</v>
      </c>
      <c r="E639" s="13">
        <v>4</v>
      </c>
      <c r="F639" s="13" t="s">
        <v>4328</v>
      </c>
      <c r="G639" s="13">
        <v>9</v>
      </c>
      <c r="H639" s="13">
        <v>0</v>
      </c>
      <c r="I639" s="13"/>
      <c r="J639" s="13" t="s">
        <v>4329</v>
      </c>
      <c r="K639" s="13" t="s">
        <v>4330</v>
      </c>
    </row>
    <row r="640" spans="1:11" x14ac:dyDescent="0.3">
      <c r="A640" s="13" t="s">
        <v>3989</v>
      </c>
      <c r="B640" s="13" t="s">
        <v>4179</v>
      </c>
      <c r="C640" s="13" t="s">
        <v>4266</v>
      </c>
      <c r="D640" s="13" t="s">
        <v>4331</v>
      </c>
      <c r="E640" s="13">
        <v>4</v>
      </c>
      <c r="F640" s="13" t="s">
        <v>4332</v>
      </c>
      <c r="G640" s="13">
        <v>6</v>
      </c>
      <c r="H640" s="13">
        <v>0</v>
      </c>
      <c r="I640" s="13"/>
      <c r="J640" s="13" t="s">
        <v>4333</v>
      </c>
      <c r="K640" s="13" t="s">
        <v>4334</v>
      </c>
    </row>
    <row r="641" spans="1:11" x14ac:dyDescent="0.3">
      <c r="A641" s="13" t="s">
        <v>3989</v>
      </c>
      <c r="B641" s="13" t="s">
        <v>4179</v>
      </c>
      <c r="C641" s="13" t="s">
        <v>4335</v>
      </c>
      <c r="D641" s="13" t="s">
        <v>4336</v>
      </c>
      <c r="E641" s="13">
        <v>4</v>
      </c>
      <c r="F641" s="13" t="s">
        <v>4337</v>
      </c>
      <c r="G641" s="13">
        <v>2</v>
      </c>
      <c r="H641" s="13">
        <v>0</v>
      </c>
      <c r="I641" s="13"/>
      <c r="J641" s="13" t="s">
        <v>4338</v>
      </c>
      <c r="K641" s="13" t="s">
        <v>4339</v>
      </c>
    </row>
    <row r="642" spans="1:11" x14ac:dyDescent="0.3">
      <c r="A642" s="13" t="s">
        <v>3989</v>
      </c>
      <c r="B642" s="13" t="s">
        <v>4179</v>
      </c>
      <c r="C642" s="13" t="s">
        <v>4335</v>
      </c>
      <c r="D642" s="13" t="s">
        <v>4340</v>
      </c>
      <c r="E642" s="13">
        <v>4</v>
      </c>
      <c r="F642" s="13" t="s">
        <v>4341</v>
      </c>
      <c r="G642" s="13">
        <v>1</v>
      </c>
      <c r="H642" s="13">
        <v>0</v>
      </c>
      <c r="I642" s="13"/>
      <c r="J642" s="13" t="s">
        <v>4342</v>
      </c>
      <c r="K642" s="13" t="s">
        <v>4343</v>
      </c>
    </row>
    <row r="643" spans="1:11" x14ac:dyDescent="0.3">
      <c r="A643" s="13" t="s">
        <v>3989</v>
      </c>
      <c r="B643" s="13" t="s">
        <v>4179</v>
      </c>
      <c r="C643" s="13" t="s">
        <v>4344</v>
      </c>
      <c r="D643" s="13" t="s">
        <v>4345</v>
      </c>
      <c r="E643" s="13">
        <v>4</v>
      </c>
      <c r="F643" s="13" t="s">
        <v>4346</v>
      </c>
      <c r="G643" s="13">
        <v>81</v>
      </c>
      <c r="H643" s="13">
        <v>0</v>
      </c>
      <c r="I643" s="13"/>
      <c r="J643" s="13" t="s">
        <v>4347</v>
      </c>
      <c r="K643" s="13" t="s">
        <v>4348</v>
      </c>
    </row>
    <row r="644" spans="1:11" x14ac:dyDescent="0.3">
      <c r="A644" s="13" t="s">
        <v>3989</v>
      </c>
      <c r="B644" s="13" t="s">
        <v>4179</v>
      </c>
      <c r="C644" s="13" t="s">
        <v>4344</v>
      </c>
      <c r="D644" s="13" t="s">
        <v>4349</v>
      </c>
      <c r="E644" s="13">
        <v>4</v>
      </c>
      <c r="F644" s="13" t="s">
        <v>4350</v>
      </c>
      <c r="G644" s="13">
        <v>42</v>
      </c>
      <c r="H644" s="13">
        <v>0</v>
      </c>
      <c r="I644" s="13"/>
      <c r="J644" s="13" t="s">
        <v>4351</v>
      </c>
      <c r="K644" s="13" t="s">
        <v>4352</v>
      </c>
    </row>
    <row r="645" spans="1:11" x14ac:dyDescent="0.3">
      <c r="A645" s="13" t="s">
        <v>3989</v>
      </c>
      <c r="B645" s="13" t="s">
        <v>4179</v>
      </c>
      <c r="C645" s="13" t="s">
        <v>4344</v>
      </c>
      <c r="D645" s="13" t="s">
        <v>4353</v>
      </c>
      <c r="E645" s="13">
        <v>4</v>
      </c>
      <c r="F645" s="13" t="s">
        <v>4354</v>
      </c>
      <c r="G645" s="13">
        <v>5</v>
      </c>
      <c r="H645" s="13">
        <v>0</v>
      </c>
      <c r="I645" s="13"/>
      <c r="J645" s="13" t="s">
        <v>4355</v>
      </c>
      <c r="K645" s="13" t="s">
        <v>4356</v>
      </c>
    </row>
    <row r="646" spans="1:11" x14ac:dyDescent="0.3">
      <c r="A646" s="13" t="s">
        <v>3989</v>
      </c>
      <c r="B646" s="13" t="s">
        <v>4179</v>
      </c>
      <c r="C646" s="13" t="s">
        <v>4344</v>
      </c>
      <c r="D646" s="13" t="s">
        <v>4357</v>
      </c>
      <c r="E646" s="13">
        <v>4</v>
      </c>
      <c r="F646" s="13" t="s">
        <v>4358</v>
      </c>
      <c r="G646" s="13">
        <v>21</v>
      </c>
      <c r="H646" s="13">
        <v>0</v>
      </c>
      <c r="I646" s="13"/>
      <c r="J646" s="13" t="s">
        <v>4359</v>
      </c>
      <c r="K646" s="13" t="s">
        <v>4360</v>
      </c>
    </row>
    <row r="647" spans="1:11" x14ac:dyDescent="0.3">
      <c r="A647" s="13" t="s">
        <v>3989</v>
      </c>
      <c r="B647" s="13" t="s">
        <v>4179</v>
      </c>
      <c r="C647" s="13" t="s">
        <v>4361</v>
      </c>
      <c r="D647" s="13" t="s">
        <v>4362</v>
      </c>
      <c r="E647" s="13">
        <v>4</v>
      </c>
      <c r="F647" s="13" t="s">
        <v>4363</v>
      </c>
      <c r="G647" s="13">
        <v>25</v>
      </c>
      <c r="H647" s="13">
        <v>0</v>
      </c>
      <c r="I647" s="13"/>
      <c r="J647" s="13" t="s">
        <v>4364</v>
      </c>
      <c r="K647" s="13" t="s">
        <v>4365</v>
      </c>
    </row>
    <row r="648" spans="1:11" x14ac:dyDescent="0.3">
      <c r="A648" s="13" t="s">
        <v>3989</v>
      </c>
      <c r="B648" s="13" t="s">
        <v>4179</v>
      </c>
      <c r="C648" s="13" t="s">
        <v>4361</v>
      </c>
      <c r="D648" s="13" t="s">
        <v>4366</v>
      </c>
      <c r="E648" s="13">
        <v>4</v>
      </c>
      <c r="F648" s="13" t="s">
        <v>4367</v>
      </c>
      <c r="G648" s="13">
        <v>32</v>
      </c>
      <c r="H648" s="13">
        <v>0</v>
      </c>
      <c r="I648" s="13"/>
      <c r="J648" s="13" t="s">
        <v>4368</v>
      </c>
      <c r="K648" s="13" t="s">
        <v>4369</v>
      </c>
    </row>
    <row r="649" spans="1:11" x14ac:dyDescent="0.3">
      <c r="A649" s="13" t="s">
        <v>3989</v>
      </c>
      <c r="B649" s="13" t="s">
        <v>4179</v>
      </c>
      <c r="C649" s="13" t="s">
        <v>4361</v>
      </c>
      <c r="D649" s="13" t="s">
        <v>4370</v>
      </c>
      <c r="E649" s="13">
        <v>4</v>
      </c>
      <c r="F649" s="13" t="s">
        <v>4371</v>
      </c>
      <c r="G649" s="13">
        <v>5</v>
      </c>
      <c r="H649" s="13">
        <v>0</v>
      </c>
      <c r="I649" s="13"/>
      <c r="J649" s="13" t="s">
        <v>4372</v>
      </c>
      <c r="K649" s="13" t="s">
        <v>4373</v>
      </c>
    </row>
    <row r="650" spans="1:11" x14ac:dyDescent="0.3">
      <c r="A650" s="13" t="s">
        <v>3989</v>
      </c>
      <c r="B650" s="13" t="s">
        <v>4179</v>
      </c>
      <c r="C650" s="13" t="s">
        <v>4374</v>
      </c>
      <c r="D650" s="13" t="s">
        <v>4375</v>
      </c>
      <c r="E650" s="13">
        <v>4</v>
      </c>
      <c r="F650" s="13" t="s">
        <v>4376</v>
      </c>
      <c r="G650" s="13">
        <v>2</v>
      </c>
      <c r="H650" s="13">
        <v>0</v>
      </c>
      <c r="I650" s="13"/>
      <c r="J650" s="13" t="s">
        <v>4377</v>
      </c>
      <c r="K650" s="13" t="s">
        <v>4378</v>
      </c>
    </row>
    <row r="651" spans="1:11" x14ac:dyDescent="0.3">
      <c r="A651" s="13" t="s">
        <v>3989</v>
      </c>
      <c r="B651" s="13" t="s">
        <v>4179</v>
      </c>
      <c r="C651" s="13" t="s">
        <v>4374</v>
      </c>
      <c r="D651" s="13" t="s">
        <v>4379</v>
      </c>
      <c r="E651" s="13">
        <v>4</v>
      </c>
      <c r="F651" s="13" t="s">
        <v>4380</v>
      </c>
      <c r="G651" s="13">
        <v>1</v>
      </c>
      <c r="H651" s="13">
        <v>0</v>
      </c>
      <c r="I651" s="13"/>
      <c r="J651" s="13" t="s">
        <v>4381</v>
      </c>
      <c r="K651" s="13" t="s">
        <v>4382</v>
      </c>
    </row>
    <row r="652" spans="1:11" x14ac:dyDescent="0.3">
      <c r="A652" s="13" t="s">
        <v>3989</v>
      </c>
      <c r="B652" s="13" t="s">
        <v>4179</v>
      </c>
      <c r="C652" s="13" t="s">
        <v>4374</v>
      </c>
      <c r="D652" s="13" t="s">
        <v>4383</v>
      </c>
      <c r="E652" s="13">
        <v>4</v>
      </c>
      <c r="F652" s="13" t="s">
        <v>4384</v>
      </c>
      <c r="G652" s="13">
        <v>2</v>
      </c>
      <c r="H652" s="13">
        <v>0</v>
      </c>
      <c r="I652" s="13"/>
      <c r="J652" s="13" t="s">
        <v>4385</v>
      </c>
      <c r="K652" s="13" t="s">
        <v>4386</v>
      </c>
    </row>
    <row r="653" spans="1:11" x14ac:dyDescent="0.3">
      <c r="A653" s="13" t="s">
        <v>3989</v>
      </c>
      <c r="B653" s="13" t="s">
        <v>4179</v>
      </c>
      <c r="C653" s="13" t="s">
        <v>4387</v>
      </c>
      <c r="D653" s="13" t="s">
        <v>4388</v>
      </c>
      <c r="E653" s="13">
        <v>4</v>
      </c>
      <c r="F653" s="13" t="s">
        <v>4389</v>
      </c>
      <c r="G653" s="13">
        <v>3</v>
      </c>
      <c r="H653" s="13">
        <v>0</v>
      </c>
      <c r="I653" s="13"/>
      <c r="J653" s="13" t="s">
        <v>4390</v>
      </c>
      <c r="K653" s="13" t="s">
        <v>4391</v>
      </c>
    </row>
    <row r="654" spans="1:11" x14ac:dyDescent="0.3">
      <c r="A654" s="13" t="s">
        <v>3989</v>
      </c>
      <c r="B654" s="13" t="s">
        <v>4179</v>
      </c>
      <c r="C654" s="13" t="s">
        <v>4387</v>
      </c>
      <c r="D654" s="13" t="s">
        <v>4392</v>
      </c>
      <c r="E654" s="13">
        <v>4</v>
      </c>
      <c r="F654" s="13" t="s">
        <v>4393</v>
      </c>
      <c r="G654" s="13">
        <v>1</v>
      </c>
      <c r="H654" s="13">
        <v>0</v>
      </c>
      <c r="I654" s="13"/>
      <c r="J654" s="13" t="s">
        <v>4394</v>
      </c>
      <c r="K654" s="13" t="s">
        <v>4395</v>
      </c>
    </row>
    <row r="655" spans="1:11" x14ac:dyDescent="0.3">
      <c r="A655" s="13" t="s">
        <v>3989</v>
      </c>
      <c r="B655" s="13" t="s">
        <v>4396</v>
      </c>
      <c r="C655" s="13" t="s">
        <v>4397</v>
      </c>
      <c r="D655" s="13" t="s">
        <v>4398</v>
      </c>
      <c r="E655" s="13">
        <v>4</v>
      </c>
      <c r="F655" s="13" t="s">
        <v>4399</v>
      </c>
      <c r="G655" s="13">
        <v>34</v>
      </c>
      <c r="H655" s="13">
        <v>0</v>
      </c>
      <c r="I655" s="13"/>
      <c r="J655" s="13" t="s">
        <v>4400</v>
      </c>
      <c r="K655" s="13" t="s">
        <v>4401</v>
      </c>
    </row>
    <row r="656" spans="1:11" x14ac:dyDescent="0.3">
      <c r="A656" s="13" t="s">
        <v>3989</v>
      </c>
      <c r="B656" s="13" t="s">
        <v>4396</v>
      </c>
      <c r="C656" s="13" t="s">
        <v>4397</v>
      </c>
      <c r="D656" s="13" t="s">
        <v>4402</v>
      </c>
      <c r="E656" s="13">
        <v>4</v>
      </c>
      <c r="F656" s="13" t="s">
        <v>4403</v>
      </c>
      <c r="G656" s="13">
        <v>1</v>
      </c>
      <c r="H656" s="13">
        <v>0</v>
      </c>
      <c r="I656" s="13"/>
      <c r="J656" s="13" t="s">
        <v>4404</v>
      </c>
      <c r="K656" s="13" t="s">
        <v>4405</v>
      </c>
    </row>
    <row r="657" spans="1:11" x14ac:dyDescent="0.3">
      <c r="A657" s="13" t="s">
        <v>3989</v>
      </c>
      <c r="B657" s="13" t="s">
        <v>4396</v>
      </c>
      <c r="C657" s="13" t="s">
        <v>4397</v>
      </c>
      <c r="D657" s="13" t="s">
        <v>4406</v>
      </c>
      <c r="E657" s="13">
        <v>4</v>
      </c>
      <c r="F657" s="13" t="s">
        <v>4407</v>
      </c>
      <c r="G657" s="13">
        <v>3</v>
      </c>
      <c r="H657" s="13">
        <v>0</v>
      </c>
      <c r="I657" s="13"/>
      <c r="J657" s="13" t="s">
        <v>4408</v>
      </c>
      <c r="K657" s="13" t="s">
        <v>4409</v>
      </c>
    </row>
    <row r="658" spans="1:11" x14ac:dyDescent="0.3">
      <c r="A658" s="13" t="s">
        <v>3989</v>
      </c>
      <c r="B658" s="13" t="s">
        <v>4396</v>
      </c>
      <c r="C658" s="13" t="s">
        <v>4397</v>
      </c>
      <c r="D658" s="13" t="s">
        <v>4410</v>
      </c>
      <c r="E658" s="13">
        <v>4</v>
      </c>
      <c r="F658" s="13" t="s">
        <v>4411</v>
      </c>
      <c r="G658" s="13">
        <v>12</v>
      </c>
      <c r="H658" s="13">
        <v>0</v>
      </c>
      <c r="I658" s="13"/>
      <c r="J658" s="13" t="s">
        <v>4412</v>
      </c>
      <c r="K658" s="13" t="s">
        <v>4413</v>
      </c>
    </row>
    <row r="659" spans="1:11" x14ac:dyDescent="0.3">
      <c r="A659" s="13" t="s">
        <v>3989</v>
      </c>
      <c r="B659" s="13" t="s">
        <v>4396</v>
      </c>
      <c r="C659" s="13" t="s">
        <v>4397</v>
      </c>
      <c r="D659" s="13" t="s">
        <v>4414</v>
      </c>
      <c r="E659" s="13">
        <v>4</v>
      </c>
      <c r="F659" s="13" t="s">
        <v>4415</v>
      </c>
      <c r="G659" s="13">
        <v>1</v>
      </c>
      <c r="H659" s="13">
        <v>0</v>
      </c>
      <c r="I659" s="13"/>
      <c r="J659" s="13" t="s">
        <v>4416</v>
      </c>
      <c r="K659" s="13" t="s">
        <v>4417</v>
      </c>
    </row>
    <row r="660" spans="1:11" x14ac:dyDescent="0.3">
      <c r="A660" s="13" t="s">
        <v>3989</v>
      </c>
      <c r="B660" s="13" t="s">
        <v>4396</v>
      </c>
      <c r="C660" s="13" t="s">
        <v>4418</v>
      </c>
      <c r="D660" s="13" t="s">
        <v>4419</v>
      </c>
      <c r="E660" s="13">
        <v>4</v>
      </c>
      <c r="F660" s="13" t="s">
        <v>4420</v>
      </c>
      <c r="G660" s="13">
        <v>14</v>
      </c>
      <c r="H660" s="13">
        <v>0</v>
      </c>
      <c r="I660" s="13"/>
      <c r="J660" s="13" t="s">
        <v>4421</v>
      </c>
      <c r="K660" s="13" t="s">
        <v>4422</v>
      </c>
    </row>
    <row r="661" spans="1:11" x14ac:dyDescent="0.3">
      <c r="A661" s="13" t="s">
        <v>3989</v>
      </c>
      <c r="B661" s="13" t="s">
        <v>4396</v>
      </c>
      <c r="C661" s="13" t="s">
        <v>4418</v>
      </c>
      <c r="D661" s="13" t="s">
        <v>4423</v>
      </c>
      <c r="E661" s="13">
        <v>4</v>
      </c>
      <c r="F661" s="13" t="s">
        <v>4424</v>
      </c>
      <c r="G661" s="13">
        <v>4</v>
      </c>
      <c r="H661" s="13">
        <v>0</v>
      </c>
      <c r="I661" s="13"/>
      <c r="J661" s="13" t="s">
        <v>4425</v>
      </c>
      <c r="K661" s="13" t="s">
        <v>4426</v>
      </c>
    </row>
    <row r="662" spans="1:11" x14ac:dyDescent="0.3">
      <c r="A662" s="13" t="s">
        <v>3989</v>
      </c>
      <c r="B662" s="13" t="s">
        <v>4396</v>
      </c>
      <c r="C662" s="13" t="s">
        <v>4418</v>
      </c>
      <c r="D662" s="13" t="s">
        <v>4427</v>
      </c>
      <c r="E662" s="13">
        <v>4</v>
      </c>
      <c r="F662" s="13" t="s">
        <v>4428</v>
      </c>
      <c r="G662" s="13">
        <v>20</v>
      </c>
      <c r="H662" s="13">
        <v>0</v>
      </c>
      <c r="I662" s="13"/>
      <c r="J662" s="13" t="s">
        <v>4429</v>
      </c>
      <c r="K662" s="13" t="s">
        <v>4430</v>
      </c>
    </row>
    <row r="663" spans="1:11" x14ac:dyDescent="0.3">
      <c r="A663" s="13" t="s">
        <v>3989</v>
      </c>
      <c r="B663" s="13" t="s">
        <v>4396</v>
      </c>
      <c r="C663" s="13" t="s">
        <v>4431</v>
      </c>
      <c r="D663" s="13" t="s">
        <v>4432</v>
      </c>
      <c r="E663" s="13">
        <v>4</v>
      </c>
      <c r="F663" s="13" t="s">
        <v>4433</v>
      </c>
      <c r="G663" s="13">
        <v>11</v>
      </c>
      <c r="H663" s="13">
        <v>0</v>
      </c>
      <c r="I663" s="13"/>
      <c r="J663" s="13" t="s">
        <v>4434</v>
      </c>
      <c r="K663" s="13" t="s">
        <v>4435</v>
      </c>
    </row>
    <row r="664" spans="1:11" x14ac:dyDescent="0.3">
      <c r="A664" s="13" t="s">
        <v>3989</v>
      </c>
      <c r="B664" s="13" t="s">
        <v>4396</v>
      </c>
      <c r="C664" s="13" t="s">
        <v>4431</v>
      </c>
      <c r="D664" s="13" t="s">
        <v>4436</v>
      </c>
      <c r="E664" s="13">
        <v>4</v>
      </c>
      <c r="F664" s="13" t="s">
        <v>4437</v>
      </c>
      <c r="G664" s="13">
        <v>1</v>
      </c>
      <c r="H664" s="13">
        <v>0</v>
      </c>
      <c r="I664" s="13"/>
      <c r="J664" s="13" t="s">
        <v>4438</v>
      </c>
      <c r="K664" s="13" t="s">
        <v>4439</v>
      </c>
    </row>
    <row r="665" spans="1:11" x14ac:dyDescent="0.3">
      <c r="A665" s="13" t="s">
        <v>3989</v>
      </c>
      <c r="B665" s="13" t="s">
        <v>4396</v>
      </c>
      <c r="C665" s="13" t="s">
        <v>4440</v>
      </c>
      <c r="D665" s="13" t="s">
        <v>4441</v>
      </c>
      <c r="E665" s="13">
        <v>4</v>
      </c>
      <c r="F665" s="13" t="s">
        <v>4442</v>
      </c>
      <c r="G665" s="13">
        <v>22</v>
      </c>
      <c r="H665" s="13">
        <v>0</v>
      </c>
      <c r="I665" s="13"/>
      <c r="J665" s="13" t="s">
        <v>4443</v>
      </c>
      <c r="K665" s="13" t="s">
        <v>4444</v>
      </c>
    </row>
    <row r="666" spans="1:11" x14ac:dyDescent="0.3">
      <c r="A666" s="13" t="s">
        <v>3989</v>
      </c>
      <c r="B666" s="13" t="s">
        <v>4396</v>
      </c>
      <c r="C666" s="13" t="s">
        <v>4440</v>
      </c>
      <c r="D666" s="13" t="s">
        <v>4445</v>
      </c>
      <c r="E666" s="13">
        <v>4</v>
      </c>
      <c r="F666" s="13" t="s">
        <v>4446</v>
      </c>
      <c r="G666" s="13">
        <v>17</v>
      </c>
      <c r="H666" s="13">
        <v>0</v>
      </c>
      <c r="I666" s="13"/>
      <c r="J666" s="13" t="s">
        <v>4447</v>
      </c>
      <c r="K666" s="13" t="s">
        <v>4448</v>
      </c>
    </row>
    <row r="667" spans="1:11" x14ac:dyDescent="0.3">
      <c r="A667" s="13" t="s">
        <v>3989</v>
      </c>
      <c r="B667" s="13" t="s">
        <v>4396</v>
      </c>
      <c r="C667" s="13" t="s">
        <v>4449</v>
      </c>
      <c r="D667" s="13" t="s">
        <v>4450</v>
      </c>
      <c r="E667" s="13">
        <v>4</v>
      </c>
      <c r="F667" s="13" t="s">
        <v>4451</v>
      </c>
      <c r="G667" s="13">
        <v>23</v>
      </c>
      <c r="H667" s="13">
        <v>0</v>
      </c>
      <c r="I667" s="13"/>
      <c r="J667" s="13" t="s">
        <v>4452</v>
      </c>
      <c r="K667" s="13" t="s">
        <v>4453</v>
      </c>
    </row>
    <row r="668" spans="1:11" x14ac:dyDescent="0.3">
      <c r="A668" s="13" t="s">
        <v>3989</v>
      </c>
      <c r="B668" s="13" t="s">
        <v>4396</v>
      </c>
      <c r="C668" s="13" t="s">
        <v>4449</v>
      </c>
      <c r="D668" s="13" t="s">
        <v>4454</v>
      </c>
      <c r="E668" s="13">
        <v>4</v>
      </c>
      <c r="F668" s="13" t="s">
        <v>4455</v>
      </c>
      <c r="G668" s="13">
        <v>3</v>
      </c>
      <c r="H668" s="13">
        <v>0</v>
      </c>
      <c r="I668" s="13"/>
      <c r="J668" s="13" t="s">
        <v>4456</v>
      </c>
      <c r="K668" s="13" t="s">
        <v>4457</v>
      </c>
    </row>
    <row r="669" spans="1:11" x14ac:dyDescent="0.3">
      <c r="A669" s="13" t="s">
        <v>3989</v>
      </c>
      <c r="B669" s="13" t="s">
        <v>4396</v>
      </c>
      <c r="C669" s="13" t="s">
        <v>4449</v>
      </c>
      <c r="D669" s="13" t="s">
        <v>4458</v>
      </c>
      <c r="E669" s="13">
        <v>4</v>
      </c>
      <c r="F669" s="13" t="s">
        <v>4459</v>
      </c>
      <c r="G669" s="13">
        <v>18</v>
      </c>
      <c r="H669" s="13">
        <v>0</v>
      </c>
      <c r="I669" s="13"/>
      <c r="J669" s="13" t="s">
        <v>4460</v>
      </c>
      <c r="K669" s="13" t="s">
        <v>4461</v>
      </c>
    </row>
    <row r="670" spans="1:11" x14ac:dyDescent="0.3">
      <c r="A670" s="13" t="s">
        <v>3989</v>
      </c>
      <c r="B670" s="13" t="s">
        <v>4396</v>
      </c>
      <c r="C670" s="13" t="s">
        <v>4449</v>
      </c>
      <c r="D670" s="13" t="s">
        <v>4462</v>
      </c>
      <c r="E670" s="13">
        <v>4</v>
      </c>
      <c r="F670" s="13" t="s">
        <v>4463</v>
      </c>
      <c r="G670" s="13">
        <v>13</v>
      </c>
      <c r="H670" s="13">
        <v>0</v>
      </c>
      <c r="I670" s="13"/>
      <c r="J670" s="13" t="s">
        <v>4464</v>
      </c>
      <c r="K670" s="13" t="s">
        <v>4465</v>
      </c>
    </row>
    <row r="671" spans="1:11" x14ac:dyDescent="0.3">
      <c r="A671" s="13" t="s">
        <v>3989</v>
      </c>
      <c r="B671" s="13" t="s">
        <v>4396</v>
      </c>
      <c r="C671" s="13" t="s">
        <v>4449</v>
      </c>
      <c r="D671" s="13" t="s">
        <v>4466</v>
      </c>
      <c r="E671" s="13">
        <v>4</v>
      </c>
      <c r="F671" s="13" t="s">
        <v>4467</v>
      </c>
      <c r="G671" s="13">
        <v>6</v>
      </c>
      <c r="H671" s="13">
        <v>0</v>
      </c>
      <c r="I671" s="13"/>
      <c r="J671" s="13" t="s">
        <v>4468</v>
      </c>
      <c r="K671" s="13" t="s">
        <v>4469</v>
      </c>
    </row>
    <row r="672" spans="1:11" x14ac:dyDescent="0.3">
      <c r="A672" s="13" t="s">
        <v>3989</v>
      </c>
      <c r="B672" s="13" t="s">
        <v>4396</v>
      </c>
      <c r="C672" s="13" t="s">
        <v>4449</v>
      </c>
      <c r="D672" s="13" t="s">
        <v>4470</v>
      </c>
      <c r="E672" s="13">
        <v>4</v>
      </c>
      <c r="F672" s="13" t="s">
        <v>4471</v>
      </c>
      <c r="G672" s="13">
        <v>1</v>
      </c>
      <c r="H672" s="13">
        <v>0</v>
      </c>
      <c r="I672" s="13"/>
      <c r="J672" s="13" t="s">
        <v>4472</v>
      </c>
      <c r="K672" s="13" t="s">
        <v>4473</v>
      </c>
    </row>
    <row r="673" spans="1:11" x14ac:dyDescent="0.3">
      <c r="A673" s="13" t="s">
        <v>3989</v>
      </c>
      <c r="B673" s="13" t="s">
        <v>4396</v>
      </c>
      <c r="C673" s="13" t="s">
        <v>4449</v>
      </c>
      <c r="D673" s="13" t="s">
        <v>4474</v>
      </c>
      <c r="E673" s="13">
        <v>4</v>
      </c>
      <c r="F673" s="13" t="s">
        <v>4475</v>
      </c>
      <c r="G673" s="13">
        <v>9</v>
      </c>
      <c r="H673" s="13">
        <v>0</v>
      </c>
      <c r="I673" s="13"/>
      <c r="J673" s="13" t="s">
        <v>4476</v>
      </c>
      <c r="K673" s="13" t="s">
        <v>4477</v>
      </c>
    </row>
    <row r="674" spans="1:11" x14ac:dyDescent="0.3">
      <c r="A674" s="13" t="s">
        <v>3989</v>
      </c>
      <c r="B674" s="13" t="s">
        <v>4396</v>
      </c>
      <c r="C674" s="13" t="s">
        <v>4449</v>
      </c>
      <c r="D674" s="13" t="s">
        <v>4478</v>
      </c>
      <c r="E674" s="13">
        <v>4</v>
      </c>
      <c r="F674" s="13" t="s">
        <v>4479</v>
      </c>
      <c r="G674" s="13">
        <v>34</v>
      </c>
      <c r="H674" s="13">
        <v>0</v>
      </c>
      <c r="I674" s="13"/>
      <c r="J674" s="13" t="s">
        <v>4480</v>
      </c>
      <c r="K674" s="13" t="s">
        <v>4481</v>
      </c>
    </row>
    <row r="675" spans="1:11" x14ac:dyDescent="0.3">
      <c r="A675" s="13" t="s">
        <v>3989</v>
      </c>
      <c r="B675" s="13" t="s">
        <v>4396</v>
      </c>
      <c r="C675" s="13" t="s">
        <v>4449</v>
      </c>
      <c r="D675" s="13" t="s">
        <v>4482</v>
      </c>
      <c r="E675" s="13">
        <v>4</v>
      </c>
      <c r="F675" s="13" t="s">
        <v>4483</v>
      </c>
      <c r="G675" s="13">
        <v>16</v>
      </c>
      <c r="H675" s="13">
        <v>0</v>
      </c>
      <c r="I675" s="13"/>
      <c r="J675" s="13" t="s">
        <v>4484</v>
      </c>
      <c r="K675" s="13" t="s">
        <v>4485</v>
      </c>
    </row>
    <row r="676" spans="1:11" x14ac:dyDescent="0.3">
      <c r="A676" s="13" t="s">
        <v>3989</v>
      </c>
      <c r="B676" s="13" t="s">
        <v>4396</v>
      </c>
      <c r="C676" s="13" t="s">
        <v>4449</v>
      </c>
      <c r="D676" s="13" t="s">
        <v>4486</v>
      </c>
      <c r="E676" s="13">
        <v>4</v>
      </c>
      <c r="F676" s="13" t="s">
        <v>4487</v>
      </c>
      <c r="G676" s="13">
        <v>9</v>
      </c>
      <c r="H676" s="13">
        <v>0</v>
      </c>
      <c r="I676" s="13"/>
      <c r="J676" s="13" t="s">
        <v>4488</v>
      </c>
      <c r="K676" s="13" t="s">
        <v>4489</v>
      </c>
    </row>
    <row r="677" spans="1:11" x14ac:dyDescent="0.3">
      <c r="A677" s="13" t="s">
        <v>3989</v>
      </c>
      <c r="B677" s="13" t="s">
        <v>4490</v>
      </c>
      <c r="C677" s="13" t="s">
        <v>4491</v>
      </c>
      <c r="D677" s="13" t="s">
        <v>4492</v>
      </c>
      <c r="E677" s="13">
        <v>4</v>
      </c>
      <c r="F677" s="13" t="s">
        <v>4493</v>
      </c>
      <c r="G677" s="13">
        <v>2</v>
      </c>
      <c r="H677" s="13">
        <v>0</v>
      </c>
      <c r="I677" s="13"/>
      <c r="J677" s="13" t="s">
        <v>4494</v>
      </c>
      <c r="K677" s="13" t="s">
        <v>4495</v>
      </c>
    </row>
    <row r="678" spans="1:11" x14ac:dyDescent="0.3">
      <c r="A678" s="13" t="s">
        <v>3989</v>
      </c>
      <c r="B678" s="13" t="s">
        <v>4490</v>
      </c>
      <c r="C678" s="13" t="s">
        <v>4491</v>
      </c>
      <c r="D678" s="13" t="s">
        <v>4496</v>
      </c>
      <c r="E678" s="13">
        <v>4</v>
      </c>
      <c r="F678" s="13" t="s">
        <v>4497</v>
      </c>
      <c r="G678" s="13">
        <v>2</v>
      </c>
      <c r="H678" s="13">
        <v>0</v>
      </c>
      <c r="I678" s="13"/>
      <c r="J678" s="13" t="s">
        <v>4498</v>
      </c>
      <c r="K678" s="13" t="s">
        <v>4499</v>
      </c>
    </row>
    <row r="679" spans="1:11" x14ac:dyDescent="0.3">
      <c r="A679" s="13" t="s">
        <v>3989</v>
      </c>
      <c r="B679" s="13" t="s">
        <v>4490</v>
      </c>
      <c r="C679" s="13" t="s">
        <v>4491</v>
      </c>
      <c r="D679" s="13" t="s">
        <v>4500</v>
      </c>
      <c r="E679" s="13">
        <v>4</v>
      </c>
      <c r="F679" s="13" t="s">
        <v>4501</v>
      </c>
      <c r="G679" s="13">
        <v>14</v>
      </c>
      <c r="H679" s="13">
        <v>0</v>
      </c>
      <c r="I679" s="13"/>
      <c r="J679" s="13" t="s">
        <v>4502</v>
      </c>
      <c r="K679" s="13" t="s">
        <v>4503</v>
      </c>
    </row>
    <row r="680" spans="1:11" x14ac:dyDescent="0.3">
      <c r="A680" s="13" t="s">
        <v>3989</v>
      </c>
      <c r="B680" s="13" t="s">
        <v>4490</v>
      </c>
      <c r="C680" s="13" t="s">
        <v>4491</v>
      </c>
      <c r="D680" s="13" t="s">
        <v>4504</v>
      </c>
      <c r="E680" s="13">
        <v>4</v>
      </c>
      <c r="F680" s="13" t="s">
        <v>4505</v>
      </c>
      <c r="G680" s="13">
        <v>13</v>
      </c>
      <c r="H680" s="13">
        <v>0</v>
      </c>
      <c r="I680" s="13"/>
      <c r="J680" s="13" t="s">
        <v>4506</v>
      </c>
      <c r="K680" s="13" t="s">
        <v>4507</v>
      </c>
    </row>
    <row r="681" spans="1:11" x14ac:dyDescent="0.3">
      <c r="A681" s="13" t="s">
        <v>3989</v>
      </c>
      <c r="B681" s="13" t="s">
        <v>4508</v>
      </c>
      <c r="C681" s="13" t="s">
        <v>4509</v>
      </c>
      <c r="D681" s="13"/>
      <c r="E681" s="13">
        <v>3</v>
      </c>
      <c r="F681" s="13" t="s">
        <v>4510</v>
      </c>
      <c r="G681" s="13">
        <v>21</v>
      </c>
      <c r="H681" s="13">
        <v>0</v>
      </c>
      <c r="I681" s="13"/>
      <c r="J681" s="13" t="s">
        <v>4511</v>
      </c>
      <c r="K681" s="13" t="s">
        <v>4512</v>
      </c>
    </row>
    <row r="682" spans="1:11" x14ac:dyDescent="0.3">
      <c r="A682" s="13" t="s">
        <v>3989</v>
      </c>
      <c r="B682" s="13" t="s">
        <v>4508</v>
      </c>
      <c r="C682" s="13" t="s">
        <v>4513</v>
      </c>
      <c r="D682" s="13"/>
      <c r="E682" s="13">
        <v>3</v>
      </c>
      <c r="F682" s="13" t="s">
        <v>4514</v>
      </c>
      <c r="G682" s="13">
        <v>17</v>
      </c>
      <c r="H682" s="13">
        <v>0</v>
      </c>
      <c r="I682" s="13"/>
      <c r="J682" s="13" t="s">
        <v>4515</v>
      </c>
      <c r="K682" s="13" t="s">
        <v>4516</v>
      </c>
    </row>
    <row r="683" spans="1:11" x14ac:dyDescent="0.3">
      <c r="A683" s="13" t="s">
        <v>3989</v>
      </c>
      <c r="B683" s="13" t="s">
        <v>4508</v>
      </c>
      <c r="C683" s="13" t="s">
        <v>4517</v>
      </c>
      <c r="D683" s="13"/>
      <c r="E683" s="13">
        <v>3</v>
      </c>
      <c r="F683" s="13" t="s">
        <v>4518</v>
      </c>
      <c r="G683" s="13">
        <v>6</v>
      </c>
      <c r="H683" s="13">
        <v>0</v>
      </c>
      <c r="I683" s="13"/>
      <c r="J683" s="13" t="s">
        <v>4519</v>
      </c>
      <c r="K683" s="13" t="s">
        <v>4520</v>
      </c>
    </row>
    <row r="684" spans="1:11" x14ac:dyDescent="0.3">
      <c r="A684" s="13" t="s">
        <v>3989</v>
      </c>
      <c r="B684" s="13" t="s">
        <v>4521</v>
      </c>
      <c r="C684" s="13" t="s">
        <v>4522</v>
      </c>
      <c r="D684" s="13" t="s">
        <v>4523</v>
      </c>
      <c r="E684" s="13">
        <v>4</v>
      </c>
      <c r="F684" s="13" t="s">
        <v>4524</v>
      </c>
      <c r="G684" s="13">
        <v>1</v>
      </c>
      <c r="H684" s="13">
        <v>0</v>
      </c>
      <c r="I684" s="13"/>
      <c r="J684" s="13" t="s">
        <v>4525</v>
      </c>
      <c r="K684" s="13" t="s">
        <v>4526</v>
      </c>
    </row>
    <row r="685" spans="1:11" x14ac:dyDescent="0.3">
      <c r="A685" s="13" t="s">
        <v>3989</v>
      </c>
      <c r="B685" s="13" t="s">
        <v>4521</v>
      </c>
      <c r="C685" s="13" t="s">
        <v>4527</v>
      </c>
      <c r="D685" s="13" t="s">
        <v>4528</v>
      </c>
      <c r="E685" s="13">
        <v>4</v>
      </c>
      <c r="F685" s="13" t="s">
        <v>4529</v>
      </c>
      <c r="G685" s="13">
        <v>5</v>
      </c>
      <c r="H685" s="13">
        <v>0</v>
      </c>
      <c r="I685" s="13"/>
      <c r="J685" s="13" t="s">
        <v>4530</v>
      </c>
      <c r="K685" s="13" t="s">
        <v>4531</v>
      </c>
    </row>
    <row r="686" spans="1:11" x14ac:dyDescent="0.3">
      <c r="A686" s="13" t="s">
        <v>3989</v>
      </c>
      <c r="B686" s="13" t="s">
        <v>4532</v>
      </c>
      <c r="C686" s="13" t="s">
        <v>4533</v>
      </c>
      <c r="D686" s="13" t="s">
        <v>4534</v>
      </c>
      <c r="E686" s="13">
        <v>4</v>
      </c>
      <c r="F686" s="13" t="s">
        <v>4535</v>
      </c>
      <c r="G686" s="13">
        <v>4</v>
      </c>
      <c r="H686" s="13">
        <v>0</v>
      </c>
      <c r="I686" s="13"/>
      <c r="J686" s="13" t="s">
        <v>4536</v>
      </c>
      <c r="K686" s="13" t="s">
        <v>4537</v>
      </c>
    </row>
    <row r="687" spans="1:11" x14ac:dyDescent="0.3">
      <c r="A687" s="13" t="s">
        <v>3989</v>
      </c>
      <c r="B687" s="13" t="s">
        <v>4532</v>
      </c>
      <c r="C687" s="13" t="s">
        <v>4533</v>
      </c>
      <c r="D687" s="13" t="s">
        <v>4538</v>
      </c>
      <c r="E687" s="13">
        <v>4</v>
      </c>
      <c r="F687" s="13" t="s">
        <v>4539</v>
      </c>
      <c r="G687" s="13">
        <v>13</v>
      </c>
      <c r="H687" s="13">
        <v>0</v>
      </c>
      <c r="I687" s="13"/>
      <c r="J687" s="13" t="s">
        <v>4540</v>
      </c>
      <c r="K687" s="13" t="s">
        <v>4541</v>
      </c>
    </row>
    <row r="688" spans="1:11" x14ac:dyDescent="0.3">
      <c r="A688" s="13" t="s">
        <v>3989</v>
      </c>
      <c r="B688" s="13" t="s">
        <v>4532</v>
      </c>
      <c r="C688" s="13" t="s">
        <v>4533</v>
      </c>
      <c r="D688" s="13" t="s">
        <v>4542</v>
      </c>
      <c r="E688" s="13">
        <v>4</v>
      </c>
      <c r="F688" s="13" t="s">
        <v>4543</v>
      </c>
      <c r="G688" s="13">
        <v>17</v>
      </c>
      <c r="H688" s="13">
        <v>0</v>
      </c>
      <c r="I688" s="13"/>
      <c r="J688" s="13" t="s">
        <v>4544</v>
      </c>
      <c r="K688" s="13" t="s">
        <v>4545</v>
      </c>
    </row>
    <row r="689" spans="1:11" x14ac:dyDescent="0.3">
      <c r="A689" s="13" t="s">
        <v>3989</v>
      </c>
      <c r="B689" s="13" t="s">
        <v>4532</v>
      </c>
      <c r="C689" s="13" t="s">
        <v>4533</v>
      </c>
      <c r="D689" s="13" t="s">
        <v>4546</v>
      </c>
      <c r="E689" s="13">
        <v>4</v>
      </c>
      <c r="F689" s="13" t="s">
        <v>4547</v>
      </c>
      <c r="G689" s="13">
        <v>11</v>
      </c>
      <c r="H689" s="13">
        <v>0</v>
      </c>
      <c r="I689" s="13"/>
      <c r="J689" s="13" t="s">
        <v>4548</v>
      </c>
      <c r="K689" s="13" t="s">
        <v>4549</v>
      </c>
    </row>
    <row r="690" spans="1:11" x14ac:dyDescent="0.3">
      <c r="A690" s="13" t="s">
        <v>3989</v>
      </c>
      <c r="B690" s="13" t="s">
        <v>4532</v>
      </c>
      <c r="C690" s="13" t="s">
        <v>4533</v>
      </c>
      <c r="D690" s="13" t="s">
        <v>4550</v>
      </c>
      <c r="E690" s="13">
        <v>4</v>
      </c>
      <c r="F690" s="13" t="s">
        <v>4551</v>
      </c>
      <c r="G690" s="13">
        <v>1</v>
      </c>
      <c r="H690" s="13">
        <v>0</v>
      </c>
      <c r="I690" s="13"/>
      <c r="J690" s="13" t="s">
        <v>4552</v>
      </c>
      <c r="K690" s="13" t="s">
        <v>4553</v>
      </c>
    </row>
    <row r="691" spans="1:11" x14ac:dyDescent="0.3">
      <c r="A691" s="13" t="s">
        <v>3989</v>
      </c>
      <c r="B691" s="13" t="s">
        <v>4532</v>
      </c>
      <c r="C691" s="13" t="s">
        <v>4533</v>
      </c>
      <c r="D691" s="13" t="s">
        <v>4554</v>
      </c>
      <c r="E691" s="13">
        <v>4</v>
      </c>
      <c r="F691" s="13" t="s">
        <v>4555</v>
      </c>
      <c r="G691" s="13">
        <v>15</v>
      </c>
      <c r="H691" s="13">
        <v>0</v>
      </c>
      <c r="I691" s="13"/>
      <c r="J691" s="13" t="s">
        <v>4556</v>
      </c>
      <c r="K691" s="13" t="s">
        <v>4557</v>
      </c>
    </row>
    <row r="692" spans="1:11" x14ac:dyDescent="0.3">
      <c r="A692" s="13" t="s">
        <v>3989</v>
      </c>
      <c r="B692" s="13" t="s">
        <v>4532</v>
      </c>
      <c r="C692" s="13" t="s">
        <v>4533</v>
      </c>
      <c r="D692" s="13" t="s">
        <v>4558</v>
      </c>
      <c r="E692" s="13">
        <v>4</v>
      </c>
      <c r="F692" s="13" t="s">
        <v>4559</v>
      </c>
      <c r="G692" s="13">
        <v>4</v>
      </c>
      <c r="H692" s="13">
        <v>0</v>
      </c>
      <c r="I692" s="13"/>
      <c r="J692" s="13" t="s">
        <v>4560</v>
      </c>
      <c r="K692" s="13" t="s">
        <v>4561</v>
      </c>
    </row>
    <row r="693" spans="1:11" x14ac:dyDescent="0.3">
      <c r="A693" s="13" t="s">
        <v>3989</v>
      </c>
      <c r="B693" s="13" t="s">
        <v>4532</v>
      </c>
      <c r="C693" s="13" t="s">
        <v>4533</v>
      </c>
      <c r="D693" s="13" t="s">
        <v>4562</v>
      </c>
      <c r="E693" s="13">
        <v>4</v>
      </c>
      <c r="F693" s="13" t="s">
        <v>4563</v>
      </c>
      <c r="G693" s="13">
        <v>4</v>
      </c>
      <c r="H693" s="13">
        <v>0</v>
      </c>
      <c r="I693" s="13"/>
      <c r="J693" s="13" t="s">
        <v>4564</v>
      </c>
      <c r="K693" s="13" t="s">
        <v>4565</v>
      </c>
    </row>
    <row r="694" spans="1:11" x14ac:dyDescent="0.3">
      <c r="A694" s="13" t="s">
        <v>3989</v>
      </c>
      <c r="B694" s="13" t="s">
        <v>4532</v>
      </c>
      <c r="C694" s="13" t="s">
        <v>4533</v>
      </c>
      <c r="D694" s="13" t="s">
        <v>4566</v>
      </c>
      <c r="E694" s="13">
        <v>4</v>
      </c>
      <c r="F694" s="13" t="s">
        <v>4567</v>
      </c>
      <c r="G694" s="13">
        <v>1</v>
      </c>
      <c r="H694" s="13">
        <v>0</v>
      </c>
      <c r="I694" s="13"/>
      <c r="J694" s="13" t="s">
        <v>4568</v>
      </c>
      <c r="K694" s="13" t="s">
        <v>4569</v>
      </c>
    </row>
    <row r="695" spans="1:11" x14ac:dyDescent="0.3">
      <c r="A695" s="13" t="s">
        <v>3989</v>
      </c>
      <c r="B695" s="13" t="s">
        <v>4532</v>
      </c>
      <c r="C695" s="13" t="s">
        <v>4570</v>
      </c>
      <c r="D695" s="13" t="s">
        <v>4571</v>
      </c>
      <c r="E695" s="13">
        <v>4</v>
      </c>
      <c r="F695" s="13" t="s">
        <v>4572</v>
      </c>
      <c r="G695" s="13">
        <v>8</v>
      </c>
      <c r="H695" s="13">
        <v>0</v>
      </c>
      <c r="I695" s="13"/>
      <c r="J695" s="13" t="s">
        <v>4573</v>
      </c>
      <c r="K695" s="13" t="s">
        <v>4574</v>
      </c>
    </row>
    <row r="696" spans="1:11" x14ac:dyDescent="0.3">
      <c r="A696" s="13" t="s">
        <v>3989</v>
      </c>
      <c r="B696" s="13" t="s">
        <v>4532</v>
      </c>
      <c r="C696" s="13" t="s">
        <v>4570</v>
      </c>
      <c r="D696" s="13" t="s">
        <v>4575</v>
      </c>
      <c r="E696" s="13">
        <v>4</v>
      </c>
      <c r="F696" s="13" t="s">
        <v>4576</v>
      </c>
      <c r="G696" s="13">
        <v>6</v>
      </c>
      <c r="H696" s="13">
        <v>0</v>
      </c>
      <c r="I696" s="13"/>
      <c r="J696" s="13" t="s">
        <v>4577</v>
      </c>
      <c r="K696" s="13" t="s">
        <v>4578</v>
      </c>
    </row>
    <row r="697" spans="1:11" x14ac:dyDescent="0.3">
      <c r="A697" s="13" t="s">
        <v>3989</v>
      </c>
      <c r="B697" s="13" t="s">
        <v>4532</v>
      </c>
      <c r="C697" s="13" t="s">
        <v>4570</v>
      </c>
      <c r="D697" s="13" t="s">
        <v>4579</v>
      </c>
      <c r="E697" s="13">
        <v>4</v>
      </c>
      <c r="F697" s="13" t="s">
        <v>4580</v>
      </c>
      <c r="G697" s="13">
        <v>10</v>
      </c>
      <c r="H697" s="13">
        <v>0</v>
      </c>
      <c r="I697" s="13"/>
      <c r="J697" s="13" t="s">
        <v>4581</v>
      </c>
      <c r="K697" s="13" t="s">
        <v>4582</v>
      </c>
    </row>
    <row r="698" spans="1:11" x14ac:dyDescent="0.3">
      <c r="A698" s="13" t="s">
        <v>3989</v>
      </c>
      <c r="B698" s="13" t="s">
        <v>4532</v>
      </c>
      <c r="C698" s="13" t="s">
        <v>4570</v>
      </c>
      <c r="D698" s="13" t="s">
        <v>4583</v>
      </c>
      <c r="E698" s="13">
        <v>4</v>
      </c>
      <c r="F698" s="13" t="s">
        <v>4584</v>
      </c>
      <c r="G698" s="13">
        <v>13</v>
      </c>
      <c r="H698" s="13">
        <v>0</v>
      </c>
      <c r="I698" s="13"/>
      <c r="J698" s="13" t="s">
        <v>4585</v>
      </c>
      <c r="K698" s="13" t="s">
        <v>4586</v>
      </c>
    </row>
    <row r="699" spans="1:11" x14ac:dyDescent="0.3">
      <c r="A699" s="13" t="s">
        <v>3989</v>
      </c>
      <c r="B699" s="13" t="s">
        <v>4532</v>
      </c>
      <c r="C699" s="13" t="s">
        <v>4570</v>
      </c>
      <c r="D699" s="13" t="s">
        <v>4587</v>
      </c>
      <c r="E699" s="13">
        <v>4</v>
      </c>
      <c r="F699" s="13" t="s">
        <v>4588</v>
      </c>
      <c r="G699" s="13">
        <v>18</v>
      </c>
      <c r="H699" s="13">
        <v>0</v>
      </c>
      <c r="I699" s="13"/>
      <c r="J699" s="13" t="s">
        <v>4589</v>
      </c>
      <c r="K699" s="13" t="s">
        <v>4590</v>
      </c>
    </row>
    <row r="700" spans="1:11" x14ac:dyDescent="0.3">
      <c r="A700" s="13" t="s">
        <v>3989</v>
      </c>
      <c r="B700" s="13" t="s">
        <v>4532</v>
      </c>
      <c r="C700" s="13" t="s">
        <v>4570</v>
      </c>
      <c r="D700" s="13" t="s">
        <v>4591</v>
      </c>
      <c r="E700" s="13">
        <v>4</v>
      </c>
      <c r="F700" s="13" t="s">
        <v>4592</v>
      </c>
      <c r="G700" s="13">
        <v>3</v>
      </c>
      <c r="H700" s="13">
        <v>0</v>
      </c>
      <c r="I700" s="13"/>
      <c r="J700" s="13" t="s">
        <v>4593</v>
      </c>
      <c r="K700" s="13" t="s">
        <v>4594</v>
      </c>
    </row>
    <row r="701" spans="1:11" x14ac:dyDescent="0.3">
      <c r="A701" s="13" t="s">
        <v>3989</v>
      </c>
      <c r="B701" s="13" t="s">
        <v>4532</v>
      </c>
      <c r="C701" s="13" t="s">
        <v>4570</v>
      </c>
      <c r="D701" s="13" t="s">
        <v>4595</v>
      </c>
      <c r="E701" s="13">
        <v>4</v>
      </c>
      <c r="F701" s="13" t="s">
        <v>4596</v>
      </c>
      <c r="G701" s="13">
        <v>4</v>
      </c>
      <c r="H701" s="13">
        <v>0</v>
      </c>
      <c r="I701" s="13"/>
      <c r="J701" s="13" t="s">
        <v>4597</v>
      </c>
      <c r="K701" s="13" t="s">
        <v>4598</v>
      </c>
    </row>
    <row r="702" spans="1:11" x14ac:dyDescent="0.3">
      <c r="A702" s="13" t="s">
        <v>3989</v>
      </c>
      <c r="B702" s="13" t="s">
        <v>4532</v>
      </c>
      <c r="C702" s="13" t="s">
        <v>4599</v>
      </c>
      <c r="D702" s="13" t="s">
        <v>4600</v>
      </c>
      <c r="E702" s="13">
        <v>4</v>
      </c>
      <c r="F702" s="13" t="s">
        <v>4601</v>
      </c>
      <c r="G702" s="13">
        <v>92</v>
      </c>
      <c r="H702" s="13">
        <v>0</v>
      </c>
      <c r="I702" s="13"/>
      <c r="J702" s="13" t="s">
        <v>4602</v>
      </c>
      <c r="K702" s="13" t="s">
        <v>4603</v>
      </c>
    </row>
    <row r="703" spans="1:11" x14ac:dyDescent="0.3">
      <c r="A703" s="13" t="s">
        <v>3989</v>
      </c>
      <c r="B703" s="13" t="s">
        <v>4532</v>
      </c>
      <c r="C703" s="13" t="s">
        <v>4599</v>
      </c>
      <c r="D703" s="13" t="s">
        <v>4604</v>
      </c>
      <c r="E703" s="13">
        <v>4</v>
      </c>
      <c r="F703" s="13" t="s">
        <v>4605</v>
      </c>
      <c r="G703" s="13">
        <v>8</v>
      </c>
      <c r="H703" s="13">
        <v>0</v>
      </c>
      <c r="I703" s="13"/>
      <c r="J703" s="13" t="s">
        <v>4606</v>
      </c>
      <c r="K703" s="13" t="s">
        <v>4607</v>
      </c>
    </row>
    <row r="704" spans="1:11" x14ac:dyDescent="0.3">
      <c r="A704" s="13" t="s">
        <v>3989</v>
      </c>
      <c r="B704" s="13" t="s">
        <v>4532</v>
      </c>
      <c r="C704" s="13" t="s">
        <v>4599</v>
      </c>
      <c r="D704" s="13" t="s">
        <v>4608</v>
      </c>
      <c r="E704" s="13">
        <v>4</v>
      </c>
      <c r="F704" s="13" t="s">
        <v>4609</v>
      </c>
      <c r="G704" s="13">
        <v>19</v>
      </c>
      <c r="H704" s="13">
        <v>0</v>
      </c>
      <c r="I704" s="13"/>
      <c r="J704" s="13" t="s">
        <v>4610</v>
      </c>
      <c r="K704" s="13" t="s">
        <v>4611</v>
      </c>
    </row>
    <row r="705" spans="1:11" x14ac:dyDescent="0.3">
      <c r="A705" s="13" t="s">
        <v>3989</v>
      </c>
      <c r="B705" s="13" t="s">
        <v>4532</v>
      </c>
      <c r="C705" s="13" t="s">
        <v>4599</v>
      </c>
      <c r="D705" s="13" t="s">
        <v>4612</v>
      </c>
      <c r="E705" s="13">
        <v>4</v>
      </c>
      <c r="F705" s="13" t="s">
        <v>4613</v>
      </c>
      <c r="G705" s="13">
        <v>3</v>
      </c>
      <c r="H705" s="13">
        <v>0</v>
      </c>
      <c r="I705" s="13"/>
      <c r="J705" s="13" t="s">
        <v>4614</v>
      </c>
      <c r="K705" s="13" t="s">
        <v>4615</v>
      </c>
    </row>
    <row r="706" spans="1:11" x14ac:dyDescent="0.3">
      <c r="A706" s="13" t="s">
        <v>3989</v>
      </c>
      <c r="B706" s="13" t="s">
        <v>4532</v>
      </c>
      <c r="C706" s="13" t="s">
        <v>4599</v>
      </c>
      <c r="D706" s="13" t="s">
        <v>4616</v>
      </c>
      <c r="E706" s="13">
        <v>4</v>
      </c>
      <c r="F706" s="13" t="s">
        <v>4617</v>
      </c>
      <c r="G706" s="13">
        <v>24</v>
      </c>
      <c r="H706" s="13">
        <v>0</v>
      </c>
      <c r="I706" s="13"/>
      <c r="J706" s="13" t="s">
        <v>4618</v>
      </c>
      <c r="K706" s="13" t="s">
        <v>4619</v>
      </c>
    </row>
    <row r="707" spans="1:11" x14ac:dyDescent="0.3">
      <c r="A707" s="13" t="s">
        <v>3989</v>
      </c>
      <c r="B707" s="13" t="s">
        <v>4532</v>
      </c>
      <c r="C707" s="13" t="s">
        <v>4599</v>
      </c>
      <c r="D707" s="13" t="s">
        <v>4620</v>
      </c>
      <c r="E707" s="13">
        <v>4</v>
      </c>
      <c r="F707" s="13" t="s">
        <v>4621</v>
      </c>
      <c r="G707" s="13">
        <v>3</v>
      </c>
      <c r="H707" s="13">
        <v>0</v>
      </c>
      <c r="I707" s="13"/>
      <c r="J707" s="13" t="s">
        <v>4622</v>
      </c>
      <c r="K707" s="13" t="s">
        <v>4623</v>
      </c>
    </row>
    <row r="708" spans="1:11" x14ac:dyDescent="0.3">
      <c r="A708" s="13" t="s">
        <v>3989</v>
      </c>
      <c r="B708" s="13" t="s">
        <v>4532</v>
      </c>
      <c r="C708" s="13" t="s">
        <v>4624</v>
      </c>
      <c r="D708" s="13" t="s">
        <v>4625</v>
      </c>
      <c r="E708" s="13">
        <v>4</v>
      </c>
      <c r="F708" s="13" t="s">
        <v>4626</v>
      </c>
      <c r="G708" s="13">
        <v>1</v>
      </c>
      <c r="H708" s="13">
        <v>0</v>
      </c>
      <c r="I708" s="13"/>
      <c r="J708" s="13" t="s">
        <v>4627</v>
      </c>
      <c r="K708" s="13" t="s">
        <v>4628</v>
      </c>
    </row>
    <row r="709" spans="1:11" x14ac:dyDescent="0.3">
      <c r="A709" s="13" t="s">
        <v>3989</v>
      </c>
      <c r="B709" s="13" t="s">
        <v>4532</v>
      </c>
      <c r="C709" s="13" t="s">
        <v>4624</v>
      </c>
      <c r="D709" s="13" t="s">
        <v>4629</v>
      </c>
      <c r="E709" s="13">
        <v>4</v>
      </c>
      <c r="F709" s="13" t="s">
        <v>4630</v>
      </c>
      <c r="G709" s="13">
        <v>14</v>
      </c>
      <c r="H709" s="13">
        <v>0</v>
      </c>
      <c r="I709" s="13"/>
      <c r="J709" s="13" t="s">
        <v>4631</v>
      </c>
      <c r="K709" s="13" t="s">
        <v>4632</v>
      </c>
    </row>
    <row r="710" spans="1:11" x14ac:dyDescent="0.3">
      <c r="A710" s="13" t="s">
        <v>3989</v>
      </c>
      <c r="B710" s="13" t="s">
        <v>4532</v>
      </c>
      <c r="C710" s="13" t="s">
        <v>4624</v>
      </c>
      <c r="D710" s="13" t="s">
        <v>4633</v>
      </c>
      <c r="E710" s="13">
        <v>4</v>
      </c>
      <c r="F710" s="13" t="s">
        <v>4634</v>
      </c>
      <c r="G710" s="13">
        <v>59</v>
      </c>
      <c r="H710" s="13">
        <v>0</v>
      </c>
      <c r="I710" s="13"/>
      <c r="J710" s="13" t="s">
        <v>4635</v>
      </c>
      <c r="K710" s="13" t="s">
        <v>4636</v>
      </c>
    </row>
    <row r="711" spans="1:11" x14ac:dyDescent="0.3">
      <c r="A711" s="13" t="s">
        <v>4637</v>
      </c>
      <c r="B711" s="13" t="s">
        <v>4638</v>
      </c>
      <c r="C711" s="13"/>
      <c r="D711" s="13"/>
      <c r="E711" s="13">
        <v>2</v>
      </c>
      <c r="F711" s="13" t="s">
        <v>4639</v>
      </c>
      <c r="G711" s="13">
        <v>1</v>
      </c>
      <c r="H711" s="13">
        <v>0</v>
      </c>
      <c r="I711" s="13"/>
      <c r="J711" s="13" t="s">
        <v>4640</v>
      </c>
      <c r="K711" s="13" t="s">
        <v>4641</v>
      </c>
    </row>
    <row r="712" spans="1:11" x14ac:dyDescent="0.3">
      <c r="A712" s="13" t="s">
        <v>4637</v>
      </c>
      <c r="B712" s="13" t="s">
        <v>4642</v>
      </c>
      <c r="C712" s="13" t="s">
        <v>4643</v>
      </c>
      <c r="D712" s="13"/>
      <c r="E712" s="13">
        <v>3</v>
      </c>
      <c r="F712" s="13" t="s">
        <v>4644</v>
      </c>
      <c r="G712" s="13">
        <v>1</v>
      </c>
      <c r="H712" s="13">
        <v>0</v>
      </c>
      <c r="I712" s="13"/>
      <c r="J712" s="13" t="s">
        <v>4645</v>
      </c>
      <c r="K712" s="13" t="s">
        <v>4646</v>
      </c>
    </row>
    <row r="713" spans="1:11" x14ac:dyDescent="0.3">
      <c r="A713" s="13" t="s">
        <v>4637</v>
      </c>
      <c r="B713" s="13" t="s">
        <v>4642</v>
      </c>
      <c r="C713" s="13" t="s">
        <v>4647</v>
      </c>
      <c r="D713" s="13"/>
      <c r="E713" s="13">
        <v>3</v>
      </c>
      <c r="F713" s="13" t="s">
        <v>4648</v>
      </c>
      <c r="G713" s="13">
        <v>12</v>
      </c>
      <c r="H713" s="13">
        <v>0</v>
      </c>
      <c r="I713" s="13"/>
      <c r="J713" s="13" t="s">
        <v>4649</v>
      </c>
      <c r="K713" s="13" t="s">
        <v>4650</v>
      </c>
    </row>
    <row r="714" spans="1:11" x14ac:dyDescent="0.3">
      <c r="A714" s="13" t="s">
        <v>4637</v>
      </c>
      <c r="B714" s="13" t="s">
        <v>4651</v>
      </c>
      <c r="C714" s="13" t="s">
        <v>4652</v>
      </c>
      <c r="D714" s="13"/>
      <c r="E714" s="13">
        <v>3</v>
      </c>
      <c r="F714" s="13" t="s">
        <v>4653</v>
      </c>
      <c r="G714" s="13">
        <v>5</v>
      </c>
      <c r="H714" s="13">
        <v>0</v>
      </c>
      <c r="I714" s="13"/>
      <c r="J714" s="13" t="s">
        <v>4654</v>
      </c>
      <c r="K714" s="13" t="s">
        <v>4655</v>
      </c>
    </row>
    <row r="715" spans="1:11" x14ac:dyDescent="0.3">
      <c r="A715" s="13" t="s">
        <v>4637</v>
      </c>
      <c r="B715" s="13" t="s">
        <v>4651</v>
      </c>
      <c r="C715" s="13" t="s">
        <v>4656</v>
      </c>
      <c r="D715" s="13"/>
      <c r="E715" s="13">
        <v>3</v>
      </c>
      <c r="F715" s="13" t="s">
        <v>4657</v>
      </c>
      <c r="G715" s="13">
        <v>1</v>
      </c>
      <c r="H715" s="13">
        <v>0</v>
      </c>
      <c r="I715" s="13"/>
      <c r="J715" s="13" t="s">
        <v>4658</v>
      </c>
      <c r="K715" s="13" t="s">
        <v>4659</v>
      </c>
    </row>
    <row r="716" spans="1:11" x14ac:dyDescent="0.3">
      <c r="A716" s="13" t="s">
        <v>4637</v>
      </c>
      <c r="B716" s="13" t="s">
        <v>4651</v>
      </c>
      <c r="C716" s="13" t="s">
        <v>4660</v>
      </c>
      <c r="D716" s="13"/>
      <c r="E716" s="13">
        <v>3</v>
      </c>
      <c r="F716" s="13" t="s">
        <v>4661</v>
      </c>
      <c r="G716" s="13">
        <v>5</v>
      </c>
      <c r="H716" s="13">
        <v>0</v>
      </c>
      <c r="I716" s="13"/>
      <c r="J716" s="13" t="s">
        <v>4662</v>
      </c>
      <c r="K716" s="13" t="s">
        <v>4663</v>
      </c>
    </row>
    <row r="717" spans="1:11" x14ac:dyDescent="0.3">
      <c r="A717" s="13" t="s">
        <v>4637</v>
      </c>
      <c r="B717" s="13" t="s">
        <v>4651</v>
      </c>
      <c r="C717" s="13" t="s">
        <v>4664</v>
      </c>
      <c r="D717" s="13"/>
      <c r="E717" s="13">
        <v>3</v>
      </c>
      <c r="F717" s="13" t="s">
        <v>4665</v>
      </c>
      <c r="G717" s="13">
        <v>9</v>
      </c>
      <c r="H717" s="13">
        <v>0</v>
      </c>
      <c r="I717" s="13"/>
      <c r="J717" s="13" t="s">
        <v>4666</v>
      </c>
      <c r="K717" s="13" t="s">
        <v>4667</v>
      </c>
    </row>
    <row r="718" spans="1:11" x14ac:dyDescent="0.3">
      <c r="A718" s="13" t="s">
        <v>4637</v>
      </c>
      <c r="B718" s="13" t="s">
        <v>4651</v>
      </c>
      <c r="C718" s="13" t="s">
        <v>4668</v>
      </c>
      <c r="D718" s="13"/>
      <c r="E718" s="13">
        <v>3</v>
      </c>
      <c r="F718" s="13" t="s">
        <v>4669</v>
      </c>
      <c r="G718" s="13">
        <v>4</v>
      </c>
      <c r="H718" s="13">
        <v>0</v>
      </c>
      <c r="I718" s="13"/>
      <c r="J718" s="13" t="s">
        <v>4670</v>
      </c>
      <c r="K718" s="13" t="s">
        <v>4671</v>
      </c>
    </row>
    <row r="719" spans="1:11" x14ac:dyDescent="0.3">
      <c r="A719" s="13" t="s">
        <v>4637</v>
      </c>
      <c r="B719" s="13" t="s">
        <v>4672</v>
      </c>
      <c r="C719" s="13" t="s">
        <v>4673</v>
      </c>
      <c r="D719" s="13"/>
      <c r="E719" s="13">
        <v>3</v>
      </c>
      <c r="F719" s="13" t="s">
        <v>4674</v>
      </c>
      <c r="G719" s="13">
        <v>3</v>
      </c>
      <c r="H719" s="13">
        <v>0</v>
      </c>
      <c r="I719" s="13"/>
      <c r="J719" s="13" t="s">
        <v>4675</v>
      </c>
      <c r="K719" s="13" t="s">
        <v>4676</v>
      </c>
    </row>
    <row r="720" spans="1:11" x14ac:dyDescent="0.3">
      <c r="A720" s="13" t="s">
        <v>4637</v>
      </c>
      <c r="B720" s="13" t="s">
        <v>4677</v>
      </c>
      <c r="C720" s="13" t="s">
        <v>4678</v>
      </c>
      <c r="D720" s="13"/>
      <c r="E720" s="13">
        <v>3</v>
      </c>
      <c r="F720" s="13" t="s">
        <v>4679</v>
      </c>
      <c r="G720" s="13">
        <v>1</v>
      </c>
      <c r="H720" s="13">
        <v>0</v>
      </c>
      <c r="I720" s="13"/>
      <c r="J720" s="13" t="s">
        <v>4680</v>
      </c>
      <c r="K720" s="13" t="s">
        <v>4681</v>
      </c>
    </row>
    <row r="721" spans="1:11" x14ac:dyDescent="0.3">
      <c r="A721" s="13" t="s">
        <v>4637</v>
      </c>
      <c r="B721" s="13" t="s">
        <v>4677</v>
      </c>
      <c r="C721" s="13" t="s">
        <v>1079</v>
      </c>
      <c r="D721" s="13"/>
      <c r="E721" s="13">
        <v>3</v>
      </c>
      <c r="F721" s="13" t="s">
        <v>4682</v>
      </c>
      <c r="G721" s="13">
        <v>5</v>
      </c>
      <c r="H721" s="13">
        <v>0</v>
      </c>
      <c r="I721" s="13"/>
      <c r="J721" s="13" t="s">
        <v>4683</v>
      </c>
      <c r="K721" s="13" t="s">
        <v>4684</v>
      </c>
    </row>
    <row r="722" spans="1:11" x14ac:dyDescent="0.3">
      <c r="A722" s="13" t="s">
        <v>4637</v>
      </c>
      <c r="B722" s="13" t="s">
        <v>4677</v>
      </c>
      <c r="C722" s="13" t="s">
        <v>4685</v>
      </c>
      <c r="D722" s="13"/>
      <c r="E722" s="13">
        <v>3</v>
      </c>
      <c r="F722" s="13" t="s">
        <v>4686</v>
      </c>
      <c r="G722" s="13">
        <v>1</v>
      </c>
      <c r="H722" s="13">
        <v>0</v>
      </c>
      <c r="I722" s="13"/>
      <c r="J722" s="13" t="s">
        <v>4687</v>
      </c>
      <c r="K722" s="13" t="s">
        <v>4688</v>
      </c>
    </row>
    <row r="723" spans="1:11" x14ac:dyDescent="0.3">
      <c r="A723" s="13" t="s">
        <v>4637</v>
      </c>
      <c r="B723" s="13" t="s">
        <v>4677</v>
      </c>
      <c r="C723" s="13" t="s">
        <v>4689</v>
      </c>
      <c r="D723" s="13"/>
      <c r="E723" s="13">
        <v>3</v>
      </c>
      <c r="F723" s="13" t="s">
        <v>4690</v>
      </c>
      <c r="G723" s="13">
        <v>3</v>
      </c>
      <c r="H723" s="13">
        <v>0</v>
      </c>
      <c r="I723" s="13"/>
      <c r="J723" s="13" t="s">
        <v>4691</v>
      </c>
      <c r="K723" s="13" t="s">
        <v>4692</v>
      </c>
    </row>
    <row r="724" spans="1:11" x14ac:dyDescent="0.3">
      <c r="A724" s="13" t="s">
        <v>4693</v>
      </c>
      <c r="B724" s="13" t="s">
        <v>4694</v>
      </c>
      <c r="C724" s="13"/>
      <c r="D724" s="13"/>
      <c r="E724" s="13">
        <v>2</v>
      </c>
      <c r="F724" s="13" t="s">
        <v>4695</v>
      </c>
      <c r="G724" s="13">
        <v>382</v>
      </c>
      <c r="H724" s="13">
        <v>0</v>
      </c>
      <c r="I724" s="13"/>
      <c r="J724" s="13" t="s">
        <v>4696</v>
      </c>
      <c r="K724" s="13" t="s">
        <v>4697</v>
      </c>
    </row>
    <row r="725" spans="1:11" x14ac:dyDescent="0.3">
      <c r="A725" s="13" t="s">
        <v>4693</v>
      </c>
      <c r="B725" s="13" t="s">
        <v>4698</v>
      </c>
      <c r="C725" s="13"/>
      <c r="D725" s="13"/>
      <c r="E725" s="13">
        <v>2</v>
      </c>
      <c r="F725" s="13" t="s">
        <v>4699</v>
      </c>
      <c r="G725" s="13">
        <v>62</v>
      </c>
      <c r="H725" s="13">
        <v>0</v>
      </c>
      <c r="I725" s="13"/>
      <c r="J725" s="13" t="s">
        <v>4700</v>
      </c>
      <c r="K725" s="13" t="s">
        <v>4701</v>
      </c>
    </row>
    <row r="726" spans="1:11" x14ac:dyDescent="0.3">
      <c r="A726" s="13" t="s">
        <v>4693</v>
      </c>
      <c r="B726" s="13" t="s">
        <v>4702</v>
      </c>
      <c r="C726" s="13"/>
      <c r="D726" s="13"/>
      <c r="E726" s="13">
        <v>2</v>
      </c>
      <c r="F726" s="13" t="s">
        <v>4703</v>
      </c>
      <c r="G726" s="13">
        <v>37</v>
      </c>
      <c r="H726" s="13">
        <v>0</v>
      </c>
      <c r="I726" s="13"/>
      <c r="J726" s="13" t="s">
        <v>4704</v>
      </c>
      <c r="K726" s="13" t="s">
        <v>4705</v>
      </c>
    </row>
    <row r="727" spans="1:11" x14ac:dyDescent="0.3">
      <c r="A727" s="13" t="s">
        <v>4693</v>
      </c>
      <c r="B727" s="13" t="s">
        <v>4706</v>
      </c>
      <c r="C727" s="13"/>
      <c r="D727" s="13"/>
      <c r="E727" s="13">
        <v>2</v>
      </c>
      <c r="F727" s="13" t="s">
        <v>4707</v>
      </c>
      <c r="G727" s="13">
        <v>9</v>
      </c>
      <c r="H727" s="13">
        <v>0</v>
      </c>
      <c r="I727" s="13"/>
      <c r="J727" s="13" t="s">
        <v>4708</v>
      </c>
      <c r="K727" s="13" t="s">
        <v>4709</v>
      </c>
    </row>
    <row r="728" spans="1:11" x14ac:dyDescent="0.3">
      <c r="A728" s="13" t="s">
        <v>4693</v>
      </c>
      <c r="B728" s="13" t="s">
        <v>4710</v>
      </c>
      <c r="C728" s="13"/>
      <c r="D728" s="13"/>
      <c r="E728" s="13">
        <v>2</v>
      </c>
      <c r="F728" s="13" t="s">
        <v>4711</v>
      </c>
      <c r="G728" s="13">
        <v>15</v>
      </c>
      <c r="H728" s="13">
        <v>0</v>
      </c>
      <c r="I728" s="13"/>
      <c r="J728" s="13" t="s">
        <v>4712</v>
      </c>
      <c r="K728" s="13" t="s">
        <v>4713</v>
      </c>
    </row>
    <row r="729" spans="1:11" x14ac:dyDescent="0.3">
      <c r="A729" s="13" t="s">
        <v>4693</v>
      </c>
      <c r="B729" s="13" t="s">
        <v>4714</v>
      </c>
      <c r="C729" s="13"/>
      <c r="D729" s="13"/>
      <c r="E729" s="13">
        <v>2</v>
      </c>
      <c r="F729" s="13" t="s">
        <v>4715</v>
      </c>
      <c r="G729" s="13">
        <v>201</v>
      </c>
      <c r="H729" s="13">
        <v>0</v>
      </c>
      <c r="I729" s="13"/>
      <c r="J729" s="13" t="s">
        <v>4716</v>
      </c>
      <c r="K729" s="13" t="s">
        <v>4717</v>
      </c>
    </row>
    <row r="730" spans="1:11" x14ac:dyDescent="0.3">
      <c r="A730" s="13" t="s">
        <v>4693</v>
      </c>
      <c r="B730" s="13" t="s">
        <v>4718</v>
      </c>
      <c r="C730" s="13"/>
      <c r="D730" s="13"/>
      <c r="E730" s="13">
        <v>2</v>
      </c>
      <c r="F730" s="13" t="s">
        <v>4719</v>
      </c>
      <c r="G730" s="13">
        <v>49</v>
      </c>
      <c r="H730" s="13">
        <v>0</v>
      </c>
      <c r="I730" s="13"/>
      <c r="J730" s="13" t="s">
        <v>4720</v>
      </c>
      <c r="K730" s="13" t="s">
        <v>4721</v>
      </c>
    </row>
    <row r="731" spans="1:11" x14ac:dyDescent="0.3">
      <c r="A731" s="13" t="s">
        <v>4693</v>
      </c>
      <c r="B731" s="13" t="s">
        <v>4722</v>
      </c>
      <c r="C731" s="13"/>
      <c r="D731" s="13"/>
      <c r="E731" s="13">
        <v>2</v>
      </c>
      <c r="F731" s="13" t="s">
        <v>4723</v>
      </c>
      <c r="G731" s="13">
        <v>332</v>
      </c>
      <c r="H731" s="13">
        <v>0</v>
      </c>
      <c r="I731" s="13"/>
      <c r="J731" s="13" t="s">
        <v>4724</v>
      </c>
      <c r="K731" s="13" t="s">
        <v>4725</v>
      </c>
    </row>
    <row r="732" spans="1:11" x14ac:dyDescent="0.3">
      <c r="A732" s="13" t="s">
        <v>4693</v>
      </c>
      <c r="B732" s="13" t="s">
        <v>4726</v>
      </c>
      <c r="C732" s="13"/>
      <c r="D732" s="13"/>
      <c r="E732" s="13">
        <v>2</v>
      </c>
      <c r="F732" s="13" t="s">
        <v>4727</v>
      </c>
      <c r="G732" s="13">
        <v>349</v>
      </c>
      <c r="H732" s="13">
        <v>0</v>
      </c>
      <c r="I732" s="13"/>
      <c r="J732" s="13" t="s">
        <v>4728</v>
      </c>
      <c r="K732" s="13" t="s">
        <v>4729</v>
      </c>
    </row>
    <row r="733" spans="1:11" x14ac:dyDescent="0.3">
      <c r="A733" s="13" t="s">
        <v>4693</v>
      </c>
      <c r="B733" s="13" t="s">
        <v>4730</v>
      </c>
      <c r="C733" s="13"/>
      <c r="D733" s="13"/>
      <c r="E733" s="13">
        <v>2</v>
      </c>
      <c r="F733" s="13" t="s">
        <v>4731</v>
      </c>
      <c r="G733" s="13">
        <v>106</v>
      </c>
      <c r="H733" s="13">
        <v>0</v>
      </c>
      <c r="I733" s="13"/>
      <c r="J733" s="13" t="s">
        <v>4732</v>
      </c>
      <c r="K733" s="13" t="s">
        <v>4733</v>
      </c>
    </row>
    <row r="734" spans="1:11" x14ac:dyDescent="0.3">
      <c r="A734" s="13" t="s">
        <v>4693</v>
      </c>
      <c r="B734" s="13" t="s">
        <v>4734</v>
      </c>
      <c r="C734" s="13"/>
      <c r="D734" s="13"/>
      <c r="E734" s="13">
        <v>2</v>
      </c>
      <c r="F734" s="13" t="s">
        <v>4735</v>
      </c>
      <c r="G734" s="13">
        <v>49</v>
      </c>
      <c r="H734" s="13">
        <v>0</v>
      </c>
      <c r="I734" s="13"/>
      <c r="J734" s="13" t="s">
        <v>4736</v>
      </c>
      <c r="K734" s="13" t="s">
        <v>4737</v>
      </c>
    </row>
    <row r="735" spans="1:11" x14ac:dyDescent="0.3">
      <c r="A735" s="13" t="s">
        <v>4693</v>
      </c>
      <c r="B735" s="13" t="s">
        <v>4738</v>
      </c>
      <c r="C735" s="13"/>
      <c r="D735" s="13"/>
      <c r="E735" s="13">
        <v>2</v>
      </c>
      <c r="F735" s="13" t="s">
        <v>4739</v>
      </c>
      <c r="G735" s="13">
        <v>110</v>
      </c>
      <c r="H735" s="13">
        <v>0</v>
      </c>
      <c r="I735" s="13"/>
      <c r="J735" s="13" t="s">
        <v>4740</v>
      </c>
      <c r="K735" s="13" t="s">
        <v>4741</v>
      </c>
    </row>
    <row r="736" spans="1:11" x14ac:dyDescent="0.3">
      <c r="A736" s="13" t="s">
        <v>907</v>
      </c>
      <c r="B736" s="13" t="s">
        <v>4742</v>
      </c>
      <c r="C736" s="13"/>
      <c r="D736" s="13"/>
      <c r="E736" s="13">
        <v>2</v>
      </c>
      <c r="F736" s="13" t="s">
        <v>4743</v>
      </c>
      <c r="G736" s="13">
        <v>520</v>
      </c>
      <c r="H736" s="13">
        <v>0</v>
      </c>
      <c r="I736" s="13"/>
      <c r="J736" s="13" t="s">
        <v>4744</v>
      </c>
      <c r="K736" s="13" t="s">
        <v>4745</v>
      </c>
    </row>
    <row r="737" spans="1:11" x14ac:dyDescent="0.3">
      <c r="A737" s="13" t="s">
        <v>907</v>
      </c>
      <c r="B737" s="13" t="s">
        <v>4746</v>
      </c>
      <c r="C737" s="13"/>
      <c r="D737" s="13"/>
      <c r="E737" s="13">
        <v>2</v>
      </c>
      <c r="F737" s="13" t="s">
        <v>4747</v>
      </c>
      <c r="G737" s="13">
        <v>875</v>
      </c>
      <c r="H737" s="13">
        <v>0</v>
      </c>
      <c r="I737" s="13"/>
      <c r="J737" s="13" t="s">
        <v>4748</v>
      </c>
      <c r="K737" s="13" t="s">
        <v>4749</v>
      </c>
    </row>
    <row r="738" spans="1:11" x14ac:dyDescent="0.3">
      <c r="A738" s="13" t="s">
        <v>907</v>
      </c>
      <c r="B738" s="13" t="s">
        <v>908</v>
      </c>
      <c r="C738" s="13" t="s">
        <v>1019</v>
      </c>
      <c r="D738" s="13"/>
      <c r="E738" s="13">
        <v>3</v>
      </c>
      <c r="F738" s="13" t="s">
        <v>285</v>
      </c>
      <c r="G738" s="13">
        <v>1234</v>
      </c>
      <c r="H738" s="13">
        <v>0</v>
      </c>
      <c r="I738" s="3" t="s">
        <v>788</v>
      </c>
      <c r="J738" s="13" t="s">
        <v>284</v>
      </c>
      <c r="K738" s="13" t="s">
        <v>293</v>
      </c>
    </row>
    <row r="739" spans="1:11" x14ac:dyDescent="0.3">
      <c r="A739" s="13" t="s">
        <v>907</v>
      </c>
      <c r="B739" s="13" t="s">
        <v>908</v>
      </c>
      <c r="C739" s="13" t="s">
        <v>4750</v>
      </c>
      <c r="D739" s="13"/>
      <c r="E739" s="13">
        <v>3</v>
      </c>
      <c r="F739" s="13" t="s">
        <v>4751</v>
      </c>
      <c r="G739" s="13">
        <v>44</v>
      </c>
      <c r="H739" s="13">
        <v>0</v>
      </c>
      <c r="I739" s="13"/>
      <c r="J739" s="13" t="s">
        <v>4752</v>
      </c>
      <c r="K739" s="13" t="s">
        <v>4753</v>
      </c>
    </row>
    <row r="740" spans="1:11" x14ac:dyDescent="0.3">
      <c r="A740" s="13" t="s">
        <v>907</v>
      </c>
      <c r="B740" s="13" t="s">
        <v>908</v>
      </c>
      <c r="C740" s="13" t="s">
        <v>909</v>
      </c>
      <c r="D740" s="13"/>
      <c r="E740" s="13">
        <v>3</v>
      </c>
      <c r="F740" s="13" t="s">
        <v>142</v>
      </c>
      <c r="G740" s="13">
        <v>1037</v>
      </c>
      <c r="H740" s="13">
        <v>1016</v>
      </c>
      <c r="I740" s="3" t="s">
        <v>786</v>
      </c>
      <c r="J740" s="13" t="s">
        <v>21</v>
      </c>
      <c r="K740" s="13" t="s">
        <v>148</v>
      </c>
    </row>
    <row r="741" spans="1:11" x14ac:dyDescent="0.3">
      <c r="A741" s="13" t="s">
        <v>907</v>
      </c>
      <c r="B741" s="13" t="s">
        <v>4754</v>
      </c>
      <c r="C741" s="13" t="s">
        <v>4755</v>
      </c>
      <c r="D741" s="13"/>
      <c r="E741" s="13">
        <v>3</v>
      </c>
      <c r="F741" s="13" t="s">
        <v>4756</v>
      </c>
      <c r="G741" s="13">
        <v>182</v>
      </c>
      <c r="H741" s="13">
        <v>0</v>
      </c>
      <c r="I741" s="13"/>
      <c r="J741" s="13" t="s">
        <v>4757</v>
      </c>
      <c r="K741" s="13" t="s">
        <v>4758</v>
      </c>
    </row>
    <row r="742" spans="1:11" x14ac:dyDescent="0.3">
      <c r="A742" s="13" t="s">
        <v>907</v>
      </c>
      <c r="B742" s="13" t="s">
        <v>4754</v>
      </c>
      <c r="C742" s="13" t="s">
        <v>4759</v>
      </c>
      <c r="D742" s="13"/>
      <c r="E742" s="13">
        <v>3</v>
      </c>
      <c r="F742" s="13" t="s">
        <v>4760</v>
      </c>
      <c r="G742" s="13">
        <v>81</v>
      </c>
      <c r="H742" s="13">
        <v>0</v>
      </c>
      <c r="I742" s="13"/>
      <c r="J742" s="13" t="s">
        <v>4761</v>
      </c>
      <c r="K742" s="13" t="s">
        <v>4762</v>
      </c>
    </row>
    <row r="743" spans="1:11" x14ac:dyDescent="0.3">
      <c r="A743" s="13" t="s">
        <v>907</v>
      </c>
      <c r="B743" s="13" t="s">
        <v>4754</v>
      </c>
      <c r="C743" s="13" t="s">
        <v>4763</v>
      </c>
      <c r="D743" s="13"/>
      <c r="E743" s="13">
        <v>3</v>
      </c>
      <c r="F743" s="13" t="s">
        <v>4764</v>
      </c>
      <c r="G743" s="13">
        <v>60</v>
      </c>
      <c r="H743" s="13">
        <v>0</v>
      </c>
      <c r="I743" s="13"/>
      <c r="J743" s="13" t="s">
        <v>4765</v>
      </c>
      <c r="K743" s="13" t="s">
        <v>4766</v>
      </c>
    </row>
    <row r="744" spans="1:11" x14ac:dyDescent="0.3">
      <c r="A744" s="13" t="s">
        <v>907</v>
      </c>
      <c r="B744" s="13" t="s">
        <v>4754</v>
      </c>
      <c r="C744" s="13" t="s">
        <v>4767</v>
      </c>
      <c r="D744" s="13"/>
      <c r="E744" s="13">
        <v>3</v>
      </c>
      <c r="F744" s="13" t="s">
        <v>4768</v>
      </c>
      <c r="G744" s="13">
        <v>128</v>
      </c>
      <c r="H744" s="13">
        <v>0</v>
      </c>
      <c r="I744" s="13"/>
      <c r="J744" s="13" t="s">
        <v>4769</v>
      </c>
      <c r="K744" s="13" t="s">
        <v>4770</v>
      </c>
    </row>
    <row r="745" spans="1:11" x14ac:dyDescent="0.3">
      <c r="A745" s="13" t="s">
        <v>907</v>
      </c>
      <c r="B745" s="13" t="s">
        <v>4754</v>
      </c>
      <c r="C745" s="13" t="s">
        <v>4771</v>
      </c>
      <c r="D745" s="13"/>
      <c r="E745" s="13">
        <v>3</v>
      </c>
      <c r="F745" s="13" t="s">
        <v>4772</v>
      </c>
      <c r="G745" s="13">
        <v>43</v>
      </c>
      <c r="H745" s="13">
        <v>0</v>
      </c>
      <c r="I745" s="13"/>
      <c r="J745" s="13" t="s">
        <v>4773</v>
      </c>
      <c r="K745" s="13" t="s">
        <v>4774</v>
      </c>
    </row>
    <row r="746" spans="1:11" x14ac:dyDescent="0.3">
      <c r="A746" s="13" t="s">
        <v>907</v>
      </c>
      <c r="B746" s="13" t="s">
        <v>4775</v>
      </c>
      <c r="C746" s="13"/>
      <c r="D746" s="13"/>
      <c r="E746" s="13">
        <v>2</v>
      </c>
      <c r="F746" s="13" t="s">
        <v>4776</v>
      </c>
      <c r="G746" s="13">
        <v>902</v>
      </c>
      <c r="H746" s="13">
        <v>0</v>
      </c>
      <c r="I746" s="13"/>
      <c r="J746" s="13" t="s">
        <v>4777</v>
      </c>
      <c r="K746" s="13" t="s">
        <v>4778</v>
      </c>
    </row>
    <row r="747" spans="1:11" x14ac:dyDescent="0.3">
      <c r="A747" s="13" t="s">
        <v>907</v>
      </c>
      <c r="B747" s="13" t="s">
        <v>914</v>
      </c>
      <c r="C747" s="13" t="s">
        <v>4779</v>
      </c>
      <c r="D747" s="13"/>
      <c r="E747" s="13">
        <v>3</v>
      </c>
      <c r="F747" s="13" t="s">
        <v>4780</v>
      </c>
      <c r="G747" s="13">
        <v>29</v>
      </c>
      <c r="H747" s="13">
        <v>0</v>
      </c>
      <c r="I747" s="13"/>
      <c r="J747" s="13" t="s">
        <v>4781</v>
      </c>
      <c r="K747" s="13" t="s">
        <v>4782</v>
      </c>
    </row>
    <row r="748" spans="1:11" x14ac:dyDescent="0.3">
      <c r="A748" s="13" t="s">
        <v>907</v>
      </c>
      <c r="B748" s="13" t="s">
        <v>914</v>
      </c>
      <c r="C748" s="13" t="s">
        <v>4783</v>
      </c>
      <c r="D748" s="13"/>
      <c r="E748" s="13">
        <v>3</v>
      </c>
      <c r="F748" s="13" t="s">
        <v>4784</v>
      </c>
      <c r="G748" s="13">
        <v>27</v>
      </c>
      <c r="H748" s="13">
        <v>0</v>
      </c>
      <c r="I748" s="13"/>
      <c r="J748" s="13" t="s">
        <v>4785</v>
      </c>
      <c r="K748" s="13" t="s">
        <v>4786</v>
      </c>
    </row>
    <row r="749" spans="1:11" x14ac:dyDescent="0.3">
      <c r="A749" s="13" t="s">
        <v>907</v>
      </c>
      <c r="B749" s="13" t="s">
        <v>914</v>
      </c>
      <c r="C749" s="13" t="s">
        <v>4787</v>
      </c>
      <c r="D749" s="13"/>
      <c r="E749" s="13">
        <v>3</v>
      </c>
      <c r="F749" s="13" t="s">
        <v>4788</v>
      </c>
      <c r="G749" s="13">
        <v>81</v>
      </c>
      <c r="H749" s="13">
        <v>0</v>
      </c>
      <c r="I749" s="13"/>
      <c r="J749" s="13" t="s">
        <v>4789</v>
      </c>
      <c r="K749" s="13" t="s">
        <v>4790</v>
      </c>
    </row>
    <row r="750" spans="1:11" x14ac:dyDescent="0.3">
      <c r="A750" s="13" t="s">
        <v>907</v>
      </c>
      <c r="B750" s="13" t="s">
        <v>914</v>
      </c>
      <c r="C750" s="13" t="s">
        <v>4791</v>
      </c>
      <c r="D750" s="13"/>
      <c r="E750" s="13">
        <v>3</v>
      </c>
      <c r="F750" s="13" t="s">
        <v>4792</v>
      </c>
      <c r="G750" s="13">
        <v>51</v>
      </c>
      <c r="H750" s="13">
        <v>0</v>
      </c>
      <c r="I750" s="13"/>
      <c r="J750" s="13" t="s">
        <v>4793</v>
      </c>
      <c r="K750" s="13" t="s">
        <v>4794</v>
      </c>
    </row>
    <row r="751" spans="1:11" x14ac:dyDescent="0.3">
      <c r="A751" s="13" t="s">
        <v>907</v>
      </c>
      <c r="B751" s="13" t="s">
        <v>914</v>
      </c>
      <c r="C751" s="13" t="s">
        <v>915</v>
      </c>
      <c r="D751" s="13"/>
      <c r="E751" s="13">
        <v>3</v>
      </c>
      <c r="F751" s="13" t="s">
        <v>149</v>
      </c>
      <c r="G751" s="13">
        <v>342</v>
      </c>
      <c r="H751" s="13">
        <v>0</v>
      </c>
      <c r="I751" s="3" t="s">
        <v>913</v>
      </c>
      <c r="J751" s="13" t="s">
        <v>24</v>
      </c>
      <c r="K751" s="13" t="s">
        <v>155</v>
      </c>
    </row>
    <row r="752" spans="1:11" x14ac:dyDescent="0.3">
      <c r="A752" s="13" t="s">
        <v>907</v>
      </c>
      <c r="B752" s="13" t="s">
        <v>914</v>
      </c>
      <c r="C752" s="13" t="s">
        <v>1001</v>
      </c>
      <c r="D752" s="13"/>
      <c r="E752" s="13">
        <v>3</v>
      </c>
      <c r="F752" s="13" t="s">
        <v>247</v>
      </c>
      <c r="G752" s="13">
        <v>82</v>
      </c>
      <c r="H752" s="13">
        <v>0</v>
      </c>
      <c r="I752" s="3" t="s">
        <v>1000</v>
      </c>
      <c r="J752" s="13" t="s">
        <v>65</v>
      </c>
      <c r="K752" s="13" t="s">
        <v>253</v>
      </c>
    </row>
    <row r="753" spans="1:11" x14ac:dyDescent="0.3">
      <c r="A753" s="13" t="s">
        <v>907</v>
      </c>
      <c r="B753" s="13" t="s">
        <v>914</v>
      </c>
      <c r="C753" s="13" t="s">
        <v>4795</v>
      </c>
      <c r="D753" s="13"/>
      <c r="E753" s="13">
        <v>3</v>
      </c>
      <c r="F753" s="13" t="s">
        <v>4796</v>
      </c>
      <c r="G753" s="13">
        <v>51</v>
      </c>
      <c r="H753" s="13">
        <v>0</v>
      </c>
      <c r="I753" s="13"/>
      <c r="J753" s="13" t="s">
        <v>4797</v>
      </c>
      <c r="K753" s="13" t="s">
        <v>4798</v>
      </c>
    </row>
    <row r="754" spans="1:11" x14ac:dyDescent="0.3">
      <c r="A754" s="13" t="s">
        <v>907</v>
      </c>
      <c r="B754" s="13" t="s">
        <v>914</v>
      </c>
      <c r="C754" s="13" t="s">
        <v>4799</v>
      </c>
      <c r="D754" s="13"/>
      <c r="E754" s="13">
        <v>3</v>
      </c>
      <c r="F754" s="13" t="s">
        <v>4800</v>
      </c>
      <c r="G754" s="13">
        <v>165</v>
      </c>
      <c r="H754" s="13">
        <v>0</v>
      </c>
      <c r="I754" s="13"/>
      <c r="J754" s="13" t="s">
        <v>4801</v>
      </c>
      <c r="K754" s="13" t="s">
        <v>4802</v>
      </c>
    </row>
    <row r="755" spans="1:11" x14ac:dyDescent="0.3">
      <c r="A755" s="13" t="s">
        <v>907</v>
      </c>
      <c r="B755" s="13" t="s">
        <v>914</v>
      </c>
      <c r="C755" s="13" t="s">
        <v>4803</v>
      </c>
      <c r="D755" s="13"/>
      <c r="E755" s="13">
        <v>3</v>
      </c>
      <c r="F755" s="13" t="s">
        <v>4804</v>
      </c>
      <c r="G755" s="13">
        <v>21</v>
      </c>
      <c r="H755" s="13">
        <v>0</v>
      </c>
      <c r="I755" s="13"/>
      <c r="J755" s="13" t="s">
        <v>4805</v>
      </c>
      <c r="K755" s="13" t="s">
        <v>4806</v>
      </c>
    </row>
    <row r="756" spans="1:11" x14ac:dyDescent="0.3">
      <c r="A756" s="13" t="s">
        <v>907</v>
      </c>
      <c r="B756" s="13" t="s">
        <v>914</v>
      </c>
      <c r="C756" s="13" t="s">
        <v>4807</v>
      </c>
      <c r="D756" s="13"/>
      <c r="E756" s="13">
        <v>3</v>
      </c>
      <c r="F756" s="13" t="s">
        <v>4808</v>
      </c>
      <c r="G756" s="13">
        <v>172</v>
      </c>
      <c r="H756" s="13">
        <v>0</v>
      </c>
      <c r="I756" s="13"/>
      <c r="J756" s="13" t="s">
        <v>4809</v>
      </c>
      <c r="K756" s="13" t="s">
        <v>4810</v>
      </c>
    </row>
    <row r="757" spans="1:11" x14ac:dyDescent="0.3">
      <c r="A757" s="13" t="s">
        <v>907</v>
      </c>
      <c r="B757" s="13" t="s">
        <v>914</v>
      </c>
      <c r="C757" s="13" t="s">
        <v>4811</v>
      </c>
      <c r="D757" s="13"/>
      <c r="E757" s="13">
        <v>3</v>
      </c>
      <c r="F757" s="13" t="s">
        <v>4812</v>
      </c>
      <c r="G757" s="13">
        <v>41</v>
      </c>
      <c r="H757" s="13">
        <v>0</v>
      </c>
      <c r="I757" s="13"/>
      <c r="J757" s="13" t="s">
        <v>4813</v>
      </c>
      <c r="K757" s="13" t="s">
        <v>4814</v>
      </c>
    </row>
    <row r="758" spans="1:11" x14ac:dyDescent="0.3">
      <c r="A758" s="13" t="s">
        <v>907</v>
      </c>
      <c r="B758" s="13" t="s">
        <v>914</v>
      </c>
      <c r="C758" s="13" t="s">
        <v>4815</v>
      </c>
      <c r="D758" s="13"/>
      <c r="E758" s="13">
        <v>3</v>
      </c>
      <c r="F758" s="13" t="s">
        <v>4816</v>
      </c>
      <c r="G758" s="13">
        <v>97</v>
      </c>
      <c r="H758" s="13">
        <v>0</v>
      </c>
      <c r="I758" s="13"/>
      <c r="J758" s="13" t="s">
        <v>4817</v>
      </c>
      <c r="K758" s="13" t="s">
        <v>4818</v>
      </c>
    </row>
    <row r="759" spans="1:11" x14ac:dyDescent="0.3">
      <c r="A759" s="13" t="s">
        <v>907</v>
      </c>
      <c r="B759" s="13" t="s">
        <v>4819</v>
      </c>
      <c r="C759" s="13" t="s">
        <v>4820</v>
      </c>
      <c r="D759" s="13"/>
      <c r="E759" s="13">
        <v>3</v>
      </c>
      <c r="F759" s="13" t="s">
        <v>4821</v>
      </c>
      <c r="G759" s="13">
        <v>595</v>
      </c>
      <c r="H759" s="13">
        <v>0</v>
      </c>
      <c r="I759" s="13"/>
      <c r="J759" s="13" t="s">
        <v>4822</v>
      </c>
      <c r="K759" s="13" t="s">
        <v>4823</v>
      </c>
    </row>
    <row r="760" spans="1:11" x14ac:dyDescent="0.3">
      <c r="A760" s="13" t="s">
        <v>907</v>
      </c>
      <c r="B760" s="13" t="s">
        <v>4819</v>
      </c>
      <c r="C760" s="13" t="s">
        <v>4824</v>
      </c>
      <c r="D760" s="13"/>
      <c r="E760" s="13">
        <v>3</v>
      </c>
      <c r="F760" s="13" t="s">
        <v>4825</v>
      </c>
      <c r="G760" s="13">
        <v>458</v>
      </c>
      <c r="H760" s="13">
        <v>0</v>
      </c>
      <c r="I760" s="13"/>
      <c r="J760" s="13" t="s">
        <v>4826</v>
      </c>
      <c r="K760" s="13" t="s">
        <v>4827</v>
      </c>
    </row>
    <row r="761" spans="1:11" x14ac:dyDescent="0.3">
      <c r="A761" s="13" t="s">
        <v>907</v>
      </c>
      <c r="B761" s="13" t="s">
        <v>4819</v>
      </c>
      <c r="C761" s="13" t="s">
        <v>4828</v>
      </c>
      <c r="D761" s="13"/>
      <c r="E761" s="13">
        <v>3</v>
      </c>
      <c r="F761" s="13" t="s">
        <v>4829</v>
      </c>
      <c r="G761" s="13">
        <v>902</v>
      </c>
      <c r="H761" s="13">
        <v>0</v>
      </c>
      <c r="I761" s="13"/>
      <c r="J761" s="13" t="s">
        <v>4830</v>
      </c>
      <c r="K761" s="13" t="s">
        <v>4831</v>
      </c>
    </row>
    <row r="762" spans="1:11" x14ac:dyDescent="0.3">
      <c r="A762" s="13" t="s">
        <v>907</v>
      </c>
      <c r="B762" s="13" t="s">
        <v>4819</v>
      </c>
      <c r="C762" s="13" t="s">
        <v>4832</v>
      </c>
      <c r="D762" s="13"/>
      <c r="E762" s="13">
        <v>3</v>
      </c>
      <c r="F762" s="13" t="s">
        <v>4833</v>
      </c>
      <c r="G762" s="13">
        <v>410</v>
      </c>
      <c r="H762" s="13">
        <v>0</v>
      </c>
      <c r="I762" s="13"/>
      <c r="J762" s="13" t="s">
        <v>4834</v>
      </c>
      <c r="K762" s="13" t="s">
        <v>4835</v>
      </c>
    </row>
    <row r="763" spans="1:11" x14ac:dyDescent="0.3">
      <c r="A763" s="13" t="s">
        <v>907</v>
      </c>
      <c r="B763" s="13" t="s">
        <v>4819</v>
      </c>
      <c r="C763" s="13" t="s">
        <v>4836</v>
      </c>
      <c r="D763" s="13"/>
      <c r="E763" s="13">
        <v>3</v>
      </c>
      <c r="F763" s="13" t="s">
        <v>4837</v>
      </c>
      <c r="G763" s="13">
        <v>204</v>
      </c>
      <c r="H763" s="13">
        <v>0</v>
      </c>
      <c r="I763" s="13"/>
      <c r="J763" s="13" t="s">
        <v>4838</v>
      </c>
      <c r="K763" s="13" t="s">
        <v>4839</v>
      </c>
    </row>
    <row r="764" spans="1:11" x14ac:dyDescent="0.3">
      <c r="A764" s="13" t="s">
        <v>907</v>
      </c>
      <c r="B764" s="13" t="s">
        <v>4819</v>
      </c>
      <c r="C764" s="13" t="s">
        <v>4840</v>
      </c>
      <c r="D764" s="13"/>
      <c r="E764" s="13">
        <v>3</v>
      </c>
      <c r="F764" s="13" t="s">
        <v>4841</v>
      </c>
      <c r="G764" s="13">
        <v>111</v>
      </c>
      <c r="H764" s="13">
        <v>0</v>
      </c>
      <c r="I764" s="13"/>
      <c r="J764" s="13" t="s">
        <v>4842</v>
      </c>
      <c r="K764" s="13" t="s">
        <v>4843</v>
      </c>
    </row>
    <row r="765" spans="1:11" x14ac:dyDescent="0.3">
      <c r="A765" s="13" t="s">
        <v>907</v>
      </c>
      <c r="B765" s="13" t="s">
        <v>4819</v>
      </c>
      <c r="C765" s="13" t="s">
        <v>4844</v>
      </c>
      <c r="D765" s="13"/>
      <c r="E765" s="13">
        <v>3</v>
      </c>
      <c r="F765" s="13" t="s">
        <v>4845</v>
      </c>
      <c r="G765" s="13">
        <v>292</v>
      </c>
      <c r="H765" s="13">
        <v>0</v>
      </c>
      <c r="I765" s="13"/>
      <c r="J765" s="13" t="s">
        <v>4846</v>
      </c>
      <c r="K765" s="13" t="s">
        <v>4847</v>
      </c>
    </row>
    <row r="766" spans="1:11" x14ac:dyDescent="0.3">
      <c r="A766" s="13" t="s">
        <v>907</v>
      </c>
      <c r="B766" s="13" t="s">
        <v>4819</v>
      </c>
      <c r="C766" s="13" t="s">
        <v>4848</v>
      </c>
      <c r="D766" s="13" t="s">
        <v>4849</v>
      </c>
      <c r="E766" s="13">
        <v>4</v>
      </c>
      <c r="F766" s="13" t="s">
        <v>4850</v>
      </c>
      <c r="G766" s="13">
        <v>447</v>
      </c>
      <c r="H766" s="13">
        <v>0</v>
      </c>
      <c r="I766" s="13"/>
      <c r="J766" s="13" t="s">
        <v>4851</v>
      </c>
      <c r="K766" s="13" t="s">
        <v>4852</v>
      </c>
    </row>
    <row r="767" spans="1:11" x14ac:dyDescent="0.3">
      <c r="A767" s="13" t="s">
        <v>907</v>
      </c>
      <c r="B767" s="13" t="s">
        <v>4819</v>
      </c>
      <c r="C767" s="13" t="s">
        <v>4848</v>
      </c>
      <c r="D767" s="13" t="s">
        <v>4853</v>
      </c>
      <c r="E767" s="13">
        <v>4</v>
      </c>
      <c r="F767" s="13" t="s">
        <v>4854</v>
      </c>
      <c r="G767" s="13">
        <v>19</v>
      </c>
      <c r="H767" s="13">
        <v>0</v>
      </c>
      <c r="I767" s="13"/>
      <c r="J767" s="13" t="s">
        <v>4855</v>
      </c>
      <c r="K767" s="13" t="s">
        <v>4856</v>
      </c>
    </row>
    <row r="768" spans="1:11" x14ac:dyDescent="0.3">
      <c r="A768" s="13" t="s">
        <v>907</v>
      </c>
      <c r="B768" s="13" t="s">
        <v>4819</v>
      </c>
      <c r="C768" s="13" t="s">
        <v>4848</v>
      </c>
      <c r="D768" s="13" t="s">
        <v>4857</v>
      </c>
      <c r="E768" s="13">
        <v>4</v>
      </c>
      <c r="F768" s="13" t="s">
        <v>4858</v>
      </c>
      <c r="G768" s="13">
        <v>137</v>
      </c>
      <c r="H768" s="13">
        <v>0</v>
      </c>
      <c r="I768" s="13"/>
      <c r="J768" s="13" t="s">
        <v>4859</v>
      </c>
      <c r="K768" s="13" t="s">
        <v>4860</v>
      </c>
    </row>
    <row r="769" spans="1:11" x14ac:dyDescent="0.3">
      <c r="A769" s="13" t="s">
        <v>907</v>
      </c>
      <c r="B769" s="13" t="s">
        <v>4861</v>
      </c>
      <c r="C769" s="13" t="s">
        <v>4862</v>
      </c>
      <c r="D769" s="13"/>
      <c r="E769" s="13">
        <v>3</v>
      </c>
      <c r="F769" s="13" t="s">
        <v>4863</v>
      </c>
      <c r="G769" s="13">
        <v>144</v>
      </c>
      <c r="H769" s="13">
        <v>0</v>
      </c>
      <c r="I769" s="13"/>
      <c r="J769" s="13" t="s">
        <v>4864</v>
      </c>
      <c r="K769" s="13" t="s">
        <v>4865</v>
      </c>
    </row>
    <row r="770" spans="1:11" x14ac:dyDescent="0.3">
      <c r="A770" s="13" t="s">
        <v>907</v>
      </c>
      <c r="B770" s="13" t="s">
        <v>4861</v>
      </c>
      <c r="C770" s="13" t="s">
        <v>4866</v>
      </c>
      <c r="D770" s="13"/>
      <c r="E770" s="13">
        <v>3</v>
      </c>
      <c r="F770" s="13" t="s">
        <v>4867</v>
      </c>
      <c r="G770" s="13">
        <v>143</v>
      </c>
      <c r="H770" s="13">
        <v>0</v>
      </c>
      <c r="I770" s="13"/>
      <c r="J770" s="13" t="s">
        <v>4868</v>
      </c>
      <c r="K770" s="13" t="s">
        <v>4869</v>
      </c>
    </row>
    <row r="771" spans="1:11" x14ac:dyDescent="0.3">
      <c r="A771" s="13" t="s">
        <v>907</v>
      </c>
      <c r="B771" s="13" t="s">
        <v>4861</v>
      </c>
      <c r="C771" s="13" t="s">
        <v>4870</v>
      </c>
      <c r="D771" s="13"/>
      <c r="E771" s="13">
        <v>3</v>
      </c>
      <c r="F771" s="13" t="s">
        <v>4871</v>
      </c>
      <c r="G771" s="13">
        <v>6</v>
      </c>
      <c r="H771" s="13">
        <v>0</v>
      </c>
      <c r="I771" s="13"/>
      <c r="J771" s="13" t="s">
        <v>4872</v>
      </c>
      <c r="K771" s="13" t="s">
        <v>4873</v>
      </c>
    </row>
    <row r="772" spans="1:11" x14ac:dyDescent="0.3">
      <c r="A772" s="13" t="s">
        <v>907</v>
      </c>
      <c r="B772" s="13" t="s">
        <v>4861</v>
      </c>
      <c r="C772" s="13" t="s">
        <v>4874</v>
      </c>
      <c r="D772" s="13"/>
      <c r="E772" s="13">
        <v>3</v>
      </c>
      <c r="F772" s="13" t="s">
        <v>4875</v>
      </c>
      <c r="G772" s="13">
        <v>112</v>
      </c>
      <c r="H772" s="13">
        <v>0</v>
      </c>
      <c r="I772" s="13"/>
      <c r="J772" s="13" t="s">
        <v>4876</v>
      </c>
      <c r="K772" s="13" t="s">
        <v>4877</v>
      </c>
    </row>
    <row r="773" spans="1:11" x14ac:dyDescent="0.3">
      <c r="A773" s="13" t="s">
        <v>907</v>
      </c>
      <c r="B773" s="13" t="s">
        <v>4861</v>
      </c>
      <c r="C773" s="13" t="s">
        <v>4878</v>
      </c>
      <c r="D773" s="13"/>
      <c r="E773" s="13">
        <v>3</v>
      </c>
      <c r="F773" s="13" t="s">
        <v>4879</v>
      </c>
      <c r="G773" s="13">
        <v>62</v>
      </c>
      <c r="H773" s="13">
        <v>0</v>
      </c>
      <c r="I773" s="13"/>
      <c r="J773" s="13" t="s">
        <v>4880</v>
      </c>
      <c r="K773" s="13" t="s">
        <v>4881</v>
      </c>
    </row>
    <row r="774" spans="1:11" x14ac:dyDescent="0.3">
      <c r="A774" s="13" t="s">
        <v>907</v>
      </c>
      <c r="B774" s="13" t="s">
        <v>4861</v>
      </c>
      <c r="C774" s="13" t="s">
        <v>4882</v>
      </c>
      <c r="D774" s="13"/>
      <c r="E774" s="13">
        <v>3</v>
      </c>
      <c r="F774" s="13" t="s">
        <v>4883</v>
      </c>
      <c r="G774" s="13">
        <v>144</v>
      </c>
      <c r="H774" s="13">
        <v>0</v>
      </c>
      <c r="I774" s="13"/>
      <c r="J774" s="13" t="s">
        <v>4884</v>
      </c>
      <c r="K774" s="13" t="s">
        <v>4885</v>
      </c>
    </row>
    <row r="775" spans="1:11" x14ac:dyDescent="0.3">
      <c r="A775" s="13" t="s">
        <v>907</v>
      </c>
      <c r="B775" s="13" t="s">
        <v>1026</v>
      </c>
      <c r="C775" s="13" t="s">
        <v>4886</v>
      </c>
      <c r="D775" s="13"/>
      <c r="E775" s="13">
        <v>3</v>
      </c>
      <c r="F775" s="13" t="s">
        <v>4887</v>
      </c>
      <c r="G775" s="13">
        <v>85</v>
      </c>
      <c r="H775" s="13">
        <v>50</v>
      </c>
      <c r="I775" s="13"/>
      <c r="J775" s="13" t="s">
        <v>4888</v>
      </c>
      <c r="K775" s="13" t="s">
        <v>4889</v>
      </c>
    </row>
    <row r="776" spans="1:11" x14ac:dyDescent="0.3">
      <c r="A776" s="13" t="s">
        <v>907</v>
      </c>
      <c r="B776" s="13" t="s">
        <v>1026</v>
      </c>
      <c r="C776" s="13" t="s">
        <v>4890</v>
      </c>
      <c r="D776" s="13"/>
      <c r="E776" s="13">
        <v>3</v>
      </c>
      <c r="F776" s="13" t="s">
        <v>4891</v>
      </c>
      <c r="G776" s="13">
        <v>427</v>
      </c>
      <c r="H776" s="13">
        <v>400</v>
      </c>
      <c r="I776" s="13"/>
      <c r="J776" s="13" t="s">
        <v>4892</v>
      </c>
      <c r="K776" s="13" t="s">
        <v>4893</v>
      </c>
    </row>
    <row r="777" spans="1:11" x14ac:dyDescent="0.3">
      <c r="A777" s="13" t="s">
        <v>907</v>
      </c>
      <c r="B777" s="13" t="s">
        <v>1026</v>
      </c>
      <c r="C777" s="13" t="s">
        <v>1027</v>
      </c>
      <c r="D777" s="13"/>
      <c r="E777" s="13">
        <v>3</v>
      </c>
      <c r="F777" s="13" t="s">
        <v>296</v>
      </c>
      <c r="G777" s="13">
        <v>148</v>
      </c>
      <c r="H777" s="13">
        <v>103</v>
      </c>
      <c r="I777" s="3" t="s">
        <v>770</v>
      </c>
      <c r="J777" s="13" t="s">
        <v>295</v>
      </c>
      <c r="K777" s="13" t="s">
        <v>304</v>
      </c>
    </row>
    <row r="778" spans="1:11" x14ac:dyDescent="0.3">
      <c r="A778" s="13" t="s">
        <v>907</v>
      </c>
      <c r="B778" s="13" t="s">
        <v>1188</v>
      </c>
      <c r="C778" s="13"/>
      <c r="D778" s="13"/>
      <c r="E778" s="13">
        <v>2</v>
      </c>
      <c r="F778" s="13" t="s">
        <v>777</v>
      </c>
      <c r="G778" s="13">
        <v>11493</v>
      </c>
      <c r="H778" s="13">
        <v>9862</v>
      </c>
      <c r="I778" s="3" t="s">
        <v>775</v>
      </c>
      <c r="J778" s="13" t="s">
        <v>776</v>
      </c>
      <c r="K778" s="13" t="s">
        <v>4894</v>
      </c>
    </row>
    <row r="779" spans="1:11" x14ac:dyDescent="0.3">
      <c r="A779" s="13" t="s">
        <v>907</v>
      </c>
      <c r="B779" s="13" t="s">
        <v>4895</v>
      </c>
      <c r="C779" s="13" t="s">
        <v>4896</v>
      </c>
      <c r="D779" s="13"/>
      <c r="E779" s="13">
        <v>3</v>
      </c>
      <c r="F779" s="13" t="s">
        <v>4897</v>
      </c>
      <c r="G779" s="13">
        <v>31</v>
      </c>
      <c r="H779" s="13">
        <v>0</v>
      </c>
      <c r="I779" s="13"/>
      <c r="J779" s="13" t="s">
        <v>4898</v>
      </c>
      <c r="K779" s="13" t="s">
        <v>4899</v>
      </c>
    </row>
    <row r="780" spans="1:11" x14ac:dyDescent="0.3">
      <c r="A780" s="13" t="s">
        <v>907</v>
      </c>
      <c r="B780" s="13" t="s">
        <v>4895</v>
      </c>
      <c r="C780" s="13" t="s">
        <v>4900</v>
      </c>
      <c r="D780" s="13"/>
      <c r="E780" s="13">
        <v>3</v>
      </c>
      <c r="F780" s="13" t="s">
        <v>4901</v>
      </c>
      <c r="G780" s="13">
        <v>135</v>
      </c>
      <c r="H780" s="13">
        <v>0</v>
      </c>
      <c r="I780" s="13"/>
      <c r="J780" s="13" t="s">
        <v>4902</v>
      </c>
      <c r="K780" s="13" t="s">
        <v>4903</v>
      </c>
    </row>
    <row r="781" spans="1:11" x14ac:dyDescent="0.3">
      <c r="A781" s="13" t="s">
        <v>907</v>
      </c>
      <c r="B781" s="13" t="s">
        <v>960</v>
      </c>
      <c r="C781" s="13" t="s">
        <v>961</v>
      </c>
      <c r="D781" s="13"/>
      <c r="E781" s="13">
        <v>3</v>
      </c>
      <c r="F781" s="13" t="s">
        <v>329</v>
      </c>
      <c r="G781" s="13">
        <v>253</v>
      </c>
      <c r="H781" s="13">
        <v>0</v>
      </c>
      <c r="I781" s="3" t="s">
        <v>787</v>
      </c>
      <c r="J781" s="13" t="s">
        <v>328</v>
      </c>
      <c r="K781" s="13" t="s">
        <v>337</v>
      </c>
    </row>
    <row r="782" spans="1:11" x14ac:dyDescent="0.3">
      <c r="A782" s="13" t="s">
        <v>907</v>
      </c>
      <c r="B782" s="13" t="s">
        <v>960</v>
      </c>
      <c r="C782" s="13" t="s">
        <v>4904</v>
      </c>
      <c r="D782" s="13"/>
      <c r="E782" s="13">
        <v>3</v>
      </c>
      <c r="F782" s="13" t="s">
        <v>4905</v>
      </c>
      <c r="G782" s="13">
        <v>529</v>
      </c>
      <c r="H782" s="13">
        <v>0</v>
      </c>
      <c r="I782" s="13"/>
      <c r="J782" s="13" t="s">
        <v>4906</v>
      </c>
      <c r="K782" s="13" t="s">
        <v>4907</v>
      </c>
    </row>
    <row r="783" spans="1:11" x14ac:dyDescent="0.3">
      <c r="A783" s="13" t="s">
        <v>907</v>
      </c>
      <c r="B783" s="13" t="s">
        <v>4908</v>
      </c>
      <c r="C783" s="13" t="s">
        <v>4909</v>
      </c>
      <c r="D783" s="13"/>
      <c r="E783" s="13">
        <v>3</v>
      </c>
      <c r="F783" s="13" t="s">
        <v>4910</v>
      </c>
      <c r="G783" s="13">
        <v>124</v>
      </c>
      <c r="H783" s="13">
        <v>0</v>
      </c>
      <c r="I783" s="13"/>
      <c r="J783" s="13" t="s">
        <v>4911</v>
      </c>
      <c r="K783" s="13" t="s">
        <v>4912</v>
      </c>
    </row>
    <row r="784" spans="1:11" x14ac:dyDescent="0.3">
      <c r="A784" s="13" t="s">
        <v>907</v>
      </c>
      <c r="B784" s="13" t="s">
        <v>4908</v>
      </c>
      <c r="C784" s="13" t="s">
        <v>4913</v>
      </c>
      <c r="D784" s="13"/>
      <c r="E784" s="13">
        <v>3</v>
      </c>
      <c r="F784" s="13" t="s">
        <v>4914</v>
      </c>
      <c r="G784" s="13">
        <v>15</v>
      </c>
      <c r="H784" s="13">
        <v>0</v>
      </c>
      <c r="I784" s="13"/>
      <c r="J784" s="13" t="s">
        <v>4915</v>
      </c>
      <c r="K784" s="13" t="s">
        <v>4916</v>
      </c>
    </row>
    <row r="785" spans="1:11" x14ac:dyDescent="0.3">
      <c r="A785" s="13" t="s">
        <v>907</v>
      </c>
      <c r="B785" s="13" t="s">
        <v>4908</v>
      </c>
      <c r="C785" s="13" t="s">
        <v>4917</v>
      </c>
      <c r="D785" s="13"/>
      <c r="E785" s="13">
        <v>3</v>
      </c>
      <c r="F785" s="13" t="s">
        <v>4918</v>
      </c>
      <c r="G785" s="13">
        <v>340</v>
      </c>
      <c r="H785" s="13">
        <v>0</v>
      </c>
      <c r="I785" s="13"/>
      <c r="J785" s="13" t="s">
        <v>4919</v>
      </c>
      <c r="K785" s="13" t="s">
        <v>4920</v>
      </c>
    </row>
    <row r="786" spans="1:11" x14ac:dyDescent="0.3">
      <c r="A786" s="13" t="s">
        <v>907</v>
      </c>
      <c r="B786" s="13" t="s">
        <v>4908</v>
      </c>
      <c r="C786" s="13" t="s">
        <v>4921</v>
      </c>
      <c r="D786" s="13"/>
      <c r="E786" s="13">
        <v>3</v>
      </c>
      <c r="F786" s="13" t="s">
        <v>4922</v>
      </c>
      <c r="G786" s="13">
        <v>143</v>
      </c>
      <c r="H786" s="13">
        <v>0</v>
      </c>
      <c r="I786" s="13"/>
      <c r="J786" s="13" t="s">
        <v>4923</v>
      </c>
      <c r="K786" s="13" t="s">
        <v>4924</v>
      </c>
    </row>
    <row r="787" spans="1:11" x14ac:dyDescent="0.3">
      <c r="A787" s="13" t="s">
        <v>907</v>
      </c>
      <c r="B787" s="13" t="s">
        <v>4908</v>
      </c>
      <c r="C787" s="13" t="s">
        <v>4925</v>
      </c>
      <c r="D787" s="13"/>
      <c r="E787" s="13">
        <v>3</v>
      </c>
      <c r="F787" s="13" t="s">
        <v>4926</v>
      </c>
      <c r="G787" s="13">
        <v>18</v>
      </c>
      <c r="H787" s="13">
        <v>0</v>
      </c>
      <c r="I787" s="13"/>
      <c r="J787" s="13" t="s">
        <v>4927</v>
      </c>
      <c r="K787" s="13" t="s">
        <v>4928</v>
      </c>
    </row>
    <row r="788" spans="1:11" x14ac:dyDescent="0.3">
      <c r="A788" s="13" t="s">
        <v>907</v>
      </c>
      <c r="B788" s="13" t="s">
        <v>4908</v>
      </c>
      <c r="C788" s="13" t="s">
        <v>4929</v>
      </c>
      <c r="D788" s="13"/>
      <c r="E788" s="13">
        <v>3</v>
      </c>
      <c r="F788" s="13" t="s">
        <v>4930</v>
      </c>
      <c r="G788" s="13">
        <v>97</v>
      </c>
      <c r="H788" s="13">
        <v>0</v>
      </c>
      <c r="I788" s="13"/>
      <c r="J788" s="13" t="s">
        <v>4931</v>
      </c>
      <c r="K788" s="13" t="s">
        <v>4932</v>
      </c>
    </row>
    <row r="789" spans="1:11" x14ac:dyDescent="0.3">
      <c r="A789" s="13" t="s">
        <v>907</v>
      </c>
      <c r="B789" s="13" t="s">
        <v>4933</v>
      </c>
      <c r="C789" s="13" t="s">
        <v>4934</v>
      </c>
      <c r="D789" s="13"/>
      <c r="E789" s="13">
        <v>3</v>
      </c>
      <c r="F789" s="13" t="s">
        <v>4935</v>
      </c>
      <c r="G789" s="13">
        <v>74</v>
      </c>
      <c r="H789" s="13">
        <v>0</v>
      </c>
      <c r="I789" s="13"/>
      <c r="J789" s="13" t="s">
        <v>4936</v>
      </c>
      <c r="K789" s="13" t="s">
        <v>4937</v>
      </c>
    </row>
    <row r="790" spans="1:11" x14ac:dyDescent="0.3">
      <c r="A790" s="13" t="s">
        <v>907</v>
      </c>
      <c r="B790" s="13" t="s">
        <v>4933</v>
      </c>
      <c r="C790" s="13" t="s">
        <v>4938</v>
      </c>
      <c r="D790" s="13"/>
      <c r="E790" s="13">
        <v>3</v>
      </c>
      <c r="F790" s="13" t="s">
        <v>4939</v>
      </c>
      <c r="G790" s="13">
        <v>77</v>
      </c>
      <c r="H790" s="13">
        <v>0</v>
      </c>
      <c r="I790" s="13"/>
      <c r="J790" s="13" t="s">
        <v>4940</v>
      </c>
      <c r="K790" s="13" t="s">
        <v>4941</v>
      </c>
    </row>
    <row r="791" spans="1:11" x14ac:dyDescent="0.3">
      <c r="A791" s="13" t="s">
        <v>907</v>
      </c>
      <c r="B791" s="13" t="s">
        <v>4933</v>
      </c>
      <c r="C791" s="13" t="s">
        <v>4942</v>
      </c>
      <c r="D791" s="13"/>
      <c r="E791" s="13">
        <v>3</v>
      </c>
      <c r="F791" s="13" t="s">
        <v>4943</v>
      </c>
      <c r="G791" s="13">
        <v>134</v>
      </c>
      <c r="H791" s="13">
        <v>0</v>
      </c>
      <c r="I791" s="13"/>
      <c r="J791" s="13" t="s">
        <v>4944</v>
      </c>
      <c r="K791" s="13" t="s">
        <v>4945</v>
      </c>
    </row>
    <row r="792" spans="1:11" x14ac:dyDescent="0.3">
      <c r="A792" s="13" t="s">
        <v>907</v>
      </c>
      <c r="B792" s="13" t="s">
        <v>4946</v>
      </c>
      <c r="C792" s="13"/>
      <c r="D792" s="13"/>
      <c r="E792" s="13">
        <v>2</v>
      </c>
      <c r="F792" s="13" t="s">
        <v>4947</v>
      </c>
      <c r="G792" s="13">
        <v>196</v>
      </c>
      <c r="H792" s="13">
        <v>0</v>
      </c>
      <c r="I792" s="13"/>
      <c r="J792" s="13" t="s">
        <v>4948</v>
      </c>
      <c r="K792" s="13" t="s">
        <v>4949</v>
      </c>
    </row>
    <row r="793" spans="1:11" x14ac:dyDescent="0.3">
      <c r="A793" s="13" t="s">
        <v>907</v>
      </c>
      <c r="B793" s="13" t="s">
        <v>4950</v>
      </c>
      <c r="C793" s="13"/>
      <c r="D793" s="13"/>
      <c r="E793" s="13">
        <v>2</v>
      </c>
      <c r="F793" s="13" t="s">
        <v>4951</v>
      </c>
      <c r="G793" s="13">
        <v>200</v>
      </c>
      <c r="H793" s="13">
        <v>0</v>
      </c>
      <c r="I793" s="13"/>
      <c r="J793" s="13" t="s">
        <v>4952</v>
      </c>
      <c r="K793" s="13" t="s">
        <v>4953</v>
      </c>
    </row>
    <row r="794" spans="1:11" x14ac:dyDescent="0.3">
      <c r="A794" s="13" t="s">
        <v>907</v>
      </c>
      <c r="B794" s="13" t="s">
        <v>4954</v>
      </c>
      <c r="C794" s="13" t="s">
        <v>4955</v>
      </c>
      <c r="D794" s="13"/>
      <c r="E794" s="13">
        <v>3</v>
      </c>
      <c r="F794" s="13" t="s">
        <v>4956</v>
      </c>
      <c r="G794" s="13">
        <v>11</v>
      </c>
      <c r="H794" s="13">
        <v>0</v>
      </c>
      <c r="I794" s="13"/>
      <c r="J794" s="13" t="s">
        <v>4957</v>
      </c>
      <c r="K794" s="13" t="s">
        <v>4958</v>
      </c>
    </row>
    <row r="795" spans="1:11" x14ac:dyDescent="0.3">
      <c r="A795" s="13" t="s">
        <v>907</v>
      </c>
      <c r="B795" s="13" t="s">
        <v>4954</v>
      </c>
      <c r="C795" s="13" t="s">
        <v>4959</v>
      </c>
      <c r="D795" s="13"/>
      <c r="E795" s="13">
        <v>3</v>
      </c>
      <c r="F795" s="13" t="s">
        <v>4960</v>
      </c>
      <c r="G795" s="13">
        <v>186</v>
      </c>
      <c r="H795" s="13">
        <v>0</v>
      </c>
      <c r="I795" s="13"/>
      <c r="J795" s="13" t="s">
        <v>4961</v>
      </c>
      <c r="K795" s="13" t="s">
        <v>4962</v>
      </c>
    </row>
    <row r="796" spans="1:11" x14ac:dyDescent="0.3">
      <c r="A796" s="13" t="s">
        <v>907</v>
      </c>
      <c r="B796" s="13" t="s">
        <v>4954</v>
      </c>
      <c r="C796" s="13" t="s">
        <v>4963</v>
      </c>
      <c r="D796" s="13"/>
      <c r="E796" s="13">
        <v>3</v>
      </c>
      <c r="F796" s="13" t="s">
        <v>4964</v>
      </c>
      <c r="G796" s="13">
        <v>68</v>
      </c>
      <c r="H796" s="13">
        <v>0</v>
      </c>
      <c r="I796" s="13"/>
      <c r="J796" s="13" t="s">
        <v>4965</v>
      </c>
      <c r="K796" s="13" t="s">
        <v>4966</v>
      </c>
    </row>
    <row r="797" spans="1:11" x14ac:dyDescent="0.3">
      <c r="A797" s="13" t="s">
        <v>907</v>
      </c>
      <c r="B797" s="13" t="s">
        <v>950</v>
      </c>
      <c r="C797" s="13" t="s">
        <v>951</v>
      </c>
      <c r="D797" s="13"/>
      <c r="E797" s="13">
        <v>3</v>
      </c>
      <c r="F797" s="13" t="s">
        <v>226</v>
      </c>
      <c r="G797" s="13">
        <v>95</v>
      </c>
      <c r="H797" s="13">
        <v>0</v>
      </c>
      <c r="I797" s="3" t="s">
        <v>949</v>
      </c>
      <c r="J797" s="13" t="s">
        <v>57</v>
      </c>
      <c r="K797" s="13" t="s">
        <v>232</v>
      </c>
    </row>
    <row r="798" spans="1:11" x14ac:dyDescent="0.3">
      <c r="A798" s="13" t="s">
        <v>907</v>
      </c>
      <c r="B798" s="13" t="s">
        <v>950</v>
      </c>
      <c r="C798" s="13" t="s">
        <v>1033</v>
      </c>
      <c r="D798" s="13"/>
      <c r="E798" s="13">
        <v>3</v>
      </c>
      <c r="F798" s="13" t="s">
        <v>803</v>
      </c>
      <c r="G798" s="13">
        <v>660</v>
      </c>
      <c r="H798" s="13">
        <v>0</v>
      </c>
      <c r="I798" s="3" t="s">
        <v>801</v>
      </c>
      <c r="J798" s="13" t="s">
        <v>802</v>
      </c>
      <c r="K798" s="13" t="s">
        <v>4967</v>
      </c>
    </row>
    <row r="799" spans="1:11" x14ac:dyDescent="0.3">
      <c r="A799" s="13" t="s">
        <v>907</v>
      </c>
      <c r="B799" s="13" t="s">
        <v>950</v>
      </c>
      <c r="C799" s="13" t="s">
        <v>4968</v>
      </c>
      <c r="D799" s="13"/>
      <c r="E799" s="13">
        <v>3</v>
      </c>
      <c r="F799" s="13" t="s">
        <v>4969</v>
      </c>
      <c r="G799" s="13">
        <v>428</v>
      </c>
      <c r="H799" s="13">
        <v>0</v>
      </c>
      <c r="I799" s="13"/>
      <c r="J799" s="13" t="s">
        <v>4970</v>
      </c>
      <c r="K799" s="13" t="s">
        <v>4971</v>
      </c>
    </row>
    <row r="800" spans="1:11" x14ac:dyDescent="0.3">
      <c r="A800" s="13" t="s">
        <v>907</v>
      </c>
      <c r="B800" s="13" t="s">
        <v>950</v>
      </c>
      <c r="C800" s="13" t="s">
        <v>4972</v>
      </c>
      <c r="D800" s="13"/>
      <c r="E800" s="13">
        <v>3</v>
      </c>
      <c r="F800" s="13" t="s">
        <v>4973</v>
      </c>
      <c r="G800" s="13">
        <v>89</v>
      </c>
      <c r="H800" s="13">
        <v>0</v>
      </c>
      <c r="I800" s="13"/>
      <c r="J800" s="13" t="s">
        <v>4974</v>
      </c>
      <c r="K800" s="13" t="s">
        <v>4975</v>
      </c>
    </row>
    <row r="801" spans="1:11" x14ac:dyDescent="0.3">
      <c r="A801" s="13" t="s">
        <v>907</v>
      </c>
      <c r="B801" s="13" t="s">
        <v>968</v>
      </c>
      <c r="C801" s="13" t="s">
        <v>4976</v>
      </c>
      <c r="D801" s="13"/>
      <c r="E801" s="13">
        <v>3</v>
      </c>
      <c r="F801" s="13" t="s">
        <v>4977</v>
      </c>
      <c r="G801" s="13">
        <v>36</v>
      </c>
      <c r="H801" s="13">
        <v>0</v>
      </c>
      <c r="I801" s="13"/>
      <c r="J801" s="13" t="s">
        <v>4978</v>
      </c>
      <c r="K801" s="13" t="s">
        <v>4979</v>
      </c>
    </row>
    <row r="802" spans="1:11" x14ac:dyDescent="0.3">
      <c r="A802" s="13" t="s">
        <v>907</v>
      </c>
      <c r="B802" s="13" t="s">
        <v>968</v>
      </c>
      <c r="C802" s="13" t="s">
        <v>4980</v>
      </c>
      <c r="D802" s="13"/>
      <c r="E802" s="13">
        <v>3</v>
      </c>
      <c r="F802" s="13" t="s">
        <v>4981</v>
      </c>
      <c r="G802" s="13">
        <v>185</v>
      </c>
      <c r="H802" s="13">
        <v>0</v>
      </c>
      <c r="I802" s="13"/>
      <c r="J802" s="13" t="s">
        <v>4982</v>
      </c>
      <c r="K802" s="13" t="s">
        <v>4983</v>
      </c>
    </row>
    <row r="803" spans="1:11" x14ac:dyDescent="0.3">
      <c r="A803" s="13" t="s">
        <v>907</v>
      </c>
      <c r="B803" s="13" t="s">
        <v>968</v>
      </c>
      <c r="C803" s="13" t="s">
        <v>1167</v>
      </c>
      <c r="D803" s="13"/>
      <c r="E803" s="13">
        <v>3</v>
      </c>
      <c r="F803" s="13" t="s">
        <v>1168</v>
      </c>
      <c r="G803" s="13">
        <v>42</v>
      </c>
      <c r="H803" s="13">
        <v>0</v>
      </c>
      <c r="I803" s="3" t="s">
        <v>1165</v>
      </c>
      <c r="J803" s="13" t="s">
        <v>1166</v>
      </c>
      <c r="K803" s="13" t="s">
        <v>4984</v>
      </c>
    </row>
    <row r="804" spans="1:11" x14ac:dyDescent="0.3">
      <c r="A804" s="13" t="s">
        <v>907</v>
      </c>
      <c r="B804" s="13" t="s">
        <v>968</v>
      </c>
      <c r="C804" s="13" t="s">
        <v>4985</v>
      </c>
      <c r="D804" s="13" t="s">
        <v>4986</v>
      </c>
      <c r="E804" s="13">
        <v>4</v>
      </c>
      <c r="F804" s="13" t="s">
        <v>4987</v>
      </c>
      <c r="G804" s="13">
        <v>99</v>
      </c>
      <c r="H804" s="13">
        <v>0</v>
      </c>
      <c r="I804" s="13"/>
      <c r="J804" s="13" t="s">
        <v>4988</v>
      </c>
      <c r="K804" s="13" t="s">
        <v>4989</v>
      </c>
    </row>
    <row r="805" spans="1:11" x14ac:dyDescent="0.3">
      <c r="A805" s="13" t="s">
        <v>907</v>
      </c>
      <c r="B805" s="13" t="s">
        <v>968</v>
      </c>
      <c r="C805" s="13" t="s">
        <v>4985</v>
      </c>
      <c r="D805" s="13" t="s">
        <v>4990</v>
      </c>
      <c r="E805" s="13">
        <v>4</v>
      </c>
      <c r="F805" s="13" t="s">
        <v>4991</v>
      </c>
      <c r="G805" s="13">
        <v>165</v>
      </c>
      <c r="H805" s="13">
        <v>0</v>
      </c>
      <c r="I805" s="13"/>
      <c r="J805" s="13" t="s">
        <v>4992</v>
      </c>
      <c r="K805" s="13" t="s">
        <v>4993</v>
      </c>
    </row>
    <row r="806" spans="1:11" x14ac:dyDescent="0.3">
      <c r="A806" s="13" t="s">
        <v>907</v>
      </c>
      <c r="B806" s="13" t="s">
        <v>968</v>
      </c>
      <c r="C806" s="13" t="s">
        <v>4985</v>
      </c>
      <c r="D806" s="13" t="s">
        <v>4994</v>
      </c>
      <c r="E806" s="13">
        <v>4</v>
      </c>
      <c r="F806" s="13" t="s">
        <v>4995</v>
      </c>
      <c r="G806" s="13">
        <v>17</v>
      </c>
      <c r="H806" s="13">
        <v>0</v>
      </c>
      <c r="I806" s="13"/>
      <c r="J806" s="13" t="s">
        <v>4996</v>
      </c>
      <c r="K806" s="13" t="s">
        <v>4997</v>
      </c>
    </row>
    <row r="807" spans="1:11" x14ac:dyDescent="0.3">
      <c r="A807" s="13" t="s">
        <v>907</v>
      </c>
      <c r="B807" s="13" t="s">
        <v>968</v>
      </c>
      <c r="C807" s="13" t="s">
        <v>969</v>
      </c>
      <c r="D807" s="13" t="s">
        <v>970</v>
      </c>
      <c r="E807" s="13">
        <v>4</v>
      </c>
      <c r="F807" s="13" t="s">
        <v>794</v>
      </c>
      <c r="G807" s="13">
        <v>32</v>
      </c>
      <c r="H807" s="13">
        <v>0</v>
      </c>
      <c r="I807" s="3" t="s">
        <v>792</v>
      </c>
      <c r="J807" s="13" t="s">
        <v>793</v>
      </c>
      <c r="K807" s="13" t="s">
        <v>4998</v>
      </c>
    </row>
    <row r="808" spans="1:11" x14ac:dyDescent="0.3">
      <c r="A808" s="13" t="s">
        <v>907</v>
      </c>
      <c r="B808" s="13" t="s">
        <v>968</v>
      </c>
      <c r="C808" s="13" t="s">
        <v>969</v>
      </c>
      <c r="D808" s="13" t="s">
        <v>4999</v>
      </c>
      <c r="E808" s="13">
        <v>4</v>
      </c>
      <c r="F808" s="13" t="s">
        <v>5000</v>
      </c>
      <c r="G808" s="13">
        <v>100</v>
      </c>
      <c r="H808" s="13">
        <v>0</v>
      </c>
      <c r="I808" s="13"/>
      <c r="J808" s="13" t="s">
        <v>5001</v>
      </c>
      <c r="K808" s="13" t="s">
        <v>5002</v>
      </c>
    </row>
    <row r="809" spans="1:11" x14ac:dyDescent="0.3">
      <c r="A809" s="13" t="s">
        <v>907</v>
      </c>
      <c r="B809" s="13" t="s">
        <v>968</v>
      </c>
      <c r="C809" s="13" t="s">
        <v>969</v>
      </c>
      <c r="D809" s="13" t="s">
        <v>5003</v>
      </c>
      <c r="E809" s="13">
        <v>4</v>
      </c>
      <c r="F809" s="13" t="s">
        <v>5004</v>
      </c>
      <c r="G809" s="13">
        <v>22</v>
      </c>
      <c r="H809" s="13">
        <v>0</v>
      </c>
      <c r="I809" s="13"/>
      <c r="J809" s="13" t="s">
        <v>5005</v>
      </c>
      <c r="K809" s="13" t="s">
        <v>5006</v>
      </c>
    </row>
    <row r="810" spans="1:11" x14ac:dyDescent="0.3">
      <c r="A810" s="13" t="s">
        <v>907</v>
      </c>
      <c r="B810" s="13" t="s">
        <v>968</v>
      </c>
      <c r="C810" s="13" t="s">
        <v>969</v>
      </c>
      <c r="D810" s="13" t="s">
        <v>5007</v>
      </c>
      <c r="E810" s="13">
        <v>4</v>
      </c>
      <c r="F810" s="13" t="s">
        <v>5008</v>
      </c>
      <c r="G810" s="13">
        <v>52</v>
      </c>
      <c r="H810" s="13">
        <v>0</v>
      </c>
      <c r="I810" s="13"/>
      <c r="J810" s="13" t="s">
        <v>5009</v>
      </c>
      <c r="K810" s="13" t="s">
        <v>5010</v>
      </c>
    </row>
    <row r="811" spans="1:11" x14ac:dyDescent="0.3">
      <c r="A811" s="13" t="s">
        <v>907</v>
      </c>
      <c r="B811" s="13" t="s">
        <v>968</v>
      </c>
      <c r="C811" s="13" t="s">
        <v>969</v>
      </c>
      <c r="D811" s="13" t="s">
        <v>5011</v>
      </c>
      <c r="E811" s="13">
        <v>4</v>
      </c>
      <c r="F811" s="13" t="s">
        <v>5012</v>
      </c>
      <c r="G811" s="13">
        <v>26</v>
      </c>
      <c r="H811" s="13">
        <v>0</v>
      </c>
      <c r="I811" s="13"/>
      <c r="J811" s="13" t="s">
        <v>5013</v>
      </c>
      <c r="K811" s="13" t="s">
        <v>5014</v>
      </c>
    </row>
    <row r="812" spans="1:11" x14ac:dyDescent="0.3">
      <c r="A812" s="13" t="s">
        <v>907</v>
      </c>
      <c r="B812" s="13" t="s">
        <v>968</v>
      </c>
      <c r="C812" s="13" t="s">
        <v>969</v>
      </c>
      <c r="D812" s="13" t="s">
        <v>5015</v>
      </c>
      <c r="E812" s="13">
        <v>4</v>
      </c>
      <c r="F812" s="13" t="s">
        <v>5016</v>
      </c>
      <c r="G812" s="13">
        <v>149</v>
      </c>
      <c r="H812" s="13">
        <v>0</v>
      </c>
      <c r="I812" s="13"/>
      <c r="J812" s="13" t="s">
        <v>5017</v>
      </c>
      <c r="K812" s="13" t="s">
        <v>5018</v>
      </c>
    </row>
    <row r="813" spans="1:11" x14ac:dyDescent="0.3">
      <c r="A813" s="13" t="s">
        <v>907</v>
      </c>
      <c r="B813" s="13" t="s">
        <v>968</v>
      </c>
      <c r="C813" s="13" t="s">
        <v>969</v>
      </c>
      <c r="D813" s="13" t="s">
        <v>5019</v>
      </c>
      <c r="E813" s="13">
        <v>4</v>
      </c>
      <c r="F813" s="13" t="s">
        <v>5020</v>
      </c>
      <c r="G813" s="13">
        <v>45</v>
      </c>
      <c r="H813" s="13">
        <v>0</v>
      </c>
      <c r="I813" s="13"/>
      <c r="J813" s="13" t="s">
        <v>5021</v>
      </c>
      <c r="K813" s="13" t="s">
        <v>5022</v>
      </c>
    </row>
    <row r="814" spans="1:11" x14ac:dyDescent="0.3">
      <c r="A814" s="13" t="s">
        <v>907</v>
      </c>
      <c r="B814" s="13" t="s">
        <v>968</v>
      </c>
      <c r="C814" s="13" t="s">
        <v>969</v>
      </c>
      <c r="D814" s="13" t="s">
        <v>5023</v>
      </c>
      <c r="E814" s="13">
        <v>4</v>
      </c>
      <c r="F814" s="13" t="s">
        <v>5024</v>
      </c>
      <c r="G814" s="13">
        <v>271</v>
      </c>
      <c r="H814" s="13">
        <v>254</v>
      </c>
      <c r="I814" s="13"/>
      <c r="J814" s="13" t="s">
        <v>5025</v>
      </c>
      <c r="K814" s="13" t="s">
        <v>5026</v>
      </c>
    </row>
    <row r="815" spans="1:11" x14ac:dyDescent="0.3">
      <c r="A815" s="13" t="s">
        <v>907</v>
      </c>
      <c r="B815" s="13" t="s">
        <v>968</v>
      </c>
      <c r="C815" s="13" t="s">
        <v>969</v>
      </c>
      <c r="D815" s="13" t="s">
        <v>5027</v>
      </c>
      <c r="E815" s="13">
        <v>4</v>
      </c>
      <c r="F815" s="13" t="s">
        <v>5028</v>
      </c>
      <c r="G815" s="13">
        <v>226</v>
      </c>
      <c r="H815" s="13">
        <v>0</v>
      </c>
      <c r="I815" s="13"/>
      <c r="J815" s="13" t="s">
        <v>5029</v>
      </c>
      <c r="K815" s="13" t="s">
        <v>5030</v>
      </c>
    </row>
    <row r="816" spans="1:11" x14ac:dyDescent="0.3">
      <c r="A816" s="13" t="s">
        <v>907</v>
      </c>
      <c r="B816" s="13" t="s">
        <v>968</v>
      </c>
      <c r="C816" s="13" t="s">
        <v>969</v>
      </c>
      <c r="D816" s="13" t="s">
        <v>5031</v>
      </c>
      <c r="E816" s="13">
        <v>4</v>
      </c>
      <c r="F816" s="13" t="s">
        <v>5032</v>
      </c>
      <c r="G816" s="13">
        <v>38</v>
      </c>
      <c r="H816" s="13">
        <v>0</v>
      </c>
      <c r="I816" s="13"/>
      <c r="J816" s="13" t="s">
        <v>5033</v>
      </c>
      <c r="K816" s="13" t="s">
        <v>5034</v>
      </c>
    </row>
    <row r="817" spans="1:11" x14ac:dyDescent="0.3">
      <c r="A817" s="13" t="s">
        <v>907</v>
      </c>
      <c r="B817" s="13" t="s">
        <v>968</v>
      </c>
      <c r="C817" s="13" t="s">
        <v>969</v>
      </c>
      <c r="D817" s="13" t="s">
        <v>5035</v>
      </c>
      <c r="E817" s="13">
        <v>4</v>
      </c>
      <c r="F817" s="13" t="s">
        <v>5036</v>
      </c>
      <c r="G817" s="13">
        <v>80</v>
      </c>
      <c r="H817" s="13">
        <v>0</v>
      </c>
      <c r="I817" s="13"/>
      <c r="J817" s="13" t="s">
        <v>5037</v>
      </c>
      <c r="K817" s="13" t="s">
        <v>5038</v>
      </c>
    </row>
    <row r="818" spans="1:11" x14ac:dyDescent="0.3">
      <c r="A818" s="13" t="s">
        <v>907</v>
      </c>
      <c r="B818" s="13" t="s">
        <v>968</v>
      </c>
      <c r="C818" s="13" t="s">
        <v>5039</v>
      </c>
      <c r="D818" s="13"/>
      <c r="E818" s="13">
        <v>3</v>
      </c>
      <c r="F818" s="13" t="s">
        <v>5040</v>
      </c>
      <c r="G818" s="13">
        <v>28</v>
      </c>
      <c r="H818" s="13">
        <v>0</v>
      </c>
      <c r="I818" s="13"/>
      <c r="J818" s="13" t="s">
        <v>5041</v>
      </c>
      <c r="K818" s="13" t="s">
        <v>5042</v>
      </c>
    </row>
    <row r="819" spans="1:11" x14ac:dyDescent="0.3">
      <c r="A819" s="13" t="s">
        <v>907</v>
      </c>
      <c r="B819" s="13" t="s">
        <v>931</v>
      </c>
      <c r="C819" s="13" t="s">
        <v>5043</v>
      </c>
      <c r="D819" s="13"/>
      <c r="E819" s="13">
        <v>3</v>
      </c>
      <c r="F819" s="13" t="s">
        <v>5044</v>
      </c>
      <c r="G819" s="13">
        <v>63</v>
      </c>
      <c r="H819" s="13">
        <v>0</v>
      </c>
      <c r="I819" s="13"/>
      <c r="J819" s="13" t="s">
        <v>5045</v>
      </c>
      <c r="K819" s="13" t="s">
        <v>5046</v>
      </c>
    </row>
    <row r="820" spans="1:11" x14ac:dyDescent="0.3">
      <c r="A820" s="13" t="s">
        <v>907</v>
      </c>
      <c r="B820" s="13" t="s">
        <v>931</v>
      </c>
      <c r="C820" s="13" t="s">
        <v>5047</v>
      </c>
      <c r="D820" s="13"/>
      <c r="E820" s="13">
        <v>3</v>
      </c>
      <c r="F820" s="13" t="s">
        <v>5048</v>
      </c>
      <c r="G820" s="13">
        <v>66</v>
      </c>
      <c r="H820" s="13">
        <v>0</v>
      </c>
      <c r="I820" s="13"/>
      <c r="J820" s="13" t="s">
        <v>5049</v>
      </c>
      <c r="K820" s="13" t="s">
        <v>5050</v>
      </c>
    </row>
    <row r="821" spans="1:11" x14ac:dyDescent="0.3">
      <c r="A821" s="13" t="s">
        <v>907</v>
      </c>
      <c r="B821" s="13" t="s">
        <v>931</v>
      </c>
      <c r="C821" s="13" t="s">
        <v>5051</v>
      </c>
      <c r="D821" s="13"/>
      <c r="E821" s="13">
        <v>3</v>
      </c>
      <c r="F821" s="13" t="s">
        <v>5052</v>
      </c>
      <c r="G821" s="13">
        <v>154</v>
      </c>
      <c r="H821" s="13">
        <v>0</v>
      </c>
      <c r="I821" s="13"/>
      <c r="J821" s="13" t="s">
        <v>5053</v>
      </c>
      <c r="K821" s="13" t="s">
        <v>5054</v>
      </c>
    </row>
    <row r="822" spans="1:11" x14ac:dyDescent="0.3">
      <c r="A822" s="13" t="s">
        <v>907</v>
      </c>
      <c r="B822" s="13" t="s">
        <v>931</v>
      </c>
      <c r="C822" s="13" t="s">
        <v>5055</v>
      </c>
      <c r="D822" s="13"/>
      <c r="E822" s="13">
        <v>3</v>
      </c>
      <c r="F822" s="13" t="s">
        <v>5056</v>
      </c>
      <c r="G822" s="13">
        <v>470</v>
      </c>
      <c r="H822" s="13">
        <v>0</v>
      </c>
      <c r="I822" s="13"/>
      <c r="J822" s="13" t="s">
        <v>5057</v>
      </c>
      <c r="K822" s="13" t="s">
        <v>5058</v>
      </c>
    </row>
    <row r="823" spans="1:11" x14ac:dyDescent="0.3">
      <c r="A823" s="13" t="s">
        <v>907</v>
      </c>
      <c r="B823" s="13" t="s">
        <v>931</v>
      </c>
      <c r="C823" s="13" t="s">
        <v>932</v>
      </c>
      <c r="D823" s="13" t="s">
        <v>932</v>
      </c>
      <c r="E823" s="13">
        <v>4</v>
      </c>
      <c r="F823" s="13" t="s">
        <v>5059</v>
      </c>
      <c r="G823" s="13">
        <v>26</v>
      </c>
      <c r="H823" s="13">
        <v>0</v>
      </c>
      <c r="I823" s="13"/>
      <c r="J823" s="13" t="s">
        <v>5060</v>
      </c>
      <c r="K823" s="13" t="s">
        <v>5061</v>
      </c>
    </row>
    <row r="824" spans="1:11" x14ac:dyDescent="0.3">
      <c r="A824" s="13" t="s">
        <v>907</v>
      </c>
      <c r="B824" s="13" t="s">
        <v>931</v>
      </c>
      <c r="C824" s="13" t="s">
        <v>932</v>
      </c>
      <c r="D824" s="13" t="s">
        <v>933</v>
      </c>
      <c r="E824" s="13">
        <v>4</v>
      </c>
      <c r="F824" s="13" t="s">
        <v>212</v>
      </c>
      <c r="G824" s="13">
        <v>107</v>
      </c>
      <c r="H824" s="13">
        <v>0</v>
      </c>
      <c r="I824" s="3" t="s">
        <v>930</v>
      </c>
      <c r="J824" s="13" t="s">
        <v>51</v>
      </c>
      <c r="K824" s="13" t="s">
        <v>218</v>
      </c>
    </row>
    <row r="825" spans="1:11" x14ac:dyDescent="0.3">
      <c r="A825" s="13" t="s">
        <v>907</v>
      </c>
      <c r="B825" s="13" t="s">
        <v>931</v>
      </c>
      <c r="C825" s="13" t="s">
        <v>932</v>
      </c>
      <c r="D825" s="13" t="s">
        <v>5062</v>
      </c>
      <c r="E825" s="13">
        <v>4</v>
      </c>
      <c r="F825" s="13" t="s">
        <v>5063</v>
      </c>
      <c r="G825" s="13">
        <v>69</v>
      </c>
      <c r="H825" s="13">
        <v>0</v>
      </c>
      <c r="I825" s="13"/>
      <c r="J825" s="13" t="s">
        <v>5064</v>
      </c>
      <c r="K825" s="13" t="s">
        <v>5065</v>
      </c>
    </row>
    <row r="826" spans="1:11" x14ac:dyDescent="0.3">
      <c r="A826" s="13" t="s">
        <v>907</v>
      </c>
      <c r="B826" s="13" t="s">
        <v>931</v>
      </c>
      <c r="C826" s="13" t="s">
        <v>5066</v>
      </c>
      <c r="D826" s="13"/>
      <c r="E826" s="13">
        <v>3</v>
      </c>
      <c r="F826" s="13" t="s">
        <v>5067</v>
      </c>
      <c r="G826" s="13">
        <v>376</v>
      </c>
      <c r="H826" s="13">
        <v>0</v>
      </c>
      <c r="I826" s="13"/>
      <c r="J826" s="13" t="s">
        <v>5068</v>
      </c>
      <c r="K826" s="13" t="s">
        <v>5069</v>
      </c>
    </row>
    <row r="827" spans="1:11" x14ac:dyDescent="0.3">
      <c r="A827" s="13" t="s">
        <v>907</v>
      </c>
      <c r="B827" s="13" t="s">
        <v>931</v>
      </c>
      <c r="C827" s="13" t="s">
        <v>1054</v>
      </c>
      <c r="D827" s="13"/>
      <c r="E827" s="13">
        <v>3</v>
      </c>
      <c r="F827" s="13" t="s">
        <v>1055</v>
      </c>
      <c r="G827" s="13">
        <v>1504</v>
      </c>
      <c r="H827" s="13">
        <v>0</v>
      </c>
      <c r="I827" s="3" t="s">
        <v>1052</v>
      </c>
      <c r="J827" s="13" t="s">
        <v>1053</v>
      </c>
      <c r="K827" s="13" t="s">
        <v>5070</v>
      </c>
    </row>
    <row r="828" spans="1:11" x14ac:dyDescent="0.3">
      <c r="A828" s="13" t="s">
        <v>5071</v>
      </c>
      <c r="B828" s="13" t="s">
        <v>5072</v>
      </c>
      <c r="C828" s="13"/>
      <c r="D828" s="13"/>
      <c r="E828" s="13">
        <v>2</v>
      </c>
      <c r="F828" s="13" t="s">
        <v>5073</v>
      </c>
      <c r="G828" s="13">
        <v>826</v>
      </c>
      <c r="H828" s="13">
        <v>0</v>
      </c>
      <c r="I828" s="13"/>
      <c r="J828" s="13" t="s">
        <v>5074</v>
      </c>
      <c r="K828" s="13" t="s">
        <v>5075</v>
      </c>
    </row>
    <row r="829" spans="1:11" x14ac:dyDescent="0.3">
      <c r="A829" s="13" t="s">
        <v>5071</v>
      </c>
      <c r="B829" s="13" t="s">
        <v>5076</v>
      </c>
      <c r="C829" s="13"/>
      <c r="D829" s="13"/>
      <c r="E829" s="13">
        <v>2</v>
      </c>
      <c r="F829" s="13" t="s">
        <v>5077</v>
      </c>
      <c r="G829" s="13">
        <v>634</v>
      </c>
      <c r="H829" s="13">
        <v>0</v>
      </c>
      <c r="I829" s="13"/>
      <c r="J829" s="13" t="s">
        <v>5078</v>
      </c>
      <c r="K829" s="13" t="s">
        <v>5079</v>
      </c>
    </row>
    <row r="830" spans="1:11" x14ac:dyDescent="0.3">
      <c r="A830" s="13" t="s">
        <v>5071</v>
      </c>
      <c r="B830" s="13" t="s">
        <v>5080</v>
      </c>
      <c r="C830" s="13"/>
      <c r="D830" s="13"/>
      <c r="E830" s="13">
        <v>2</v>
      </c>
      <c r="F830" s="13" t="s">
        <v>5081</v>
      </c>
      <c r="G830" s="13">
        <v>223</v>
      </c>
      <c r="H830" s="13">
        <v>0</v>
      </c>
      <c r="I830" s="13"/>
      <c r="J830" s="13" t="s">
        <v>5082</v>
      </c>
      <c r="K830" s="13" t="s">
        <v>5083</v>
      </c>
    </row>
    <row r="831" spans="1:11" x14ac:dyDescent="0.3">
      <c r="A831" s="13" t="s">
        <v>5071</v>
      </c>
      <c r="B831" s="13" t="s">
        <v>5084</v>
      </c>
      <c r="C831" s="13"/>
      <c r="D831" s="13"/>
      <c r="E831" s="13">
        <v>2</v>
      </c>
      <c r="F831" s="13" t="s">
        <v>5085</v>
      </c>
      <c r="G831" s="13">
        <v>146</v>
      </c>
      <c r="H831" s="13">
        <v>0</v>
      </c>
      <c r="I831" s="13"/>
      <c r="J831" s="13" t="s">
        <v>5086</v>
      </c>
      <c r="K831" s="13" t="s">
        <v>5087</v>
      </c>
    </row>
    <row r="832" spans="1:11" x14ac:dyDescent="0.3">
      <c r="A832" s="13" t="s">
        <v>5071</v>
      </c>
      <c r="B832" s="13" t="s">
        <v>5088</v>
      </c>
      <c r="C832" s="13"/>
      <c r="D832" s="13"/>
      <c r="E832" s="13">
        <v>2</v>
      </c>
      <c r="F832" s="13" t="s">
        <v>5089</v>
      </c>
      <c r="G832" s="13">
        <v>301</v>
      </c>
      <c r="H832" s="13">
        <v>0</v>
      </c>
      <c r="I832" s="13"/>
      <c r="J832" s="13" t="s">
        <v>5090</v>
      </c>
      <c r="K832" s="13" t="s">
        <v>5091</v>
      </c>
    </row>
    <row r="833" spans="1:11" x14ac:dyDescent="0.3">
      <c r="A833" s="13" t="s">
        <v>5071</v>
      </c>
      <c r="B833" s="13" t="s">
        <v>5092</v>
      </c>
      <c r="C833" s="13"/>
      <c r="D833" s="13"/>
      <c r="E833" s="13">
        <v>2</v>
      </c>
      <c r="F833" s="13" t="s">
        <v>5093</v>
      </c>
      <c r="G833" s="13">
        <v>62</v>
      </c>
      <c r="H833" s="13">
        <v>0</v>
      </c>
      <c r="I833" s="13"/>
      <c r="J833" s="13" t="s">
        <v>5094</v>
      </c>
      <c r="K833" s="13" t="s">
        <v>5095</v>
      </c>
    </row>
    <row r="834" spans="1:11" x14ac:dyDescent="0.3">
      <c r="A834" s="13" t="s">
        <v>5071</v>
      </c>
      <c r="B834" s="13" t="s">
        <v>5096</v>
      </c>
      <c r="C834" s="13" t="s">
        <v>5096</v>
      </c>
      <c r="D834" s="13"/>
      <c r="E834" s="13">
        <v>3</v>
      </c>
      <c r="F834" s="13" t="s">
        <v>5097</v>
      </c>
      <c r="G834" s="13">
        <v>4812</v>
      </c>
      <c r="H834" s="13">
        <v>0</v>
      </c>
      <c r="I834" s="13"/>
      <c r="J834" s="13" t="s">
        <v>5098</v>
      </c>
      <c r="K834" s="13" t="s">
        <v>5099</v>
      </c>
    </row>
    <row r="835" spans="1:11" x14ac:dyDescent="0.3">
      <c r="A835" s="13" t="s">
        <v>5071</v>
      </c>
      <c r="B835" s="13" t="s">
        <v>5096</v>
      </c>
      <c r="C835" s="13" t="s">
        <v>5100</v>
      </c>
      <c r="D835" s="13"/>
      <c r="E835" s="13">
        <v>3</v>
      </c>
      <c r="F835" s="13" t="s">
        <v>5101</v>
      </c>
      <c r="G835" s="13">
        <v>42</v>
      </c>
      <c r="H835" s="13">
        <v>0</v>
      </c>
      <c r="I835" s="13"/>
      <c r="J835" s="13" t="s">
        <v>5102</v>
      </c>
      <c r="K835" s="13" t="s">
        <v>5103</v>
      </c>
    </row>
    <row r="836" spans="1:11" x14ac:dyDescent="0.3">
      <c r="A836" s="13" t="s">
        <v>5071</v>
      </c>
      <c r="B836" s="13" t="s">
        <v>5104</v>
      </c>
      <c r="C836" s="13"/>
      <c r="D836" s="13"/>
      <c r="E836" s="13">
        <v>2</v>
      </c>
      <c r="F836" s="13" t="s">
        <v>5105</v>
      </c>
      <c r="G836" s="13">
        <v>89</v>
      </c>
      <c r="H836" s="13">
        <v>0</v>
      </c>
      <c r="I836" s="13"/>
      <c r="J836" s="13" t="s">
        <v>5106</v>
      </c>
      <c r="K836" s="13" t="s">
        <v>5107</v>
      </c>
    </row>
    <row r="837" spans="1:11" x14ac:dyDescent="0.3">
      <c r="A837" s="13" t="s">
        <v>5071</v>
      </c>
      <c r="B837" s="13" t="s">
        <v>5108</v>
      </c>
      <c r="C837" s="13"/>
      <c r="D837" s="13"/>
      <c r="E837" s="13">
        <v>2</v>
      </c>
      <c r="F837" s="13" t="s">
        <v>5109</v>
      </c>
      <c r="G837" s="13">
        <v>105</v>
      </c>
      <c r="H837" s="13">
        <v>0</v>
      </c>
      <c r="I837" s="13"/>
      <c r="J837" s="13" t="s">
        <v>5110</v>
      </c>
      <c r="K837" s="13" t="s">
        <v>5111</v>
      </c>
    </row>
    <row r="838" spans="1:11" x14ac:dyDescent="0.3">
      <c r="A838" s="13" t="s">
        <v>5071</v>
      </c>
      <c r="B838" s="13" t="s">
        <v>5112</v>
      </c>
      <c r="C838" s="13"/>
      <c r="D838" s="13"/>
      <c r="E838" s="13">
        <v>2</v>
      </c>
      <c r="F838" s="13" t="s">
        <v>5113</v>
      </c>
      <c r="G838" s="13">
        <v>72</v>
      </c>
      <c r="H838" s="13">
        <v>0</v>
      </c>
      <c r="I838" s="13"/>
      <c r="J838" s="13" t="s">
        <v>5114</v>
      </c>
      <c r="K838" s="13" t="s">
        <v>5115</v>
      </c>
    </row>
    <row r="839" spans="1:11" x14ac:dyDescent="0.3">
      <c r="A839" s="13" t="s">
        <v>5071</v>
      </c>
      <c r="B839" s="13" t="s">
        <v>5116</v>
      </c>
      <c r="C839" s="13"/>
      <c r="D839" s="13"/>
      <c r="E839" s="13">
        <v>2</v>
      </c>
      <c r="F839" s="13" t="s">
        <v>5117</v>
      </c>
      <c r="G839" s="13">
        <v>830</v>
      </c>
      <c r="H839" s="13">
        <v>0</v>
      </c>
      <c r="I839" s="13"/>
      <c r="J839" s="13" t="s">
        <v>5118</v>
      </c>
      <c r="K839" s="13" t="s">
        <v>5119</v>
      </c>
    </row>
    <row r="840" spans="1:11" x14ac:dyDescent="0.3">
      <c r="A840" s="13" t="s">
        <v>5071</v>
      </c>
      <c r="B840" s="13" t="s">
        <v>5120</v>
      </c>
      <c r="C840" s="13" t="s">
        <v>5121</v>
      </c>
      <c r="D840" s="13"/>
      <c r="E840" s="13">
        <v>3</v>
      </c>
      <c r="F840" s="13" t="s">
        <v>5122</v>
      </c>
      <c r="G840" s="13">
        <v>173</v>
      </c>
      <c r="H840" s="13">
        <v>0</v>
      </c>
      <c r="I840" s="13"/>
      <c r="J840" s="13" t="s">
        <v>5123</v>
      </c>
      <c r="K840" s="13" t="s">
        <v>5124</v>
      </c>
    </row>
    <row r="841" spans="1:11" x14ac:dyDescent="0.3">
      <c r="A841" s="13" t="s">
        <v>5071</v>
      </c>
      <c r="B841" s="13" t="s">
        <v>5120</v>
      </c>
      <c r="C841" s="13" t="s">
        <v>5125</v>
      </c>
      <c r="D841" s="13"/>
      <c r="E841" s="13">
        <v>3</v>
      </c>
      <c r="F841" s="13" t="s">
        <v>5126</v>
      </c>
      <c r="G841" s="13">
        <v>130</v>
      </c>
      <c r="H841" s="13">
        <v>0</v>
      </c>
      <c r="I841" s="13"/>
      <c r="J841" s="13" t="s">
        <v>5127</v>
      </c>
      <c r="K841" s="13" t="s">
        <v>5128</v>
      </c>
    </row>
    <row r="842" spans="1:11" x14ac:dyDescent="0.3">
      <c r="A842" s="13" t="s">
        <v>5071</v>
      </c>
      <c r="B842" s="13" t="s">
        <v>5120</v>
      </c>
      <c r="C842" s="13" t="s">
        <v>5129</v>
      </c>
      <c r="D842" s="13"/>
      <c r="E842" s="13">
        <v>3</v>
      </c>
      <c r="F842" s="13" t="s">
        <v>5130</v>
      </c>
      <c r="G842" s="13">
        <v>37</v>
      </c>
      <c r="H842" s="13">
        <v>0</v>
      </c>
      <c r="I842" s="13"/>
      <c r="J842" s="13" t="s">
        <v>5131</v>
      </c>
      <c r="K842" s="13" t="s">
        <v>5132</v>
      </c>
    </row>
    <row r="843" spans="1:11" x14ac:dyDescent="0.3">
      <c r="A843" s="13" t="s">
        <v>5071</v>
      </c>
      <c r="B843" s="13" t="s">
        <v>5133</v>
      </c>
      <c r="C843" s="13"/>
      <c r="D843" s="13"/>
      <c r="E843" s="13">
        <v>2</v>
      </c>
      <c r="F843" s="13" t="s">
        <v>5134</v>
      </c>
      <c r="G843" s="13">
        <v>2</v>
      </c>
      <c r="H843" s="13">
        <v>0</v>
      </c>
      <c r="I843" s="13"/>
      <c r="J843" s="13" t="s">
        <v>5135</v>
      </c>
      <c r="K843" s="13" t="s">
        <v>5136</v>
      </c>
    </row>
    <row r="844" spans="1:11" x14ac:dyDescent="0.3">
      <c r="A844" s="13" t="s">
        <v>5071</v>
      </c>
      <c r="B844" s="13" t="s">
        <v>5137</v>
      </c>
      <c r="C844" s="13"/>
      <c r="D844" s="13"/>
      <c r="E844" s="13">
        <v>2</v>
      </c>
      <c r="F844" s="13" t="s">
        <v>5138</v>
      </c>
      <c r="G844" s="13">
        <v>174</v>
      </c>
      <c r="H844" s="13">
        <v>0</v>
      </c>
      <c r="I844" s="13"/>
      <c r="J844" s="13" t="s">
        <v>5139</v>
      </c>
      <c r="K844" s="13" t="s">
        <v>5140</v>
      </c>
    </row>
    <row r="845" spans="1:11" x14ac:dyDescent="0.3">
      <c r="A845" s="13" t="s">
        <v>1190</v>
      </c>
      <c r="B845" s="13" t="s">
        <v>5141</v>
      </c>
      <c r="C845" s="13"/>
      <c r="D845" s="13"/>
      <c r="E845" s="13">
        <v>2</v>
      </c>
      <c r="F845" s="13" t="s">
        <v>5142</v>
      </c>
      <c r="G845" s="13">
        <v>13</v>
      </c>
      <c r="H845" s="13">
        <v>0</v>
      </c>
      <c r="I845" s="13"/>
      <c r="J845" s="13" t="s">
        <v>5143</v>
      </c>
      <c r="K845" s="13" t="s">
        <v>5144</v>
      </c>
    </row>
    <row r="846" spans="1:11" x14ac:dyDescent="0.3">
      <c r="A846" s="13" t="s">
        <v>1190</v>
      </c>
      <c r="B846" s="13" t="s">
        <v>5145</v>
      </c>
      <c r="C846" s="13" t="s">
        <v>5146</v>
      </c>
      <c r="D846" s="13"/>
      <c r="E846" s="13">
        <v>3</v>
      </c>
      <c r="F846" s="13" t="s">
        <v>5147</v>
      </c>
      <c r="G846" s="13">
        <v>12</v>
      </c>
      <c r="H846" s="13">
        <v>0</v>
      </c>
      <c r="I846" s="13"/>
      <c r="J846" s="13" t="s">
        <v>5148</v>
      </c>
      <c r="K846" s="13" t="s">
        <v>5149</v>
      </c>
    </row>
    <row r="847" spans="1:11" x14ac:dyDescent="0.3">
      <c r="A847" s="13" t="s">
        <v>1190</v>
      </c>
      <c r="B847" s="13" t="s">
        <v>5145</v>
      </c>
      <c r="C847" s="13" t="s">
        <v>5150</v>
      </c>
      <c r="D847" s="13"/>
      <c r="E847" s="13">
        <v>3</v>
      </c>
      <c r="F847" s="13" t="s">
        <v>5151</v>
      </c>
      <c r="G847" s="13">
        <v>454</v>
      </c>
      <c r="H847" s="13">
        <v>0</v>
      </c>
      <c r="I847" s="13"/>
      <c r="J847" s="13" t="s">
        <v>5152</v>
      </c>
      <c r="K847" s="13" t="s">
        <v>5153</v>
      </c>
    </row>
    <row r="848" spans="1:11" x14ac:dyDescent="0.3">
      <c r="A848" s="13" t="s">
        <v>1190</v>
      </c>
      <c r="B848" s="13" t="s">
        <v>5154</v>
      </c>
      <c r="C848" s="13"/>
      <c r="D848" s="13"/>
      <c r="E848" s="13">
        <v>2</v>
      </c>
      <c r="F848" s="13" t="s">
        <v>5155</v>
      </c>
      <c r="G848" s="13">
        <v>35</v>
      </c>
      <c r="H848" s="13">
        <v>0</v>
      </c>
      <c r="I848" s="13"/>
      <c r="J848" s="13" t="s">
        <v>5156</v>
      </c>
      <c r="K848" s="13" t="s">
        <v>5157</v>
      </c>
    </row>
    <row r="849" spans="1:11" x14ac:dyDescent="0.3">
      <c r="A849" s="13" t="s">
        <v>1190</v>
      </c>
      <c r="B849" s="13" t="s">
        <v>5158</v>
      </c>
      <c r="C849" s="13"/>
      <c r="D849" s="13"/>
      <c r="E849" s="13">
        <v>2</v>
      </c>
      <c r="F849" s="13" t="s">
        <v>5159</v>
      </c>
      <c r="G849" s="13">
        <v>47</v>
      </c>
      <c r="H849" s="13">
        <v>0</v>
      </c>
      <c r="I849" s="13"/>
      <c r="J849" s="13" t="s">
        <v>5160</v>
      </c>
      <c r="K849" s="13" t="s">
        <v>5161</v>
      </c>
    </row>
    <row r="850" spans="1:11" x14ac:dyDescent="0.3">
      <c r="A850" s="13" t="s">
        <v>1190</v>
      </c>
      <c r="B850" s="13" t="s">
        <v>5162</v>
      </c>
      <c r="C850" s="13"/>
      <c r="D850" s="13"/>
      <c r="E850" s="13">
        <v>2</v>
      </c>
      <c r="F850" s="13" t="s">
        <v>5163</v>
      </c>
      <c r="G850" s="13">
        <v>217</v>
      </c>
      <c r="H850" s="13">
        <v>0</v>
      </c>
      <c r="I850" s="13"/>
      <c r="J850" s="13" t="s">
        <v>5164</v>
      </c>
      <c r="K850" s="13" t="s">
        <v>5165</v>
      </c>
    </row>
    <row r="851" spans="1:11" x14ac:dyDescent="0.3">
      <c r="A851" s="13" t="s">
        <v>1190</v>
      </c>
      <c r="B851" s="13" t="s">
        <v>5166</v>
      </c>
      <c r="C851" s="13"/>
      <c r="D851" s="13"/>
      <c r="E851" s="13">
        <v>2</v>
      </c>
      <c r="F851" s="13" t="s">
        <v>5167</v>
      </c>
      <c r="G851" s="13">
        <v>146</v>
      </c>
      <c r="H851" s="13">
        <v>0</v>
      </c>
      <c r="I851" s="13"/>
      <c r="J851" s="13" t="s">
        <v>5168</v>
      </c>
      <c r="K851" s="13" t="s">
        <v>5169</v>
      </c>
    </row>
    <row r="852" spans="1:11" x14ac:dyDescent="0.3">
      <c r="A852" s="13" t="s">
        <v>1190</v>
      </c>
      <c r="B852" s="13" t="s">
        <v>5170</v>
      </c>
      <c r="C852" s="13"/>
      <c r="D852" s="13"/>
      <c r="E852" s="13">
        <v>2</v>
      </c>
      <c r="F852" s="13" t="s">
        <v>5171</v>
      </c>
      <c r="G852" s="13">
        <v>251</v>
      </c>
      <c r="H852" s="13">
        <v>0</v>
      </c>
      <c r="I852" s="13"/>
      <c r="J852" s="13" t="s">
        <v>5172</v>
      </c>
      <c r="K852" s="13" t="s">
        <v>5173</v>
      </c>
    </row>
    <row r="853" spans="1:11" x14ac:dyDescent="0.3">
      <c r="A853" s="13" t="s">
        <v>1190</v>
      </c>
      <c r="B853" s="13" t="s">
        <v>5174</v>
      </c>
      <c r="C853" s="13"/>
      <c r="D853" s="13"/>
      <c r="E853" s="13">
        <v>2</v>
      </c>
      <c r="F853" s="13" t="s">
        <v>5175</v>
      </c>
      <c r="G853" s="13">
        <v>224</v>
      </c>
      <c r="H853" s="13">
        <v>0</v>
      </c>
      <c r="I853" s="13"/>
      <c r="J853" s="13" t="s">
        <v>5176</v>
      </c>
      <c r="K853" s="13" t="s">
        <v>5177</v>
      </c>
    </row>
    <row r="854" spans="1:11" x14ac:dyDescent="0.3">
      <c r="A854" s="13" t="s">
        <v>1190</v>
      </c>
      <c r="B854" s="13" t="s">
        <v>5178</v>
      </c>
      <c r="C854" s="13"/>
      <c r="D854" s="13"/>
      <c r="E854" s="13">
        <v>2</v>
      </c>
      <c r="F854" s="13" t="s">
        <v>5179</v>
      </c>
      <c r="G854" s="13">
        <v>319</v>
      </c>
      <c r="H854" s="13">
        <v>0</v>
      </c>
      <c r="I854" s="13"/>
      <c r="J854" s="13" t="s">
        <v>5180</v>
      </c>
      <c r="K854" s="13" t="s">
        <v>5181</v>
      </c>
    </row>
    <row r="855" spans="1:11" x14ac:dyDescent="0.3">
      <c r="A855" s="13" t="s">
        <v>1190</v>
      </c>
      <c r="B855" s="13" t="s">
        <v>5182</v>
      </c>
      <c r="C855" s="13" t="s">
        <v>5183</v>
      </c>
      <c r="D855" s="13"/>
      <c r="E855" s="13">
        <v>3</v>
      </c>
      <c r="F855" s="13" t="s">
        <v>5184</v>
      </c>
      <c r="G855" s="13">
        <v>121</v>
      </c>
      <c r="H855" s="13">
        <v>0</v>
      </c>
      <c r="I855" s="13"/>
      <c r="J855" s="13" t="s">
        <v>5185</v>
      </c>
      <c r="K855" s="13" t="s">
        <v>5186</v>
      </c>
    </row>
    <row r="856" spans="1:11" x14ac:dyDescent="0.3">
      <c r="A856" s="13" t="s">
        <v>1190</v>
      </c>
      <c r="B856" s="13" t="s">
        <v>5182</v>
      </c>
      <c r="C856" s="13" t="s">
        <v>5187</v>
      </c>
      <c r="D856" s="13"/>
      <c r="E856" s="13">
        <v>3</v>
      </c>
      <c r="F856" s="13" t="s">
        <v>5188</v>
      </c>
      <c r="G856" s="13">
        <v>33</v>
      </c>
      <c r="H856" s="13">
        <v>0</v>
      </c>
      <c r="I856" s="13"/>
      <c r="J856" s="13" t="s">
        <v>5189</v>
      </c>
      <c r="K856" s="13" t="s">
        <v>5190</v>
      </c>
    </row>
    <row r="857" spans="1:11" x14ac:dyDescent="0.3">
      <c r="A857" s="13" t="s">
        <v>1190</v>
      </c>
      <c r="B857" s="13" t="s">
        <v>5182</v>
      </c>
      <c r="C857" s="13" t="s">
        <v>5191</v>
      </c>
      <c r="D857" s="13"/>
      <c r="E857" s="13">
        <v>3</v>
      </c>
      <c r="F857" s="13" t="s">
        <v>5192</v>
      </c>
      <c r="G857" s="13">
        <v>131</v>
      </c>
      <c r="H857" s="13">
        <v>0</v>
      </c>
      <c r="I857" s="13"/>
      <c r="J857" s="13" t="s">
        <v>5193</v>
      </c>
      <c r="K857" s="13" t="s">
        <v>5194</v>
      </c>
    </row>
    <row r="858" spans="1:11" x14ac:dyDescent="0.3">
      <c r="A858" s="13" t="s">
        <v>1190</v>
      </c>
      <c r="B858" s="13" t="s">
        <v>5195</v>
      </c>
      <c r="C858" s="13"/>
      <c r="D858" s="13"/>
      <c r="E858" s="13">
        <v>2</v>
      </c>
      <c r="F858" s="13" t="s">
        <v>5196</v>
      </c>
      <c r="G858" s="13">
        <v>64</v>
      </c>
      <c r="H858" s="13">
        <v>0</v>
      </c>
      <c r="I858" s="13"/>
      <c r="J858" s="13" t="s">
        <v>5197</v>
      </c>
      <c r="K858" s="13" t="s">
        <v>5198</v>
      </c>
    </row>
    <row r="859" spans="1:11" x14ac:dyDescent="0.3">
      <c r="A859" s="13" t="s">
        <v>1190</v>
      </c>
      <c r="B859" s="13" t="s">
        <v>5199</v>
      </c>
      <c r="C859" s="13"/>
      <c r="D859" s="13"/>
      <c r="E859" s="13">
        <v>2</v>
      </c>
      <c r="F859" s="13" t="s">
        <v>5200</v>
      </c>
      <c r="G859" s="13">
        <v>191</v>
      </c>
      <c r="H859" s="13">
        <v>0</v>
      </c>
      <c r="I859" s="13"/>
      <c r="J859" s="13" t="s">
        <v>5201</v>
      </c>
      <c r="K859" s="13" t="s">
        <v>5202</v>
      </c>
    </row>
    <row r="860" spans="1:11" x14ac:dyDescent="0.3">
      <c r="A860" s="13" t="s">
        <v>1190</v>
      </c>
      <c r="B860" s="13" t="s">
        <v>5203</v>
      </c>
      <c r="C860" s="13"/>
      <c r="D860" s="13"/>
      <c r="E860" s="13">
        <v>2</v>
      </c>
      <c r="F860" s="13" t="s">
        <v>5204</v>
      </c>
      <c r="G860" s="13">
        <v>23</v>
      </c>
      <c r="H860" s="13">
        <v>0</v>
      </c>
      <c r="I860" s="13"/>
      <c r="J860" s="13" t="s">
        <v>5205</v>
      </c>
      <c r="K860" s="13" t="s">
        <v>5206</v>
      </c>
    </row>
    <row r="861" spans="1:11" x14ac:dyDescent="0.3">
      <c r="A861" s="13" t="s">
        <v>1190</v>
      </c>
      <c r="B861" s="13" t="s">
        <v>5207</v>
      </c>
      <c r="C861" s="13" t="s">
        <v>5208</v>
      </c>
      <c r="D861" s="13"/>
      <c r="E861" s="13">
        <v>3</v>
      </c>
      <c r="F861" s="13" t="s">
        <v>5209</v>
      </c>
      <c r="G861" s="13">
        <v>46</v>
      </c>
      <c r="H861" s="13">
        <v>0</v>
      </c>
      <c r="I861" s="13"/>
      <c r="J861" s="13" t="s">
        <v>5210</v>
      </c>
      <c r="K861" s="13" t="s">
        <v>5211</v>
      </c>
    </row>
    <row r="862" spans="1:11" x14ac:dyDescent="0.3">
      <c r="A862" s="13" t="s">
        <v>1190</v>
      </c>
      <c r="B862" s="13" t="s">
        <v>5207</v>
      </c>
      <c r="C862" s="13" t="s">
        <v>5212</v>
      </c>
      <c r="D862" s="13"/>
      <c r="E862" s="13">
        <v>3</v>
      </c>
      <c r="F862" s="13" t="s">
        <v>5213</v>
      </c>
      <c r="G862" s="13">
        <v>15</v>
      </c>
      <c r="H862" s="13">
        <v>0</v>
      </c>
      <c r="I862" s="13"/>
      <c r="J862" s="13" t="s">
        <v>5214</v>
      </c>
      <c r="K862" s="13" t="s">
        <v>5215</v>
      </c>
    </row>
    <row r="863" spans="1:11" x14ac:dyDescent="0.3">
      <c r="A863" s="13" t="s">
        <v>1190</v>
      </c>
      <c r="B863" s="13" t="s">
        <v>5207</v>
      </c>
      <c r="C863" s="13" t="s">
        <v>5216</v>
      </c>
      <c r="D863" s="13"/>
      <c r="E863" s="13">
        <v>3</v>
      </c>
      <c r="F863" s="13" t="s">
        <v>5217</v>
      </c>
      <c r="G863" s="13">
        <v>5</v>
      </c>
      <c r="H863" s="13">
        <v>0</v>
      </c>
      <c r="I863" s="13"/>
      <c r="J863" s="13" t="s">
        <v>5218</v>
      </c>
      <c r="K863" s="13" t="s">
        <v>5219</v>
      </c>
    </row>
    <row r="864" spans="1:11" x14ac:dyDescent="0.3">
      <c r="A864" s="13" t="s">
        <v>1190</v>
      </c>
      <c r="B864" s="13" t="s">
        <v>1191</v>
      </c>
      <c r="C864" s="13" t="s">
        <v>5220</v>
      </c>
      <c r="D864" s="13"/>
      <c r="E864" s="13">
        <v>3</v>
      </c>
      <c r="F864" s="13" t="s">
        <v>5221</v>
      </c>
      <c r="G864" s="13">
        <v>103</v>
      </c>
      <c r="H864" s="13">
        <v>0</v>
      </c>
      <c r="I864" s="13"/>
      <c r="J864" s="13" t="s">
        <v>5222</v>
      </c>
      <c r="K864" s="13" t="s">
        <v>5223</v>
      </c>
    </row>
    <row r="865" spans="1:11" x14ac:dyDescent="0.3">
      <c r="A865" s="13" t="s">
        <v>1190</v>
      </c>
      <c r="B865" s="13" t="s">
        <v>1191</v>
      </c>
      <c r="C865" s="13" t="s">
        <v>5224</v>
      </c>
      <c r="D865" s="13"/>
      <c r="E865" s="13">
        <v>3</v>
      </c>
      <c r="F865" s="13" t="s">
        <v>5225</v>
      </c>
      <c r="G865" s="13">
        <v>37</v>
      </c>
      <c r="H865" s="13">
        <v>0</v>
      </c>
      <c r="I865" s="13"/>
      <c r="J865" s="13" t="s">
        <v>5226</v>
      </c>
      <c r="K865" s="13" t="s">
        <v>5227</v>
      </c>
    </row>
    <row r="866" spans="1:11" x14ac:dyDescent="0.3">
      <c r="A866" s="13" t="s">
        <v>1190</v>
      </c>
      <c r="B866" s="13" t="s">
        <v>1191</v>
      </c>
      <c r="C866" s="13" t="s">
        <v>1192</v>
      </c>
      <c r="D866" s="13"/>
      <c r="E866" s="13">
        <v>3</v>
      </c>
      <c r="F866" s="13" t="s">
        <v>781</v>
      </c>
      <c r="G866" s="13">
        <v>123</v>
      </c>
      <c r="H866" s="13">
        <v>0</v>
      </c>
      <c r="I866" s="3" t="s">
        <v>779</v>
      </c>
      <c r="J866" s="13" t="s">
        <v>780</v>
      </c>
      <c r="K866" s="13" t="s">
        <v>5228</v>
      </c>
    </row>
    <row r="867" spans="1:11" x14ac:dyDescent="0.3">
      <c r="A867" s="13" t="s">
        <v>1190</v>
      </c>
      <c r="B867" s="13" t="s">
        <v>1191</v>
      </c>
      <c r="C867" s="13" t="s">
        <v>1195</v>
      </c>
      <c r="D867" s="13"/>
      <c r="E867" s="13">
        <v>3</v>
      </c>
      <c r="F867" s="13" t="s">
        <v>785</v>
      </c>
      <c r="G867" s="13">
        <v>149</v>
      </c>
      <c r="H867" s="13">
        <v>0</v>
      </c>
      <c r="I867" s="3" t="s">
        <v>783</v>
      </c>
      <c r="J867" s="13" t="s">
        <v>784</v>
      </c>
      <c r="K867" s="13" t="s">
        <v>5229</v>
      </c>
    </row>
    <row r="868" spans="1:11" x14ac:dyDescent="0.3">
      <c r="A868" s="13" t="s">
        <v>1190</v>
      </c>
      <c r="B868" s="13" t="s">
        <v>1191</v>
      </c>
      <c r="C868" s="13" t="s">
        <v>5230</v>
      </c>
      <c r="D868" s="13"/>
      <c r="E868" s="13">
        <v>3</v>
      </c>
      <c r="F868" s="13" t="s">
        <v>5231</v>
      </c>
      <c r="G868" s="13">
        <v>71</v>
      </c>
      <c r="H868" s="13">
        <v>0</v>
      </c>
      <c r="I868" s="13"/>
      <c r="J868" s="13" t="s">
        <v>5232</v>
      </c>
      <c r="K868" s="13" t="s">
        <v>5233</v>
      </c>
    </row>
    <row r="869" spans="1:11" x14ac:dyDescent="0.3">
      <c r="A869" s="13" t="s">
        <v>5234</v>
      </c>
      <c r="B869" s="13" t="s">
        <v>5235</v>
      </c>
      <c r="C869" s="13" t="s">
        <v>5236</v>
      </c>
      <c r="D869" s="13"/>
      <c r="E869" s="13">
        <v>3</v>
      </c>
      <c r="F869" s="13" t="s">
        <v>5237</v>
      </c>
      <c r="G869" s="13">
        <v>129</v>
      </c>
      <c r="H869" s="13">
        <v>101</v>
      </c>
      <c r="I869" s="13"/>
      <c r="J869" s="13" t="s">
        <v>5238</v>
      </c>
      <c r="K869" s="13" t="s">
        <v>5239</v>
      </c>
    </row>
    <row r="870" spans="1:11" x14ac:dyDescent="0.3">
      <c r="A870" s="13" t="s">
        <v>5234</v>
      </c>
      <c r="B870" s="13" t="s">
        <v>5235</v>
      </c>
      <c r="C870" s="13" t="s">
        <v>5240</v>
      </c>
      <c r="D870" s="13"/>
      <c r="E870" s="13">
        <v>3</v>
      </c>
      <c r="F870" s="13" t="s">
        <v>5241</v>
      </c>
      <c r="G870" s="13">
        <v>220</v>
      </c>
      <c r="H870" s="13">
        <v>210</v>
      </c>
      <c r="I870" s="13"/>
      <c r="J870" s="13" t="s">
        <v>5242</v>
      </c>
      <c r="K870" s="13" t="s">
        <v>5243</v>
      </c>
    </row>
    <row r="871" spans="1:11" x14ac:dyDescent="0.3">
      <c r="A871" s="13" t="s">
        <v>5234</v>
      </c>
      <c r="B871" s="13" t="s">
        <v>5235</v>
      </c>
      <c r="C871" s="13" t="s">
        <v>5244</v>
      </c>
      <c r="D871" s="13"/>
      <c r="E871" s="13">
        <v>3</v>
      </c>
      <c r="F871" s="13" t="s">
        <v>5245</v>
      </c>
      <c r="G871" s="13">
        <v>24</v>
      </c>
      <c r="H871" s="13">
        <v>0</v>
      </c>
      <c r="I871" s="13"/>
      <c r="J871" s="13" t="s">
        <v>5246</v>
      </c>
      <c r="K871" s="13" t="s">
        <v>5247</v>
      </c>
    </row>
    <row r="872" spans="1:11" x14ac:dyDescent="0.3">
      <c r="A872" s="13" t="s">
        <v>5234</v>
      </c>
      <c r="B872" s="13" t="s">
        <v>5248</v>
      </c>
      <c r="C872" s="13"/>
      <c r="D872" s="13"/>
      <c r="E872" s="13">
        <v>2</v>
      </c>
      <c r="F872" s="13" t="s">
        <v>5249</v>
      </c>
      <c r="G872" s="13">
        <v>227</v>
      </c>
      <c r="H872" s="13">
        <v>0</v>
      </c>
      <c r="I872" s="13"/>
      <c r="J872" s="13" t="s">
        <v>5250</v>
      </c>
      <c r="K872" s="13" t="s">
        <v>5251</v>
      </c>
    </row>
    <row r="873" spans="1:11" x14ac:dyDescent="0.3">
      <c r="A873" s="13" t="s">
        <v>5234</v>
      </c>
      <c r="B873" s="13" t="s">
        <v>5252</v>
      </c>
      <c r="C873" s="13"/>
      <c r="D873" s="13"/>
      <c r="E873" s="13">
        <v>2</v>
      </c>
      <c r="F873" s="13" t="s">
        <v>5253</v>
      </c>
      <c r="G873" s="13">
        <v>1065</v>
      </c>
      <c r="H873" s="13">
        <v>0</v>
      </c>
      <c r="I873" s="13"/>
      <c r="J873" s="13" t="s">
        <v>5254</v>
      </c>
      <c r="K873" s="13" t="s">
        <v>5255</v>
      </c>
    </row>
    <row r="874" spans="1:11" x14ac:dyDescent="0.3">
      <c r="A874" s="13" t="s">
        <v>5234</v>
      </c>
      <c r="B874" s="13" t="s">
        <v>5256</v>
      </c>
      <c r="C874" s="13"/>
      <c r="D874" s="13"/>
      <c r="E874" s="13">
        <v>2</v>
      </c>
      <c r="F874" s="13" t="s">
        <v>5257</v>
      </c>
      <c r="G874" s="13">
        <v>84</v>
      </c>
      <c r="H874" s="13">
        <v>0</v>
      </c>
      <c r="I874" s="13"/>
      <c r="J874" s="13" t="s">
        <v>5258</v>
      </c>
      <c r="K874" s="13" t="s">
        <v>5259</v>
      </c>
    </row>
    <row r="875" spans="1:11" x14ac:dyDescent="0.3">
      <c r="A875" s="13" t="s">
        <v>5234</v>
      </c>
      <c r="B875" s="13" t="s">
        <v>5260</v>
      </c>
      <c r="C875" s="13"/>
      <c r="D875" s="13"/>
      <c r="E875" s="13">
        <v>2</v>
      </c>
      <c r="F875" s="13" t="s">
        <v>5261</v>
      </c>
      <c r="G875" s="13">
        <v>243</v>
      </c>
      <c r="H875" s="13">
        <v>0</v>
      </c>
      <c r="I875" s="13"/>
      <c r="J875" s="13" t="s">
        <v>5262</v>
      </c>
      <c r="K875" s="13" t="s">
        <v>5263</v>
      </c>
    </row>
    <row r="876" spans="1:11" x14ac:dyDescent="0.3">
      <c r="A876" s="13" t="s">
        <v>5234</v>
      </c>
      <c r="B876" s="13" t="s">
        <v>5264</v>
      </c>
      <c r="C876" s="13"/>
      <c r="D876" s="13"/>
      <c r="E876" s="13">
        <v>2</v>
      </c>
      <c r="F876" s="13" t="s">
        <v>5265</v>
      </c>
      <c r="G876" s="13">
        <v>22</v>
      </c>
      <c r="H876" s="13">
        <v>0</v>
      </c>
      <c r="I876" s="13"/>
      <c r="J876" s="13" t="s">
        <v>5266</v>
      </c>
      <c r="K876" s="13" t="s">
        <v>5267</v>
      </c>
    </row>
    <row r="877" spans="1:11" x14ac:dyDescent="0.3">
      <c r="A877" s="13" t="s">
        <v>5234</v>
      </c>
      <c r="B877" s="13" t="s">
        <v>5268</v>
      </c>
      <c r="C877" s="13"/>
      <c r="D877" s="13"/>
      <c r="E877" s="13">
        <v>2</v>
      </c>
      <c r="F877" s="13" t="s">
        <v>5269</v>
      </c>
      <c r="G877" s="13">
        <v>778</v>
      </c>
      <c r="H877" s="13">
        <v>0</v>
      </c>
      <c r="I877" s="13"/>
      <c r="J877" s="13" t="s">
        <v>5270</v>
      </c>
      <c r="K877" s="13" t="s">
        <v>5271</v>
      </c>
    </row>
    <row r="878" spans="1:11" x14ac:dyDescent="0.3">
      <c r="A878" s="13" t="s">
        <v>5234</v>
      </c>
      <c r="B878" s="13" t="s">
        <v>5272</v>
      </c>
      <c r="C878" s="13"/>
      <c r="D878" s="13"/>
      <c r="E878" s="13">
        <v>2</v>
      </c>
      <c r="F878" s="13" t="s">
        <v>5273</v>
      </c>
      <c r="G878" s="13">
        <v>9</v>
      </c>
      <c r="H878" s="13">
        <v>0</v>
      </c>
      <c r="I878" s="13"/>
      <c r="J878" s="13" t="s">
        <v>5274</v>
      </c>
      <c r="K878" s="13" t="s">
        <v>5275</v>
      </c>
    </row>
    <row r="879" spans="1:11" x14ac:dyDescent="0.3">
      <c r="A879" s="13" t="s">
        <v>5234</v>
      </c>
      <c r="B879" s="13" t="s">
        <v>5276</v>
      </c>
      <c r="C879" s="13" t="s">
        <v>5277</v>
      </c>
      <c r="D879" s="13"/>
      <c r="E879" s="13">
        <v>3</v>
      </c>
      <c r="F879" s="13" t="s">
        <v>5278</v>
      </c>
      <c r="G879" s="13">
        <v>5</v>
      </c>
      <c r="H879" s="13">
        <v>0</v>
      </c>
      <c r="I879" s="13"/>
      <c r="J879" s="13" t="s">
        <v>5279</v>
      </c>
      <c r="K879" s="13" t="s">
        <v>5280</v>
      </c>
    </row>
    <row r="880" spans="1:11" x14ac:dyDescent="0.3">
      <c r="A880" s="13" t="s">
        <v>5234</v>
      </c>
      <c r="B880" s="13" t="s">
        <v>5276</v>
      </c>
      <c r="C880" s="13" t="s">
        <v>5281</v>
      </c>
      <c r="D880" s="13"/>
      <c r="E880" s="13">
        <v>3</v>
      </c>
      <c r="F880" s="13" t="s">
        <v>5282</v>
      </c>
      <c r="G880" s="13">
        <v>28</v>
      </c>
      <c r="H880" s="13">
        <v>0</v>
      </c>
      <c r="I880" s="13"/>
      <c r="J880" s="13" t="s">
        <v>5283</v>
      </c>
      <c r="K880" s="13" t="s">
        <v>5284</v>
      </c>
    </row>
    <row r="881" spans="1:11" x14ac:dyDescent="0.3">
      <c r="A881" s="13" t="s">
        <v>5234</v>
      </c>
      <c r="B881" s="13" t="s">
        <v>5285</v>
      </c>
      <c r="C881" s="13" t="s">
        <v>5286</v>
      </c>
      <c r="D881" s="13"/>
      <c r="E881" s="13">
        <v>3</v>
      </c>
      <c r="F881" s="13" t="s">
        <v>5287</v>
      </c>
      <c r="G881" s="13">
        <v>52</v>
      </c>
      <c r="H881" s="13">
        <v>0</v>
      </c>
      <c r="I881" s="13"/>
      <c r="J881" s="13" t="s">
        <v>5288</v>
      </c>
      <c r="K881" s="13" t="s">
        <v>5289</v>
      </c>
    </row>
    <row r="882" spans="1:11" x14ac:dyDescent="0.3">
      <c r="A882" s="13" t="s">
        <v>5234</v>
      </c>
      <c r="B882" s="13" t="s">
        <v>5285</v>
      </c>
      <c r="C882" s="13" t="s">
        <v>5290</v>
      </c>
      <c r="D882" s="13"/>
      <c r="E882" s="13">
        <v>3</v>
      </c>
      <c r="F882" s="13" t="s">
        <v>5291</v>
      </c>
      <c r="G882" s="13">
        <v>142</v>
      </c>
      <c r="H882" s="13">
        <v>0</v>
      </c>
      <c r="I882" s="13"/>
      <c r="J882" s="13" t="s">
        <v>5292</v>
      </c>
      <c r="K882" s="13" t="s">
        <v>5293</v>
      </c>
    </row>
    <row r="883" spans="1:11" x14ac:dyDescent="0.3">
      <c r="A883" s="13" t="s">
        <v>5234</v>
      </c>
      <c r="B883" s="13" t="s">
        <v>5285</v>
      </c>
      <c r="C883" s="13" t="s">
        <v>5294</v>
      </c>
      <c r="D883" s="13"/>
      <c r="E883" s="13">
        <v>3</v>
      </c>
      <c r="F883" s="13" t="s">
        <v>5295</v>
      </c>
      <c r="G883" s="13">
        <v>227</v>
      </c>
      <c r="H883" s="13">
        <v>0</v>
      </c>
      <c r="I883" s="13"/>
      <c r="J883" s="13" t="s">
        <v>5296</v>
      </c>
      <c r="K883" s="13" t="s">
        <v>5297</v>
      </c>
    </row>
    <row r="884" spans="1:11" x14ac:dyDescent="0.3">
      <c r="A884" s="13" t="s">
        <v>5234</v>
      </c>
      <c r="B884" s="13" t="s">
        <v>5298</v>
      </c>
      <c r="C884" s="13"/>
      <c r="D884" s="13"/>
      <c r="E884" s="13">
        <v>2</v>
      </c>
      <c r="F884" s="13" t="s">
        <v>5299</v>
      </c>
      <c r="G884" s="13">
        <v>76</v>
      </c>
      <c r="H884" s="13">
        <v>0</v>
      </c>
      <c r="I884" s="13"/>
      <c r="J884" s="13" t="s">
        <v>5300</v>
      </c>
      <c r="K884" s="13" t="s">
        <v>5301</v>
      </c>
    </row>
    <row r="885" spans="1:11" x14ac:dyDescent="0.3">
      <c r="A885" s="13" t="s">
        <v>5302</v>
      </c>
      <c r="B885" s="13" t="s">
        <v>5303</v>
      </c>
      <c r="C885" s="13"/>
      <c r="D885" s="13"/>
      <c r="E885" s="13">
        <v>2</v>
      </c>
      <c r="F885" s="13" t="s">
        <v>5304</v>
      </c>
      <c r="G885" s="13">
        <v>25</v>
      </c>
      <c r="H885" s="13">
        <v>0</v>
      </c>
      <c r="I885" s="13"/>
      <c r="J885" s="13" t="s">
        <v>5305</v>
      </c>
      <c r="K885" s="13" t="s">
        <v>5306</v>
      </c>
    </row>
    <row r="886" spans="1:11" x14ac:dyDescent="0.3">
      <c r="A886" s="13" t="s">
        <v>5302</v>
      </c>
      <c r="B886" s="13" t="s">
        <v>5307</v>
      </c>
      <c r="C886" s="13"/>
      <c r="D886" s="13"/>
      <c r="E886" s="13">
        <v>2</v>
      </c>
      <c r="F886" s="13" t="s">
        <v>5308</v>
      </c>
      <c r="G886" s="13">
        <v>4</v>
      </c>
      <c r="H886" s="13">
        <v>0</v>
      </c>
      <c r="I886" s="13"/>
      <c r="J886" s="13" t="s">
        <v>5309</v>
      </c>
      <c r="K886" s="13" t="s">
        <v>5310</v>
      </c>
    </row>
    <row r="887" spans="1:11" x14ac:dyDescent="0.3">
      <c r="A887" s="13" t="s">
        <v>5302</v>
      </c>
      <c r="B887" s="13" t="s">
        <v>5311</v>
      </c>
      <c r="C887" s="13"/>
      <c r="D887" s="13"/>
      <c r="E887" s="13">
        <v>2</v>
      </c>
      <c r="F887" s="13" t="s">
        <v>5312</v>
      </c>
      <c r="G887" s="13">
        <v>422</v>
      </c>
      <c r="H887" s="13">
        <v>0</v>
      </c>
      <c r="I887" s="13"/>
      <c r="J887" s="13" t="s">
        <v>5313</v>
      </c>
      <c r="K887" s="13" t="s">
        <v>5314</v>
      </c>
    </row>
    <row r="888" spans="1:11" x14ac:dyDescent="0.3">
      <c r="A888" s="13" t="s">
        <v>5302</v>
      </c>
      <c r="B888" s="13" t="s">
        <v>5315</v>
      </c>
      <c r="C888" s="13"/>
      <c r="D888" s="13"/>
      <c r="E888" s="13">
        <v>2</v>
      </c>
      <c r="F888" s="13" t="s">
        <v>5316</v>
      </c>
      <c r="G888" s="13">
        <v>341</v>
      </c>
      <c r="H888" s="13">
        <v>0</v>
      </c>
      <c r="I888" s="13"/>
      <c r="J888" s="13" t="s">
        <v>5317</v>
      </c>
      <c r="K888" s="13" t="s">
        <v>5318</v>
      </c>
    </row>
    <row r="889" spans="1:11" x14ac:dyDescent="0.3">
      <c r="A889" s="13" t="s">
        <v>5302</v>
      </c>
      <c r="B889" s="13" t="s">
        <v>5319</v>
      </c>
      <c r="C889" s="13" t="s">
        <v>5320</v>
      </c>
      <c r="D889" s="13"/>
      <c r="E889" s="13">
        <v>3</v>
      </c>
      <c r="F889" s="13" t="s">
        <v>5321</v>
      </c>
      <c r="G889" s="13">
        <v>70</v>
      </c>
      <c r="H889" s="13">
        <v>0</v>
      </c>
      <c r="I889" s="13"/>
      <c r="J889" s="13" t="s">
        <v>5322</v>
      </c>
      <c r="K889" s="13" t="s">
        <v>5323</v>
      </c>
    </row>
    <row r="890" spans="1:11" x14ac:dyDescent="0.3">
      <c r="A890" s="13" t="s">
        <v>5302</v>
      </c>
      <c r="B890" s="13" t="s">
        <v>5319</v>
      </c>
      <c r="C890" s="13" t="s">
        <v>5324</v>
      </c>
      <c r="D890" s="13"/>
      <c r="E890" s="13">
        <v>3</v>
      </c>
      <c r="F890" s="13" t="s">
        <v>5325</v>
      </c>
      <c r="G890" s="13">
        <v>175</v>
      </c>
      <c r="H890" s="13">
        <v>0</v>
      </c>
      <c r="I890" s="13"/>
      <c r="J890" s="13" t="s">
        <v>5326</v>
      </c>
      <c r="K890" s="13" t="s">
        <v>5327</v>
      </c>
    </row>
    <row r="891" spans="1:11" x14ac:dyDescent="0.3">
      <c r="A891" s="13" t="s">
        <v>5328</v>
      </c>
      <c r="B891" s="13" t="s">
        <v>5329</v>
      </c>
      <c r="C891" s="13"/>
      <c r="D891" s="13"/>
      <c r="E891" s="13">
        <v>2</v>
      </c>
      <c r="F891" s="13" t="s">
        <v>5330</v>
      </c>
      <c r="G891" s="13">
        <v>29</v>
      </c>
      <c r="H891" s="13">
        <v>0</v>
      </c>
      <c r="I891" s="13"/>
      <c r="J891" s="13" t="s">
        <v>5331</v>
      </c>
      <c r="K891" s="13" t="s">
        <v>5332</v>
      </c>
    </row>
    <row r="892" spans="1:11" x14ac:dyDescent="0.3">
      <c r="A892" s="13" t="s">
        <v>5328</v>
      </c>
      <c r="B892" s="13" t="s">
        <v>5333</v>
      </c>
      <c r="C892" s="13" t="s">
        <v>5334</v>
      </c>
      <c r="D892" s="13"/>
      <c r="E892" s="13">
        <v>3</v>
      </c>
      <c r="F892" s="13" t="s">
        <v>5335</v>
      </c>
      <c r="G892" s="13">
        <v>2</v>
      </c>
      <c r="H892" s="13">
        <v>0</v>
      </c>
      <c r="I892" s="13"/>
      <c r="J892" s="13" t="s">
        <v>5336</v>
      </c>
      <c r="K892" s="13" t="s">
        <v>5337</v>
      </c>
    </row>
    <row r="893" spans="1:11" x14ac:dyDescent="0.3">
      <c r="A893" s="13" t="s">
        <v>5328</v>
      </c>
      <c r="B893" s="13" t="s">
        <v>5338</v>
      </c>
      <c r="C893" s="13"/>
      <c r="D893" s="13"/>
      <c r="E893" s="13">
        <v>2</v>
      </c>
      <c r="F893" s="13" t="s">
        <v>5339</v>
      </c>
      <c r="G893" s="13">
        <v>9</v>
      </c>
      <c r="H893" s="13">
        <v>0</v>
      </c>
      <c r="I893" s="13"/>
      <c r="J893" s="13" t="s">
        <v>5340</v>
      </c>
      <c r="K893" s="13" t="s">
        <v>5341</v>
      </c>
    </row>
    <row r="894" spans="1:11" x14ac:dyDescent="0.3">
      <c r="A894" s="13" t="s">
        <v>5328</v>
      </c>
      <c r="B894" s="13" t="s">
        <v>5342</v>
      </c>
      <c r="C894" s="13" t="s">
        <v>5343</v>
      </c>
      <c r="D894" s="13" t="s">
        <v>5344</v>
      </c>
      <c r="E894" s="13">
        <v>4</v>
      </c>
      <c r="F894" s="13" t="s">
        <v>5345</v>
      </c>
      <c r="G894" s="13">
        <v>36</v>
      </c>
      <c r="H894" s="13">
        <v>0</v>
      </c>
      <c r="I894" s="13"/>
      <c r="J894" s="13" t="s">
        <v>5346</v>
      </c>
      <c r="K894" s="13" t="s">
        <v>5347</v>
      </c>
    </row>
    <row r="895" spans="1:11" x14ac:dyDescent="0.3">
      <c r="A895" s="13" t="s">
        <v>5328</v>
      </c>
      <c r="B895" s="13" t="s">
        <v>5342</v>
      </c>
      <c r="C895" s="13" t="s">
        <v>5348</v>
      </c>
      <c r="D895" s="13" t="s">
        <v>5349</v>
      </c>
      <c r="E895" s="13">
        <v>4</v>
      </c>
      <c r="F895" s="13" t="s">
        <v>5350</v>
      </c>
      <c r="G895" s="13">
        <v>22</v>
      </c>
      <c r="H895" s="13">
        <v>0</v>
      </c>
      <c r="I895" s="13"/>
      <c r="J895" s="13" t="s">
        <v>5351</v>
      </c>
      <c r="K895" s="13" t="s">
        <v>5352</v>
      </c>
    </row>
    <row r="896" spans="1:11" x14ac:dyDescent="0.3">
      <c r="A896" s="13" t="s">
        <v>5328</v>
      </c>
      <c r="B896" s="13" t="s">
        <v>5342</v>
      </c>
      <c r="C896" s="13" t="s">
        <v>5348</v>
      </c>
      <c r="D896" s="13" t="s">
        <v>5353</v>
      </c>
      <c r="E896" s="13">
        <v>4</v>
      </c>
      <c r="F896" s="13" t="s">
        <v>5354</v>
      </c>
      <c r="G896" s="13">
        <v>9</v>
      </c>
      <c r="H896" s="13">
        <v>0</v>
      </c>
      <c r="I896" s="13"/>
      <c r="J896" s="13" t="s">
        <v>5355</v>
      </c>
      <c r="K896" s="13" t="s">
        <v>5356</v>
      </c>
    </row>
    <row r="897" spans="1:11" x14ac:dyDescent="0.3">
      <c r="A897" s="13" t="s">
        <v>5328</v>
      </c>
      <c r="B897" s="13" t="s">
        <v>5342</v>
      </c>
      <c r="C897" s="13" t="s">
        <v>5357</v>
      </c>
      <c r="D897" s="13" t="s">
        <v>5358</v>
      </c>
      <c r="E897" s="13">
        <v>4</v>
      </c>
      <c r="F897" s="13" t="s">
        <v>5359</v>
      </c>
      <c r="G897" s="13">
        <v>24</v>
      </c>
      <c r="H897" s="13">
        <v>0</v>
      </c>
      <c r="I897" s="13"/>
      <c r="J897" s="13" t="s">
        <v>5360</v>
      </c>
      <c r="K897" s="13" t="s">
        <v>5361</v>
      </c>
    </row>
    <row r="898" spans="1:11" x14ac:dyDescent="0.3">
      <c r="A898" s="13" t="s">
        <v>5328</v>
      </c>
      <c r="B898" s="13" t="s">
        <v>5362</v>
      </c>
      <c r="C898" s="13"/>
      <c r="D898" s="13"/>
      <c r="E898" s="13">
        <v>2</v>
      </c>
      <c r="F898" s="13" t="s">
        <v>5363</v>
      </c>
      <c r="G898" s="13">
        <v>19</v>
      </c>
      <c r="H898" s="13">
        <v>0</v>
      </c>
      <c r="I898" s="13"/>
      <c r="J898" s="13" t="s">
        <v>5364</v>
      </c>
      <c r="K898" s="13" t="s">
        <v>5365</v>
      </c>
    </row>
    <row r="899" spans="1:11" x14ac:dyDescent="0.3">
      <c r="A899" s="13" t="s">
        <v>5328</v>
      </c>
      <c r="B899" s="13" t="s">
        <v>5366</v>
      </c>
      <c r="C899" s="13" t="s">
        <v>5366</v>
      </c>
      <c r="D899" s="13" t="s">
        <v>5367</v>
      </c>
      <c r="E899" s="13">
        <v>4</v>
      </c>
      <c r="F899" s="13" t="s">
        <v>5368</v>
      </c>
      <c r="G899" s="13">
        <v>4</v>
      </c>
      <c r="H899" s="13">
        <v>0</v>
      </c>
      <c r="I899" s="13"/>
      <c r="J899" s="13" t="s">
        <v>5369</v>
      </c>
      <c r="K899" s="13" t="s">
        <v>5370</v>
      </c>
    </row>
    <row r="900" spans="1:11" x14ac:dyDescent="0.3">
      <c r="A900" s="13" t="s">
        <v>5328</v>
      </c>
      <c r="B900" s="13" t="s">
        <v>5371</v>
      </c>
      <c r="C900" s="13" t="s">
        <v>5372</v>
      </c>
      <c r="D900" s="13"/>
      <c r="E900" s="13">
        <v>3</v>
      </c>
      <c r="F900" s="13" t="s">
        <v>5373</v>
      </c>
      <c r="G900" s="13">
        <v>41</v>
      </c>
      <c r="H900" s="13">
        <v>0</v>
      </c>
      <c r="I900" s="13"/>
      <c r="J900" s="13" t="s">
        <v>5374</v>
      </c>
      <c r="K900" s="13" t="s">
        <v>5375</v>
      </c>
    </row>
    <row r="901" spans="1:11" x14ac:dyDescent="0.3">
      <c r="A901" s="13" t="s">
        <v>5328</v>
      </c>
      <c r="B901" s="13" t="s">
        <v>5371</v>
      </c>
      <c r="C901" s="13" t="s">
        <v>5376</v>
      </c>
      <c r="D901" s="13"/>
      <c r="E901" s="13">
        <v>3</v>
      </c>
      <c r="F901" s="13" t="s">
        <v>5377</v>
      </c>
      <c r="G901" s="13">
        <v>149</v>
      </c>
      <c r="H901" s="13">
        <v>0</v>
      </c>
      <c r="I901" s="13"/>
      <c r="J901" s="13" t="s">
        <v>5378</v>
      </c>
      <c r="K901" s="13" t="s">
        <v>5379</v>
      </c>
    </row>
    <row r="902" spans="1:11" x14ac:dyDescent="0.3">
      <c r="A902" s="13" t="s">
        <v>5328</v>
      </c>
      <c r="B902" s="13" t="s">
        <v>5371</v>
      </c>
      <c r="C902" s="13" t="s">
        <v>5380</v>
      </c>
      <c r="D902" s="13"/>
      <c r="E902" s="13">
        <v>3</v>
      </c>
      <c r="F902" s="13" t="s">
        <v>5381</v>
      </c>
      <c r="G902" s="13">
        <v>9</v>
      </c>
      <c r="H902" s="13">
        <v>0</v>
      </c>
      <c r="I902" s="13"/>
      <c r="J902" s="13" t="s">
        <v>5382</v>
      </c>
      <c r="K902" s="13" t="s">
        <v>5383</v>
      </c>
    </row>
    <row r="903" spans="1:11" x14ac:dyDescent="0.3">
      <c r="A903" s="13" t="s">
        <v>5328</v>
      </c>
      <c r="B903" s="13" t="s">
        <v>5371</v>
      </c>
      <c r="C903" s="13" t="s">
        <v>5384</v>
      </c>
      <c r="D903" s="13"/>
      <c r="E903" s="13">
        <v>3</v>
      </c>
      <c r="F903" s="13" t="s">
        <v>5385</v>
      </c>
      <c r="G903" s="13">
        <v>6</v>
      </c>
      <c r="H903" s="13">
        <v>0</v>
      </c>
      <c r="I903" s="13"/>
      <c r="J903" s="13" t="s">
        <v>5386</v>
      </c>
      <c r="K903" s="13" t="s">
        <v>5387</v>
      </c>
    </row>
    <row r="904" spans="1:11" x14ac:dyDescent="0.3">
      <c r="A904" s="13" t="s">
        <v>5328</v>
      </c>
      <c r="B904" s="13" t="s">
        <v>5388</v>
      </c>
      <c r="C904" s="13" t="s">
        <v>5389</v>
      </c>
      <c r="D904" s="13"/>
      <c r="E904" s="13">
        <v>3</v>
      </c>
      <c r="F904" s="13" t="s">
        <v>5390</v>
      </c>
      <c r="G904" s="13">
        <v>6</v>
      </c>
      <c r="H904" s="13">
        <v>0</v>
      </c>
      <c r="I904" s="13"/>
      <c r="J904" s="13" t="s">
        <v>5391</v>
      </c>
      <c r="K904" s="13" t="s">
        <v>5392</v>
      </c>
    </row>
    <row r="905" spans="1:11" x14ac:dyDescent="0.3">
      <c r="A905" s="13" t="s">
        <v>5328</v>
      </c>
      <c r="B905" s="13" t="s">
        <v>5388</v>
      </c>
      <c r="C905" s="13" t="s">
        <v>5393</v>
      </c>
      <c r="D905" s="13"/>
      <c r="E905" s="13">
        <v>3</v>
      </c>
      <c r="F905" s="13" t="s">
        <v>5394</v>
      </c>
      <c r="G905" s="13">
        <v>2</v>
      </c>
      <c r="H905" s="13">
        <v>0</v>
      </c>
      <c r="I905" s="13"/>
      <c r="J905" s="13" t="s">
        <v>5395</v>
      </c>
      <c r="K905" s="13" t="s">
        <v>5396</v>
      </c>
    </row>
    <row r="906" spans="1:11" x14ac:dyDescent="0.3">
      <c r="A906" s="13" t="s">
        <v>5328</v>
      </c>
      <c r="B906" s="13" t="s">
        <v>5388</v>
      </c>
      <c r="C906" s="13" t="s">
        <v>5397</v>
      </c>
      <c r="D906" s="13"/>
      <c r="E906" s="13">
        <v>3</v>
      </c>
      <c r="F906" s="13" t="s">
        <v>5398</v>
      </c>
      <c r="G906" s="13">
        <v>17</v>
      </c>
      <c r="H906" s="13">
        <v>0</v>
      </c>
      <c r="I906" s="13"/>
      <c r="J906" s="13" t="s">
        <v>5399</v>
      </c>
      <c r="K906" s="13" t="s">
        <v>5400</v>
      </c>
    </row>
    <row r="907" spans="1:11" x14ac:dyDescent="0.3">
      <c r="A907" s="13" t="s">
        <v>5328</v>
      </c>
      <c r="B907" s="13" t="s">
        <v>5388</v>
      </c>
      <c r="C907" s="13" t="s">
        <v>5401</v>
      </c>
      <c r="D907" s="13"/>
      <c r="E907" s="13">
        <v>3</v>
      </c>
      <c r="F907" s="13" t="s">
        <v>5402</v>
      </c>
      <c r="G907" s="13">
        <v>12</v>
      </c>
      <c r="H907" s="13">
        <v>0</v>
      </c>
      <c r="I907" s="13"/>
      <c r="J907" s="13" t="s">
        <v>5403</v>
      </c>
      <c r="K907" s="13" t="s">
        <v>5404</v>
      </c>
    </row>
    <row r="908" spans="1:11" x14ac:dyDescent="0.3">
      <c r="A908" s="13" t="s">
        <v>5328</v>
      </c>
      <c r="B908" s="13" t="s">
        <v>5388</v>
      </c>
      <c r="C908" s="13" t="s">
        <v>5405</v>
      </c>
      <c r="D908" s="13"/>
      <c r="E908" s="13">
        <v>3</v>
      </c>
      <c r="F908" s="13" t="s">
        <v>5406</v>
      </c>
      <c r="G908" s="13">
        <v>25</v>
      </c>
      <c r="H908" s="13">
        <v>0</v>
      </c>
      <c r="I908" s="13"/>
      <c r="J908" s="13" t="s">
        <v>5407</v>
      </c>
      <c r="K908" s="13" t="s">
        <v>5408</v>
      </c>
    </row>
    <row r="909" spans="1:11" x14ac:dyDescent="0.3">
      <c r="A909" s="13" t="s">
        <v>5328</v>
      </c>
      <c r="B909" s="13" t="s">
        <v>5388</v>
      </c>
      <c r="C909" s="13" t="s">
        <v>5409</v>
      </c>
      <c r="D909" s="13"/>
      <c r="E909" s="13">
        <v>3</v>
      </c>
      <c r="F909" s="13" t="s">
        <v>5410</v>
      </c>
      <c r="G909" s="13">
        <v>7</v>
      </c>
      <c r="H909" s="13">
        <v>0</v>
      </c>
      <c r="I909" s="13"/>
      <c r="J909" s="13" t="s">
        <v>5411</v>
      </c>
      <c r="K909" s="13" t="s">
        <v>5412</v>
      </c>
    </row>
    <row r="910" spans="1:11" x14ac:dyDescent="0.3">
      <c r="A910" s="13" t="s">
        <v>5328</v>
      </c>
      <c r="B910" s="13" t="s">
        <v>5388</v>
      </c>
      <c r="C910" s="13" t="s">
        <v>5413</v>
      </c>
      <c r="D910" s="13"/>
      <c r="E910" s="13">
        <v>3</v>
      </c>
      <c r="F910" s="13" t="s">
        <v>5414</v>
      </c>
      <c r="G910" s="13">
        <v>1</v>
      </c>
      <c r="H910" s="13">
        <v>0</v>
      </c>
      <c r="I910" s="13"/>
      <c r="J910" s="13" t="s">
        <v>5415</v>
      </c>
      <c r="K910" s="13" t="s">
        <v>5416</v>
      </c>
    </row>
    <row r="911" spans="1:11" x14ac:dyDescent="0.3">
      <c r="A911" s="13" t="s">
        <v>5328</v>
      </c>
      <c r="B911" s="13" t="s">
        <v>5417</v>
      </c>
      <c r="C911" s="13" t="s">
        <v>5418</v>
      </c>
      <c r="D911" s="13"/>
      <c r="E911" s="13">
        <v>3</v>
      </c>
      <c r="F911" s="13" t="s">
        <v>5419</v>
      </c>
      <c r="G911" s="13">
        <v>23</v>
      </c>
      <c r="H911" s="13">
        <v>0</v>
      </c>
      <c r="I911" s="13"/>
      <c r="J911" s="13" t="s">
        <v>5420</v>
      </c>
      <c r="K911" s="13" t="s">
        <v>5421</v>
      </c>
    </row>
    <row r="912" spans="1:11" x14ac:dyDescent="0.3">
      <c r="A912" s="13" t="s">
        <v>5328</v>
      </c>
      <c r="B912" s="13" t="s">
        <v>5417</v>
      </c>
      <c r="C912" s="13" t="s">
        <v>5422</v>
      </c>
      <c r="D912" s="13"/>
      <c r="E912" s="13">
        <v>3</v>
      </c>
      <c r="F912" s="13" t="s">
        <v>5423</v>
      </c>
      <c r="G912" s="13">
        <v>1</v>
      </c>
      <c r="H912" s="13">
        <v>1</v>
      </c>
      <c r="I912" s="13"/>
      <c r="J912" s="13" t="s">
        <v>5424</v>
      </c>
      <c r="K912" s="13" t="s">
        <v>5425</v>
      </c>
    </row>
    <row r="913" spans="1:11" x14ac:dyDescent="0.3">
      <c r="A913" s="13" t="s">
        <v>5328</v>
      </c>
      <c r="B913" s="13" t="s">
        <v>5417</v>
      </c>
      <c r="C913" s="13" t="s">
        <v>5426</v>
      </c>
      <c r="D913" s="13"/>
      <c r="E913" s="13">
        <v>3</v>
      </c>
      <c r="F913" s="13" t="s">
        <v>5427</v>
      </c>
      <c r="G913" s="13">
        <v>10</v>
      </c>
      <c r="H913" s="13">
        <v>0</v>
      </c>
      <c r="I913" s="13"/>
      <c r="J913" s="13" t="s">
        <v>5428</v>
      </c>
      <c r="K913" s="13" t="s">
        <v>5429</v>
      </c>
    </row>
    <row r="914" spans="1:11" x14ac:dyDescent="0.3">
      <c r="A914" s="13" t="s">
        <v>5328</v>
      </c>
      <c r="B914" s="13" t="s">
        <v>5417</v>
      </c>
      <c r="C914" s="13" t="s">
        <v>5430</v>
      </c>
      <c r="D914" s="13"/>
      <c r="E914" s="13">
        <v>3</v>
      </c>
      <c r="F914" s="13" t="s">
        <v>5431</v>
      </c>
      <c r="G914" s="13">
        <v>13</v>
      </c>
      <c r="H914" s="13">
        <v>0</v>
      </c>
      <c r="I914" s="13"/>
      <c r="J914" s="13" t="s">
        <v>5432</v>
      </c>
      <c r="K914" s="13" t="s">
        <v>5433</v>
      </c>
    </row>
    <row r="915" spans="1:11" x14ac:dyDescent="0.3">
      <c r="A915" s="13" t="s">
        <v>5328</v>
      </c>
      <c r="B915" s="13" t="s">
        <v>5417</v>
      </c>
      <c r="C915" s="13" t="s">
        <v>5434</v>
      </c>
      <c r="D915" s="13"/>
      <c r="E915" s="13">
        <v>3</v>
      </c>
      <c r="F915" s="13" t="s">
        <v>5435</v>
      </c>
      <c r="G915" s="13">
        <v>115</v>
      </c>
      <c r="H915" s="13">
        <v>0</v>
      </c>
      <c r="I915" s="13"/>
      <c r="J915" s="13" t="s">
        <v>5436</v>
      </c>
      <c r="K915" s="13" t="s">
        <v>5437</v>
      </c>
    </row>
    <row r="916" spans="1:11" x14ac:dyDescent="0.3">
      <c r="A916" s="13" t="s">
        <v>5328</v>
      </c>
      <c r="B916" s="13" t="s">
        <v>5417</v>
      </c>
      <c r="C916" s="13" t="s">
        <v>5438</v>
      </c>
      <c r="D916" s="13"/>
      <c r="E916" s="13">
        <v>3</v>
      </c>
      <c r="F916" s="13" t="s">
        <v>5439</v>
      </c>
      <c r="G916" s="13">
        <v>56</v>
      </c>
      <c r="H916" s="13">
        <v>0</v>
      </c>
      <c r="I916" s="13"/>
      <c r="J916" s="13" t="s">
        <v>5440</v>
      </c>
      <c r="K916" s="13" t="s">
        <v>5441</v>
      </c>
    </row>
    <row r="917" spans="1:11" x14ac:dyDescent="0.3">
      <c r="A917" s="13" t="s">
        <v>995</v>
      </c>
      <c r="B917" s="13" t="s">
        <v>5442</v>
      </c>
      <c r="C917" s="13" t="s">
        <v>5443</v>
      </c>
      <c r="D917" s="13"/>
      <c r="E917" s="13">
        <v>3</v>
      </c>
      <c r="F917" s="13" t="s">
        <v>5444</v>
      </c>
      <c r="G917" s="13">
        <v>1</v>
      </c>
      <c r="H917" s="13">
        <v>0</v>
      </c>
      <c r="I917" s="13"/>
      <c r="J917" s="13" t="s">
        <v>5445</v>
      </c>
      <c r="K917" s="13" t="s">
        <v>5446</v>
      </c>
    </row>
    <row r="918" spans="1:11" x14ac:dyDescent="0.3">
      <c r="A918" s="13" t="s">
        <v>995</v>
      </c>
      <c r="B918" s="13" t="s">
        <v>5442</v>
      </c>
      <c r="C918" s="13" t="s">
        <v>5447</v>
      </c>
      <c r="D918" s="13"/>
      <c r="E918" s="13">
        <v>3</v>
      </c>
      <c r="F918" s="13" t="s">
        <v>5448</v>
      </c>
      <c r="G918" s="13">
        <v>541</v>
      </c>
      <c r="H918" s="13">
        <v>0</v>
      </c>
      <c r="I918" s="13"/>
      <c r="J918" s="13" t="s">
        <v>5449</v>
      </c>
      <c r="K918" s="13" t="s">
        <v>5450</v>
      </c>
    </row>
    <row r="919" spans="1:11" x14ac:dyDescent="0.3">
      <c r="A919" s="13" t="s">
        <v>995</v>
      </c>
      <c r="B919" s="13" t="s">
        <v>5442</v>
      </c>
      <c r="C919" s="13" t="s">
        <v>5451</v>
      </c>
      <c r="D919" s="13"/>
      <c r="E919" s="13">
        <v>3</v>
      </c>
      <c r="F919" s="13" t="s">
        <v>5452</v>
      </c>
      <c r="G919" s="13">
        <v>5</v>
      </c>
      <c r="H919" s="13">
        <v>0</v>
      </c>
      <c r="I919" s="13"/>
      <c r="J919" s="13" t="s">
        <v>5453</v>
      </c>
      <c r="K919" s="13" t="s">
        <v>5454</v>
      </c>
    </row>
    <row r="920" spans="1:11" x14ac:dyDescent="0.3">
      <c r="A920" s="13" t="s">
        <v>995</v>
      </c>
      <c r="B920" s="13" t="s">
        <v>5455</v>
      </c>
      <c r="C920" s="13" t="s">
        <v>5456</v>
      </c>
      <c r="D920" s="13"/>
      <c r="E920" s="13">
        <v>3</v>
      </c>
      <c r="F920" s="13" t="s">
        <v>5457</v>
      </c>
      <c r="G920" s="13">
        <v>71</v>
      </c>
      <c r="H920" s="13">
        <v>0</v>
      </c>
      <c r="I920" s="13"/>
      <c r="J920" s="13" t="s">
        <v>5458</v>
      </c>
      <c r="K920" s="13" t="s">
        <v>5459</v>
      </c>
    </row>
    <row r="921" spans="1:11" x14ac:dyDescent="0.3">
      <c r="A921" s="13" t="s">
        <v>995</v>
      </c>
      <c r="B921" s="13" t="s">
        <v>5455</v>
      </c>
      <c r="C921" s="13" t="s">
        <v>5455</v>
      </c>
      <c r="D921" s="13"/>
      <c r="E921" s="13">
        <v>3</v>
      </c>
      <c r="F921" s="13" t="s">
        <v>5460</v>
      </c>
      <c r="G921" s="13">
        <v>131</v>
      </c>
      <c r="H921" s="13">
        <v>0</v>
      </c>
      <c r="I921" s="13"/>
      <c r="J921" s="13" t="s">
        <v>5461</v>
      </c>
      <c r="K921" s="13" t="s">
        <v>5462</v>
      </c>
    </row>
    <row r="922" spans="1:11" x14ac:dyDescent="0.3">
      <c r="A922" s="13" t="s">
        <v>995</v>
      </c>
      <c r="B922" s="13" t="s">
        <v>5455</v>
      </c>
      <c r="C922" s="13" t="s">
        <v>5463</v>
      </c>
      <c r="D922" s="13"/>
      <c r="E922" s="13">
        <v>3</v>
      </c>
      <c r="F922" s="13" t="s">
        <v>5464</v>
      </c>
      <c r="G922" s="13">
        <v>52</v>
      </c>
      <c r="H922" s="13">
        <v>0</v>
      </c>
      <c r="I922" s="13"/>
      <c r="J922" s="13" t="s">
        <v>5465</v>
      </c>
      <c r="K922" s="13" t="s">
        <v>5466</v>
      </c>
    </row>
    <row r="923" spans="1:11" x14ac:dyDescent="0.3">
      <c r="A923" s="13" t="s">
        <v>995</v>
      </c>
      <c r="B923" s="13" t="s">
        <v>5455</v>
      </c>
      <c r="C923" s="13" t="s">
        <v>5467</v>
      </c>
      <c r="D923" s="13"/>
      <c r="E923" s="13">
        <v>3</v>
      </c>
      <c r="F923" s="13" t="s">
        <v>5468</v>
      </c>
      <c r="G923" s="13">
        <v>30</v>
      </c>
      <c r="H923" s="13">
        <v>0</v>
      </c>
      <c r="I923" s="13"/>
      <c r="J923" s="13" t="s">
        <v>5469</v>
      </c>
      <c r="K923" s="13" t="s">
        <v>5470</v>
      </c>
    </row>
    <row r="924" spans="1:11" x14ac:dyDescent="0.3">
      <c r="A924" s="13" t="s">
        <v>995</v>
      </c>
      <c r="B924" s="13" t="s">
        <v>5471</v>
      </c>
      <c r="C924" s="13" t="s">
        <v>5472</v>
      </c>
      <c r="D924" s="13"/>
      <c r="E924" s="13">
        <v>3</v>
      </c>
      <c r="F924" s="13" t="s">
        <v>5473</v>
      </c>
      <c r="G924" s="13">
        <v>209</v>
      </c>
      <c r="H924" s="13">
        <v>0</v>
      </c>
      <c r="I924" s="13"/>
      <c r="J924" s="13" t="s">
        <v>5474</v>
      </c>
      <c r="K924" s="13" t="s">
        <v>5475</v>
      </c>
    </row>
    <row r="925" spans="1:11" x14ac:dyDescent="0.3">
      <c r="A925" s="13" t="s">
        <v>995</v>
      </c>
      <c r="B925" s="13" t="s">
        <v>5471</v>
      </c>
      <c r="C925" s="13" t="s">
        <v>5476</v>
      </c>
      <c r="D925" s="13"/>
      <c r="E925" s="13">
        <v>3</v>
      </c>
      <c r="F925" s="13" t="s">
        <v>5477</v>
      </c>
      <c r="G925" s="13">
        <v>35</v>
      </c>
      <c r="H925" s="13">
        <v>0</v>
      </c>
      <c r="I925" s="13"/>
      <c r="J925" s="13" t="s">
        <v>5478</v>
      </c>
      <c r="K925" s="13" t="s">
        <v>5479</v>
      </c>
    </row>
    <row r="926" spans="1:11" x14ac:dyDescent="0.3">
      <c r="A926" s="13" t="s">
        <v>995</v>
      </c>
      <c r="B926" s="13" t="s">
        <v>5471</v>
      </c>
      <c r="C926" s="13" t="s">
        <v>5480</v>
      </c>
      <c r="D926" s="13"/>
      <c r="E926" s="13">
        <v>3</v>
      </c>
      <c r="F926" s="13" t="s">
        <v>5481</v>
      </c>
      <c r="G926" s="13">
        <v>11</v>
      </c>
      <c r="H926" s="13">
        <v>0</v>
      </c>
      <c r="I926" s="13"/>
      <c r="J926" s="13" t="s">
        <v>5482</v>
      </c>
      <c r="K926" s="13" t="s">
        <v>5483</v>
      </c>
    </row>
    <row r="927" spans="1:11" x14ac:dyDescent="0.3">
      <c r="A927" s="13" t="s">
        <v>995</v>
      </c>
      <c r="B927" s="13" t="s">
        <v>5471</v>
      </c>
      <c r="C927" s="13" t="s">
        <v>5484</v>
      </c>
      <c r="D927" s="13"/>
      <c r="E927" s="13">
        <v>3</v>
      </c>
      <c r="F927" s="13" t="s">
        <v>5485</v>
      </c>
      <c r="G927" s="13">
        <v>11</v>
      </c>
      <c r="H927" s="13">
        <v>0</v>
      </c>
      <c r="I927" s="13"/>
      <c r="J927" s="13" t="s">
        <v>5486</v>
      </c>
      <c r="K927" s="13" t="s">
        <v>5487</v>
      </c>
    </row>
    <row r="928" spans="1:11" x14ac:dyDescent="0.3">
      <c r="A928" s="13" t="s">
        <v>995</v>
      </c>
      <c r="B928" s="13" t="s">
        <v>5471</v>
      </c>
      <c r="C928" s="13" t="s">
        <v>5488</v>
      </c>
      <c r="D928" s="13"/>
      <c r="E928" s="13">
        <v>3</v>
      </c>
      <c r="F928" s="13" t="s">
        <v>5489</v>
      </c>
      <c r="G928" s="13">
        <v>232</v>
      </c>
      <c r="H928" s="13">
        <v>0</v>
      </c>
      <c r="I928" s="13"/>
      <c r="J928" s="13" t="s">
        <v>5490</v>
      </c>
      <c r="K928" s="13" t="s">
        <v>5491</v>
      </c>
    </row>
    <row r="929" spans="1:11" x14ac:dyDescent="0.3">
      <c r="A929" s="13" t="s">
        <v>995</v>
      </c>
      <c r="B929" s="13" t="s">
        <v>5471</v>
      </c>
      <c r="C929" s="13" t="s">
        <v>5492</v>
      </c>
      <c r="D929" s="13"/>
      <c r="E929" s="13">
        <v>3</v>
      </c>
      <c r="F929" s="13" t="s">
        <v>5493</v>
      </c>
      <c r="G929" s="13">
        <v>154</v>
      </c>
      <c r="H929" s="13">
        <v>0</v>
      </c>
      <c r="I929" s="13"/>
      <c r="J929" s="13" t="s">
        <v>5494</v>
      </c>
      <c r="K929" s="13" t="s">
        <v>5495</v>
      </c>
    </row>
    <row r="930" spans="1:11" x14ac:dyDescent="0.3">
      <c r="A930" s="13" t="s">
        <v>995</v>
      </c>
      <c r="B930" s="13" t="s">
        <v>5471</v>
      </c>
      <c r="C930" s="13" t="s">
        <v>5496</v>
      </c>
      <c r="D930" s="13" t="s">
        <v>5497</v>
      </c>
      <c r="E930" s="13">
        <v>4</v>
      </c>
      <c r="F930" s="13" t="s">
        <v>5498</v>
      </c>
      <c r="G930" s="13">
        <v>2</v>
      </c>
      <c r="H930" s="13">
        <v>0</v>
      </c>
      <c r="I930" s="13"/>
      <c r="J930" s="13" t="s">
        <v>5499</v>
      </c>
      <c r="K930" s="13" t="s">
        <v>5500</v>
      </c>
    </row>
    <row r="931" spans="1:11" x14ac:dyDescent="0.3">
      <c r="A931" s="13" t="s">
        <v>995</v>
      </c>
      <c r="B931" s="13" t="s">
        <v>5501</v>
      </c>
      <c r="C931" s="13" t="s">
        <v>5502</v>
      </c>
      <c r="D931" s="13"/>
      <c r="E931" s="13">
        <v>3</v>
      </c>
      <c r="F931" s="13" t="s">
        <v>5503</v>
      </c>
      <c r="G931" s="13">
        <v>132</v>
      </c>
      <c r="H931" s="13">
        <v>0</v>
      </c>
      <c r="I931" s="13"/>
      <c r="J931" s="13" t="s">
        <v>5504</v>
      </c>
      <c r="K931" s="13" t="s">
        <v>5505</v>
      </c>
    </row>
    <row r="932" spans="1:11" x14ac:dyDescent="0.3">
      <c r="A932" s="13" t="s">
        <v>995</v>
      </c>
      <c r="B932" s="13" t="s">
        <v>5501</v>
      </c>
      <c r="C932" s="13" t="s">
        <v>5506</v>
      </c>
      <c r="D932" s="13"/>
      <c r="E932" s="13">
        <v>3</v>
      </c>
      <c r="F932" s="13" t="s">
        <v>5507</v>
      </c>
      <c r="G932" s="13">
        <v>64</v>
      </c>
      <c r="H932" s="13">
        <v>0</v>
      </c>
      <c r="I932" s="13"/>
      <c r="J932" s="13" t="s">
        <v>5508</v>
      </c>
      <c r="K932" s="13" t="s">
        <v>5509</v>
      </c>
    </row>
    <row r="933" spans="1:11" x14ac:dyDescent="0.3">
      <c r="A933" s="13" t="s">
        <v>995</v>
      </c>
      <c r="B933" s="13" t="s">
        <v>5501</v>
      </c>
      <c r="C933" s="13" t="s">
        <v>5510</v>
      </c>
      <c r="D933" s="13"/>
      <c r="E933" s="13">
        <v>3</v>
      </c>
      <c r="F933" s="13" t="s">
        <v>5511</v>
      </c>
      <c r="G933" s="13">
        <v>194</v>
      </c>
      <c r="H933" s="13">
        <v>0</v>
      </c>
      <c r="I933" s="13"/>
      <c r="J933" s="13" t="s">
        <v>5512</v>
      </c>
      <c r="K933" s="13" t="s">
        <v>5513</v>
      </c>
    </row>
    <row r="934" spans="1:11" x14ac:dyDescent="0.3">
      <c r="A934" s="13" t="s">
        <v>995</v>
      </c>
      <c r="B934" s="13" t="s">
        <v>5514</v>
      </c>
      <c r="C934" s="13"/>
      <c r="D934" s="13"/>
      <c r="E934" s="13">
        <v>2</v>
      </c>
      <c r="F934" s="13" t="s">
        <v>5515</v>
      </c>
      <c r="G934" s="13">
        <v>8</v>
      </c>
      <c r="H934" s="13">
        <v>0</v>
      </c>
      <c r="I934" s="13"/>
      <c r="J934" s="13" t="s">
        <v>5516</v>
      </c>
      <c r="K934" s="13" t="s">
        <v>5517</v>
      </c>
    </row>
    <row r="935" spans="1:11" x14ac:dyDescent="0.3">
      <c r="A935" s="13" t="s">
        <v>995</v>
      </c>
      <c r="B935" s="13" t="s">
        <v>996</v>
      </c>
      <c r="C935" s="13" t="s">
        <v>5518</v>
      </c>
      <c r="D935" s="13"/>
      <c r="E935" s="13">
        <v>3</v>
      </c>
      <c r="F935" s="13" t="s">
        <v>5519</v>
      </c>
      <c r="G935" s="13">
        <v>1</v>
      </c>
      <c r="H935" s="13">
        <v>1</v>
      </c>
      <c r="I935" s="13"/>
      <c r="J935" s="13" t="s">
        <v>5520</v>
      </c>
      <c r="K935" s="13" t="s">
        <v>5521</v>
      </c>
    </row>
    <row r="936" spans="1:11" x14ac:dyDescent="0.3">
      <c r="A936" s="13" t="s">
        <v>995</v>
      </c>
      <c r="B936" s="13" t="s">
        <v>996</v>
      </c>
      <c r="C936" s="13" t="s">
        <v>5522</v>
      </c>
      <c r="D936" s="13"/>
      <c r="E936" s="13">
        <v>3</v>
      </c>
      <c r="F936" s="13" t="s">
        <v>5523</v>
      </c>
      <c r="G936" s="13">
        <v>6</v>
      </c>
      <c r="H936" s="13">
        <v>6</v>
      </c>
      <c r="I936" s="13"/>
      <c r="J936" s="13" t="s">
        <v>5524</v>
      </c>
      <c r="K936" s="13" t="s">
        <v>5525</v>
      </c>
    </row>
    <row r="937" spans="1:11" x14ac:dyDescent="0.3">
      <c r="A937" s="13" t="s">
        <v>995</v>
      </c>
      <c r="B937" s="13" t="s">
        <v>996</v>
      </c>
      <c r="C937" s="13" t="s">
        <v>5526</v>
      </c>
      <c r="D937" s="13"/>
      <c r="E937" s="13">
        <v>3</v>
      </c>
      <c r="F937" s="13" t="s">
        <v>5527</v>
      </c>
      <c r="G937" s="13">
        <v>4</v>
      </c>
      <c r="H937" s="13">
        <v>4</v>
      </c>
      <c r="I937" s="13"/>
      <c r="J937" s="13" t="s">
        <v>5528</v>
      </c>
      <c r="K937" s="13" t="s">
        <v>5529</v>
      </c>
    </row>
    <row r="938" spans="1:11" x14ac:dyDescent="0.3">
      <c r="A938" s="13" t="s">
        <v>995</v>
      </c>
      <c r="B938" s="13" t="s">
        <v>996</v>
      </c>
      <c r="C938" s="13" t="s">
        <v>5530</v>
      </c>
      <c r="D938" s="13"/>
      <c r="E938" s="13">
        <v>3</v>
      </c>
      <c r="F938" s="13" t="s">
        <v>5531</v>
      </c>
      <c r="G938" s="13">
        <v>7</v>
      </c>
      <c r="H938" s="13">
        <v>6</v>
      </c>
      <c r="I938" s="13"/>
      <c r="J938" s="13" t="s">
        <v>5532</v>
      </c>
      <c r="K938" s="13" t="s">
        <v>5533</v>
      </c>
    </row>
    <row r="939" spans="1:11" x14ac:dyDescent="0.3">
      <c r="A939" s="13" t="s">
        <v>995</v>
      </c>
      <c r="B939" s="13" t="s">
        <v>996</v>
      </c>
      <c r="C939" s="13" t="s">
        <v>997</v>
      </c>
      <c r="D939" s="13"/>
      <c r="E939" s="13">
        <v>3</v>
      </c>
      <c r="F939" s="13" t="s">
        <v>774</v>
      </c>
      <c r="G939" s="13">
        <v>99</v>
      </c>
      <c r="H939" s="13">
        <v>98</v>
      </c>
      <c r="I939" s="3" t="s">
        <v>772</v>
      </c>
      <c r="J939" s="13" t="s">
        <v>773</v>
      </c>
      <c r="K939" s="13" t="s">
        <v>5534</v>
      </c>
    </row>
    <row r="940" spans="1:11" x14ac:dyDescent="0.3">
      <c r="A940" s="13" t="s">
        <v>995</v>
      </c>
      <c r="B940" s="13" t="s">
        <v>996</v>
      </c>
      <c r="C940" s="13" t="s">
        <v>5535</v>
      </c>
      <c r="D940" s="13"/>
      <c r="E940" s="13">
        <v>3</v>
      </c>
      <c r="F940" s="13" t="s">
        <v>5536</v>
      </c>
      <c r="G940" s="13">
        <v>19</v>
      </c>
      <c r="H940" s="13">
        <v>18</v>
      </c>
      <c r="I940" s="13"/>
      <c r="J940" s="13" t="s">
        <v>5537</v>
      </c>
      <c r="K940" s="13" t="s">
        <v>5538</v>
      </c>
    </row>
    <row r="941" spans="1:11" x14ac:dyDescent="0.3">
      <c r="A941" s="13" t="s">
        <v>995</v>
      </c>
      <c r="B941" s="13" t="s">
        <v>5539</v>
      </c>
      <c r="C941" s="13" t="s">
        <v>5540</v>
      </c>
      <c r="D941" s="13"/>
      <c r="E941" s="13">
        <v>3</v>
      </c>
      <c r="F941" s="13" t="s">
        <v>5541</v>
      </c>
      <c r="G941" s="13">
        <v>1</v>
      </c>
      <c r="H941" s="13">
        <v>0</v>
      </c>
      <c r="I941" s="13"/>
      <c r="J941" s="13" t="s">
        <v>5542</v>
      </c>
      <c r="K941" s="13" t="s">
        <v>5543</v>
      </c>
    </row>
    <row r="942" spans="1:11" x14ac:dyDescent="0.3">
      <c r="A942" s="13" t="s">
        <v>995</v>
      </c>
      <c r="B942" s="13" t="s">
        <v>5539</v>
      </c>
      <c r="C942" s="13" t="s">
        <v>5544</v>
      </c>
      <c r="D942" s="13"/>
      <c r="E942" s="13">
        <v>3</v>
      </c>
      <c r="F942" s="13" t="s">
        <v>5545</v>
      </c>
      <c r="G942" s="13">
        <v>155</v>
      </c>
      <c r="H942" s="13">
        <v>0</v>
      </c>
      <c r="I942" s="13"/>
      <c r="J942" s="13" t="s">
        <v>5546</v>
      </c>
      <c r="K942" s="13" t="s">
        <v>5547</v>
      </c>
    </row>
    <row r="943" spans="1:11" x14ac:dyDescent="0.3">
      <c r="A943" s="13" t="s">
        <v>995</v>
      </c>
      <c r="B943" s="13" t="s">
        <v>5539</v>
      </c>
      <c r="C943" s="13" t="s">
        <v>5548</v>
      </c>
      <c r="D943" s="13"/>
      <c r="E943" s="13">
        <v>3</v>
      </c>
      <c r="F943" s="13" t="s">
        <v>5549</v>
      </c>
      <c r="G943" s="13">
        <v>729</v>
      </c>
      <c r="H943" s="13">
        <v>0</v>
      </c>
      <c r="I943" s="13"/>
      <c r="J943" s="13" t="s">
        <v>5550</v>
      </c>
      <c r="K943" s="13" t="s">
        <v>5551</v>
      </c>
    </row>
    <row r="944" spans="1:11" x14ac:dyDescent="0.3">
      <c r="A944" s="13" t="s">
        <v>995</v>
      </c>
      <c r="B944" s="13" t="s">
        <v>5539</v>
      </c>
      <c r="C944" s="13" t="s">
        <v>5552</v>
      </c>
      <c r="D944" s="13"/>
      <c r="E944" s="13">
        <v>3</v>
      </c>
      <c r="F944" s="13" t="s">
        <v>5553</v>
      </c>
      <c r="G944" s="13">
        <v>5</v>
      </c>
      <c r="H944" s="13">
        <v>0</v>
      </c>
      <c r="I944" s="13"/>
      <c r="J944" s="13" t="s">
        <v>5554</v>
      </c>
      <c r="K944" s="13" t="s">
        <v>5555</v>
      </c>
    </row>
    <row r="945" spans="1:11" x14ac:dyDescent="0.3">
      <c r="A945" s="13" t="s">
        <v>995</v>
      </c>
      <c r="B945" s="13" t="s">
        <v>5539</v>
      </c>
      <c r="C945" s="13" t="s">
        <v>5556</v>
      </c>
      <c r="D945" s="13"/>
      <c r="E945" s="13">
        <v>3</v>
      </c>
      <c r="F945" s="13" t="s">
        <v>5557</v>
      </c>
      <c r="G945" s="13">
        <v>28</v>
      </c>
      <c r="H945" s="13">
        <v>0</v>
      </c>
      <c r="I945" s="13"/>
      <c r="J945" s="13" t="s">
        <v>5558</v>
      </c>
      <c r="K945" s="13" t="s">
        <v>5559</v>
      </c>
    </row>
    <row r="946" spans="1:11" x14ac:dyDescent="0.3">
      <c r="A946" s="13" t="s">
        <v>995</v>
      </c>
      <c r="B946" s="13" t="s">
        <v>5560</v>
      </c>
      <c r="C946" s="13" t="s">
        <v>5561</v>
      </c>
      <c r="D946" s="13"/>
      <c r="E946" s="13">
        <v>3</v>
      </c>
      <c r="F946" s="13" t="s">
        <v>5562</v>
      </c>
      <c r="G946" s="13">
        <v>7</v>
      </c>
      <c r="H946" s="13">
        <v>0</v>
      </c>
      <c r="I946" s="13"/>
      <c r="J946" s="13" t="s">
        <v>5563</v>
      </c>
      <c r="K946" s="13" t="s">
        <v>5564</v>
      </c>
    </row>
    <row r="947" spans="1:11" x14ac:dyDescent="0.3">
      <c r="A947" s="13" t="s">
        <v>995</v>
      </c>
      <c r="B947" s="13" t="s">
        <v>5560</v>
      </c>
      <c r="C947" s="13" t="s">
        <v>5565</v>
      </c>
      <c r="D947" s="13"/>
      <c r="E947" s="13">
        <v>3</v>
      </c>
      <c r="F947" s="13" t="s">
        <v>5566</v>
      </c>
      <c r="G947" s="13">
        <v>5</v>
      </c>
      <c r="H947" s="13">
        <v>0</v>
      </c>
      <c r="I947" s="13"/>
      <c r="J947" s="13" t="s">
        <v>5567</v>
      </c>
      <c r="K947" s="13" t="s">
        <v>5568</v>
      </c>
    </row>
    <row r="948" spans="1:11" x14ac:dyDescent="0.3">
      <c r="A948" s="13" t="s">
        <v>995</v>
      </c>
      <c r="B948" s="13" t="s">
        <v>5560</v>
      </c>
      <c r="C948" s="13" t="s">
        <v>5569</v>
      </c>
      <c r="D948" s="13"/>
      <c r="E948" s="13">
        <v>3</v>
      </c>
      <c r="F948" s="13" t="s">
        <v>5570</v>
      </c>
      <c r="G948" s="13">
        <v>26</v>
      </c>
      <c r="H948" s="13">
        <v>0</v>
      </c>
      <c r="I948" s="13"/>
      <c r="J948" s="13" t="s">
        <v>5571</v>
      </c>
      <c r="K948" s="13" t="s">
        <v>5572</v>
      </c>
    </row>
    <row r="949" spans="1:11" x14ac:dyDescent="0.3">
      <c r="A949" s="13" t="s">
        <v>995</v>
      </c>
      <c r="B949" s="13" t="s">
        <v>5560</v>
      </c>
      <c r="C949" s="13" t="s">
        <v>5573</v>
      </c>
      <c r="D949" s="13"/>
      <c r="E949" s="13">
        <v>3</v>
      </c>
      <c r="F949" s="13" t="s">
        <v>5574</v>
      </c>
      <c r="G949" s="13">
        <v>3</v>
      </c>
      <c r="H949" s="13">
        <v>0</v>
      </c>
      <c r="I949" s="13"/>
      <c r="J949" s="13" t="s">
        <v>5575</v>
      </c>
      <c r="K949" s="13" t="s">
        <v>5576</v>
      </c>
    </row>
    <row r="950" spans="1:11" x14ac:dyDescent="0.3">
      <c r="A950" s="13" t="s">
        <v>995</v>
      </c>
      <c r="B950" s="13" t="s">
        <v>5560</v>
      </c>
      <c r="C950" s="13" t="s">
        <v>5577</v>
      </c>
      <c r="D950" s="13"/>
      <c r="E950" s="13">
        <v>3</v>
      </c>
      <c r="F950" s="13" t="s">
        <v>5578</v>
      </c>
      <c r="G950" s="13">
        <v>1</v>
      </c>
      <c r="H950" s="13">
        <v>0</v>
      </c>
      <c r="I950" s="13"/>
      <c r="J950" s="13" t="s">
        <v>5579</v>
      </c>
      <c r="K950" s="13" t="s">
        <v>5580</v>
      </c>
    </row>
    <row r="951" spans="1:11" x14ac:dyDescent="0.3">
      <c r="A951" s="13" t="s">
        <v>995</v>
      </c>
      <c r="B951" s="13" t="s">
        <v>5560</v>
      </c>
      <c r="C951" s="13" t="s">
        <v>5581</v>
      </c>
      <c r="D951" s="13"/>
      <c r="E951" s="13">
        <v>3</v>
      </c>
      <c r="F951" s="13" t="s">
        <v>5582</v>
      </c>
      <c r="G951" s="13">
        <v>7</v>
      </c>
      <c r="H951" s="13">
        <v>0</v>
      </c>
      <c r="I951" s="13"/>
      <c r="J951" s="13" t="s">
        <v>5583</v>
      </c>
      <c r="K951" s="13" t="s">
        <v>5584</v>
      </c>
    </row>
    <row r="952" spans="1:11" x14ac:dyDescent="0.3">
      <c r="A952" s="13" t="s">
        <v>995</v>
      </c>
      <c r="B952" s="13" t="s">
        <v>5560</v>
      </c>
      <c r="C952" s="13" t="s">
        <v>5585</v>
      </c>
      <c r="D952" s="13"/>
      <c r="E952" s="13">
        <v>3</v>
      </c>
      <c r="F952" s="13" t="s">
        <v>5586</v>
      </c>
      <c r="G952" s="13">
        <v>64</v>
      </c>
      <c r="H952" s="13">
        <v>0</v>
      </c>
      <c r="I952" s="13"/>
      <c r="J952" s="13" t="s">
        <v>5587</v>
      </c>
      <c r="K952" s="13" t="s">
        <v>5588</v>
      </c>
    </row>
    <row r="953" spans="1:11" x14ac:dyDescent="0.3">
      <c r="A953" s="13" t="s">
        <v>995</v>
      </c>
      <c r="B953" s="13" t="s">
        <v>5560</v>
      </c>
      <c r="C953" s="13" t="s">
        <v>5589</v>
      </c>
      <c r="D953" s="13"/>
      <c r="E953" s="13">
        <v>3</v>
      </c>
      <c r="F953" s="13" t="s">
        <v>5590</v>
      </c>
      <c r="G953" s="13">
        <v>9</v>
      </c>
      <c r="H953" s="13">
        <v>0</v>
      </c>
      <c r="I953" s="13"/>
      <c r="J953" s="13" t="s">
        <v>5591</v>
      </c>
      <c r="K953" s="13" t="s">
        <v>5592</v>
      </c>
    </row>
    <row r="954" spans="1:11" x14ac:dyDescent="0.3">
      <c r="A954" s="13" t="s">
        <v>995</v>
      </c>
      <c r="B954" s="13" t="s">
        <v>5560</v>
      </c>
      <c r="C954" s="13" t="s">
        <v>5593</v>
      </c>
      <c r="D954" s="13"/>
      <c r="E954" s="13">
        <v>3</v>
      </c>
      <c r="F954" s="13" t="s">
        <v>5594</v>
      </c>
      <c r="G954" s="13">
        <v>9</v>
      </c>
      <c r="H954" s="13">
        <v>0</v>
      </c>
      <c r="I954" s="13"/>
      <c r="J954" s="13" t="s">
        <v>5595</v>
      </c>
      <c r="K954" s="13" t="s">
        <v>5596</v>
      </c>
    </row>
    <row r="955" spans="1:11" x14ac:dyDescent="0.3">
      <c r="A955" s="13" t="s">
        <v>995</v>
      </c>
      <c r="B955" s="13" t="s">
        <v>5560</v>
      </c>
      <c r="C955" s="13" t="s">
        <v>5597</v>
      </c>
      <c r="D955" s="13"/>
      <c r="E955" s="13">
        <v>3</v>
      </c>
      <c r="F955" s="13" t="s">
        <v>5598</v>
      </c>
      <c r="G955" s="13">
        <v>6</v>
      </c>
      <c r="H955" s="13">
        <v>0</v>
      </c>
      <c r="I955" s="13"/>
      <c r="J955" s="13" t="s">
        <v>5599</v>
      </c>
      <c r="K955" s="13" t="s">
        <v>5600</v>
      </c>
    </row>
    <row r="956" spans="1:11" x14ac:dyDescent="0.3">
      <c r="A956" s="13" t="s">
        <v>995</v>
      </c>
      <c r="B956" s="13" t="s">
        <v>1103</v>
      </c>
      <c r="C956" s="13" t="s">
        <v>5601</v>
      </c>
      <c r="D956" s="13" t="s">
        <v>5602</v>
      </c>
      <c r="E956" s="13">
        <v>4</v>
      </c>
      <c r="F956" s="13" t="s">
        <v>5603</v>
      </c>
      <c r="G956" s="13">
        <v>5</v>
      </c>
      <c r="H956" s="13">
        <v>0</v>
      </c>
      <c r="I956" s="13"/>
      <c r="J956" s="13" t="s">
        <v>5604</v>
      </c>
      <c r="K956" s="13" t="s">
        <v>5605</v>
      </c>
    </row>
    <row r="957" spans="1:11" x14ac:dyDescent="0.3">
      <c r="A957" s="13" t="s">
        <v>995</v>
      </c>
      <c r="B957" s="13" t="s">
        <v>1103</v>
      </c>
      <c r="C957" s="13" t="s">
        <v>5601</v>
      </c>
      <c r="D957" s="13" t="s">
        <v>5606</v>
      </c>
      <c r="E957" s="13">
        <v>4</v>
      </c>
      <c r="F957" s="13" t="s">
        <v>5607</v>
      </c>
      <c r="G957" s="13">
        <v>1</v>
      </c>
      <c r="H957" s="13">
        <v>0</v>
      </c>
      <c r="I957" s="13"/>
      <c r="J957" s="13" t="s">
        <v>5608</v>
      </c>
      <c r="K957" s="13" t="s">
        <v>5609</v>
      </c>
    </row>
    <row r="958" spans="1:11" x14ac:dyDescent="0.3">
      <c r="A958" s="13" t="s">
        <v>995</v>
      </c>
      <c r="B958" s="13" t="s">
        <v>1103</v>
      </c>
      <c r="C958" s="13" t="s">
        <v>5610</v>
      </c>
      <c r="D958" s="13"/>
      <c r="E958" s="13">
        <v>3</v>
      </c>
      <c r="F958" s="13" t="s">
        <v>5611</v>
      </c>
      <c r="G958" s="13">
        <v>3</v>
      </c>
      <c r="H958" s="13">
        <v>0</v>
      </c>
      <c r="I958" s="13"/>
      <c r="J958" s="13" t="s">
        <v>5612</v>
      </c>
      <c r="K958" s="13" t="s">
        <v>5613</v>
      </c>
    </row>
    <row r="959" spans="1:11" x14ac:dyDescent="0.3">
      <c r="A959" s="13" t="s">
        <v>995</v>
      </c>
      <c r="B959" s="13" t="s">
        <v>1103</v>
      </c>
      <c r="C959" s="13" t="s">
        <v>5614</v>
      </c>
      <c r="D959" s="13" t="s">
        <v>5615</v>
      </c>
      <c r="E959" s="13">
        <v>4</v>
      </c>
      <c r="F959" s="13" t="s">
        <v>5616</v>
      </c>
      <c r="G959" s="13">
        <v>8</v>
      </c>
      <c r="H959" s="13">
        <v>0</v>
      </c>
      <c r="I959" s="13"/>
      <c r="J959" s="13" t="s">
        <v>5617</v>
      </c>
      <c r="K959" s="13" t="s">
        <v>5618</v>
      </c>
    </row>
    <row r="960" spans="1:11" x14ac:dyDescent="0.3">
      <c r="A960" s="13" t="s">
        <v>995</v>
      </c>
      <c r="B960" s="13" t="s">
        <v>1103</v>
      </c>
      <c r="C960" s="13" t="s">
        <v>5614</v>
      </c>
      <c r="D960" s="13" t="s">
        <v>5619</v>
      </c>
      <c r="E960" s="13">
        <v>4</v>
      </c>
      <c r="F960" s="13" t="s">
        <v>5620</v>
      </c>
      <c r="G960" s="13">
        <v>3</v>
      </c>
      <c r="H960" s="13">
        <v>0</v>
      </c>
      <c r="I960" s="13"/>
      <c r="J960" s="13" t="s">
        <v>5621</v>
      </c>
      <c r="K960" s="13" t="s">
        <v>5622</v>
      </c>
    </row>
    <row r="961" spans="1:11" x14ac:dyDescent="0.3">
      <c r="A961" s="13" t="s">
        <v>995</v>
      </c>
      <c r="B961" s="13" t="s">
        <v>1103</v>
      </c>
      <c r="C961" s="13" t="s">
        <v>5614</v>
      </c>
      <c r="D961" s="13" t="s">
        <v>5623</v>
      </c>
      <c r="E961" s="13">
        <v>4</v>
      </c>
      <c r="F961" s="13" t="s">
        <v>5624</v>
      </c>
      <c r="G961" s="13">
        <v>2</v>
      </c>
      <c r="H961" s="13">
        <v>0</v>
      </c>
      <c r="I961" s="13"/>
      <c r="J961" s="13" t="s">
        <v>5625</v>
      </c>
      <c r="K961" s="13" t="s">
        <v>5626</v>
      </c>
    </row>
    <row r="962" spans="1:11" x14ac:dyDescent="0.3">
      <c r="A962" s="13" t="s">
        <v>995</v>
      </c>
      <c r="B962" s="13" t="s">
        <v>1103</v>
      </c>
      <c r="C962" s="13" t="s">
        <v>5614</v>
      </c>
      <c r="D962" s="13" t="s">
        <v>5627</v>
      </c>
      <c r="E962" s="13">
        <v>4</v>
      </c>
      <c r="F962" s="13" t="s">
        <v>5628</v>
      </c>
      <c r="G962" s="13">
        <v>7</v>
      </c>
      <c r="H962" s="13">
        <v>0</v>
      </c>
      <c r="I962" s="13"/>
      <c r="J962" s="13" t="s">
        <v>5629</v>
      </c>
      <c r="K962" s="13" t="s">
        <v>5630</v>
      </c>
    </row>
    <row r="963" spans="1:11" x14ac:dyDescent="0.3">
      <c r="A963" s="13" t="s">
        <v>995</v>
      </c>
      <c r="B963" s="13" t="s">
        <v>1103</v>
      </c>
      <c r="C963" s="13" t="s">
        <v>5614</v>
      </c>
      <c r="D963" s="13" t="s">
        <v>5631</v>
      </c>
      <c r="E963" s="13">
        <v>4</v>
      </c>
      <c r="F963" s="13" t="s">
        <v>5632</v>
      </c>
      <c r="G963" s="13">
        <v>26</v>
      </c>
      <c r="H963" s="13">
        <v>0</v>
      </c>
      <c r="I963" s="13"/>
      <c r="J963" s="13" t="s">
        <v>5633</v>
      </c>
      <c r="K963" s="13" t="s">
        <v>5634</v>
      </c>
    </row>
    <row r="964" spans="1:11" x14ac:dyDescent="0.3">
      <c r="A964" s="13" t="s">
        <v>995</v>
      </c>
      <c r="B964" s="13" t="s">
        <v>1103</v>
      </c>
      <c r="C964" s="13" t="s">
        <v>5635</v>
      </c>
      <c r="D964" s="13" t="s">
        <v>5636</v>
      </c>
      <c r="E964" s="13">
        <v>4</v>
      </c>
      <c r="F964" s="13" t="s">
        <v>5637</v>
      </c>
      <c r="G964" s="13">
        <v>1</v>
      </c>
      <c r="H964" s="13">
        <v>0</v>
      </c>
      <c r="I964" s="13"/>
      <c r="J964" s="13" t="s">
        <v>5638</v>
      </c>
      <c r="K964" s="13" t="s">
        <v>5639</v>
      </c>
    </row>
    <row r="965" spans="1:11" x14ac:dyDescent="0.3">
      <c r="A965" s="13" t="s">
        <v>995</v>
      </c>
      <c r="B965" s="13" t="s">
        <v>1103</v>
      </c>
      <c r="C965" s="13" t="s">
        <v>5635</v>
      </c>
      <c r="D965" s="13" t="s">
        <v>5640</v>
      </c>
      <c r="E965" s="13">
        <v>4</v>
      </c>
      <c r="F965" s="13" t="s">
        <v>5641</v>
      </c>
      <c r="G965" s="13">
        <v>3</v>
      </c>
      <c r="H965" s="13">
        <v>0</v>
      </c>
      <c r="I965" s="13"/>
      <c r="J965" s="13" t="s">
        <v>5642</v>
      </c>
      <c r="K965" s="13" t="s">
        <v>5643</v>
      </c>
    </row>
    <row r="966" spans="1:11" x14ac:dyDescent="0.3">
      <c r="A966" s="13" t="s">
        <v>995</v>
      </c>
      <c r="B966" s="13" t="s">
        <v>1103</v>
      </c>
      <c r="C966" s="13" t="s">
        <v>5635</v>
      </c>
      <c r="D966" s="13" t="s">
        <v>5644</v>
      </c>
      <c r="E966" s="13">
        <v>4</v>
      </c>
      <c r="F966" s="13" t="s">
        <v>5645</v>
      </c>
      <c r="G966" s="13">
        <v>1</v>
      </c>
      <c r="H966" s="13">
        <v>0</v>
      </c>
      <c r="I966" s="13"/>
      <c r="J966" s="13" t="s">
        <v>5646</v>
      </c>
      <c r="K966" s="13" t="s">
        <v>5647</v>
      </c>
    </row>
    <row r="967" spans="1:11" x14ac:dyDescent="0.3">
      <c r="A967" s="13" t="s">
        <v>995</v>
      </c>
      <c r="B967" s="13" t="s">
        <v>1103</v>
      </c>
      <c r="C967" s="13" t="s">
        <v>5635</v>
      </c>
      <c r="D967" s="13" t="s">
        <v>5648</v>
      </c>
      <c r="E967" s="13">
        <v>4</v>
      </c>
      <c r="F967" s="13" t="s">
        <v>5649</v>
      </c>
      <c r="G967" s="13">
        <v>1</v>
      </c>
      <c r="H967" s="13">
        <v>0</v>
      </c>
      <c r="I967" s="13"/>
      <c r="J967" s="13" t="s">
        <v>5650</v>
      </c>
      <c r="K967" s="13" t="s">
        <v>5651</v>
      </c>
    </row>
    <row r="968" spans="1:11" x14ac:dyDescent="0.3">
      <c r="A968" s="13" t="s">
        <v>995</v>
      </c>
      <c r="B968" s="13" t="s">
        <v>1103</v>
      </c>
      <c r="C968" s="13" t="s">
        <v>5652</v>
      </c>
      <c r="D968" s="13" t="s">
        <v>5653</v>
      </c>
      <c r="E968" s="13">
        <v>4</v>
      </c>
      <c r="F968" s="13" t="s">
        <v>5654</v>
      </c>
      <c r="G968" s="13">
        <v>1</v>
      </c>
      <c r="H968" s="13">
        <v>0</v>
      </c>
      <c r="I968" s="13"/>
      <c r="J968" s="13" t="s">
        <v>5655</v>
      </c>
      <c r="K968" s="13" t="s">
        <v>5656</v>
      </c>
    </row>
    <row r="969" spans="1:11" x14ac:dyDescent="0.3">
      <c r="A969" s="13" t="s">
        <v>995</v>
      </c>
      <c r="B969" s="13" t="s">
        <v>1103</v>
      </c>
      <c r="C969" s="13" t="s">
        <v>5652</v>
      </c>
      <c r="D969" s="13" t="s">
        <v>5657</v>
      </c>
      <c r="E969" s="13">
        <v>4</v>
      </c>
      <c r="F969" s="13" t="s">
        <v>5658</v>
      </c>
      <c r="G969" s="13">
        <v>11</v>
      </c>
      <c r="H969" s="13">
        <v>0</v>
      </c>
      <c r="I969" s="13"/>
      <c r="J969" s="13" t="s">
        <v>5659</v>
      </c>
      <c r="K969" s="13" t="s">
        <v>5660</v>
      </c>
    </row>
    <row r="970" spans="1:11" x14ac:dyDescent="0.3">
      <c r="A970" s="13" t="s">
        <v>995</v>
      </c>
      <c r="B970" s="13" t="s">
        <v>1103</v>
      </c>
      <c r="C970" s="13" t="s">
        <v>5652</v>
      </c>
      <c r="D970" s="13" t="s">
        <v>5661</v>
      </c>
      <c r="E970" s="13">
        <v>4</v>
      </c>
      <c r="F970" s="13" t="s">
        <v>5662</v>
      </c>
      <c r="G970" s="13">
        <v>5</v>
      </c>
      <c r="H970" s="13">
        <v>0</v>
      </c>
      <c r="I970" s="13"/>
      <c r="J970" s="13" t="s">
        <v>5663</v>
      </c>
      <c r="K970" s="13" t="s">
        <v>5664</v>
      </c>
    </row>
    <row r="971" spans="1:11" x14ac:dyDescent="0.3">
      <c r="A971" s="13" t="s">
        <v>995</v>
      </c>
      <c r="B971" s="13" t="s">
        <v>1103</v>
      </c>
      <c r="C971" s="13" t="s">
        <v>1104</v>
      </c>
      <c r="D971" s="13" t="s">
        <v>5665</v>
      </c>
      <c r="E971" s="13">
        <v>4</v>
      </c>
      <c r="F971" s="13" t="s">
        <v>5666</v>
      </c>
      <c r="G971" s="13">
        <v>1</v>
      </c>
      <c r="H971" s="13">
        <v>0</v>
      </c>
      <c r="I971" s="13"/>
      <c r="J971" s="13" t="s">
        <v>5667</v>
      </c>
      <c r="K971" s="13" t="s">
        <v>5668</v>
      </c>
    </row>
    <row r="972" spans="1:11" x14ac:dyDescent="0.3">
      <c r="A972" s="13" t="s">
        <v>995</v>
      </c>
      <c r="B972" s="13" t="s">
        <v>1103</v>
      </c>
      <c r="C972" s="13" t="s">
        <v>1104</v>
      </c>
      <c r="D972" s="13" t="s">
        <v>1105</v>
      </c>
      <c r="E972" s="13">
        <v>4</v>
      </c>
      <c r="F972" s="13" t="s">
        <v>1106</v>
      </c>
      <c r="G972" s="13">
        <v>53</v>
      </c>
      <c r="H972" s="13">
        <v>0</v>
      </c>
      <c r="I972" s="3" t="s">
        <v>1101</v>
      </c>
      <c r="J972" s="13" t="s">
        <v>1102</v>
      </c>
      <c r="K972" s="13" t="s">
        <v>5669</v>
      </c>
    </row>
    <row r="973" spans="1:11" x14ac:dyDescent="0.3">
      <c r="A973" s="13" t="s">
        <v>995</v>
      </c>
      <c r="B973" s="13" t="s">
        <v>1103</v>
      </c>
      <c r="C973" s="13" t="s">
        <v>1104</v>
      </c>
      <c r="D973" s="13" t="s">
        <v>5670</v>
      </c>
      <c r="E973" s="13">
        <v>4</v>
      </c>
      <c r="F973" s="13" t="s">
        <v>5671</v>
      </c>
      <c r="G973" s="13">
        <v>4</v>
      </c>
      <c r="H973" s="13">
        <v>0</v>
      </c>
      <c r="I973" s="13"/>
      <c r="J973" s="13" t="s">
        <v>5672</v>
      </c>
      <c r="K973" s="13" t="s">
        <v>5673</v>
      </c>
    </row>
    <row r="974" spans="1:11" x14ac:dyDescent="0.3">
      <c r="A974" s="13" t="s">
        <v>995</v>
      </c>
      <c r="B974" s="13" t="s">
        <v>1103</v>
      </c>
      <c r="C974" s="13" t="s">
        <v>1104</v>
      </c>
      <c r="D974" s="13" t="s">
        <v>5674</v>
      </c>
      <c r="E974" s="13">
        <v>4</v>
      </c>
      <c r="F974" s="13" t="s">
        <v>5675</v>
      </c>
      <c r="G974" s="13">
        <v>6</v>
      </c>
      <c r="H974" s="13">
        <v>0</v>
      </c>
      <c r="I974" s="13"/>
      <c r="J974" s="13" t="s">
        <v>5676</v>
      </c>
      <c r="K974" s="13" t="s">
        <v>5677</v>
      </c>
    </row>
    <row r="975" spans="1:11" x14ac:dyDescent="0.3">
      <c r="A975" s="13" t="s">
        <v>995</v>
      </c>
      <c r="B975" s="13" t="s">
        <v>1103</v>
      </c>
      <c r="C975" s="13" t="s">
        <v>1104</v>
      </c>
      <c r="D975" s="13" t="s">
        <v>5678</v>
      </c>
      <c r="E975" s="13">
        <v>4</v>
      </c>
      <c r="F975" s="13" t="s">
        <v>5679</v>
      </c>
      <c r="G975" s="13">
        <v>1</v>
      </c>
      <c r="H975" s="13">
        <v>0</v>
      </c>
      <c r="I975" s="13"/>
      <c r="J975" s="13" t="s">
        <v>5680</v>
      </c>
      <c r="K975" s="13" t="s">
        <v>5681</v>
      </c>
    </row>
    <row r="976" spans="1:11" x14ac:dyDescent="0.3">
      <c r="A976" s="13" t="s">
        <v>995</v>
      </c>
      <c r="B976" s="13" t="s">
        <v>1103</v>
      </c>
      <c r="C976" s="13" t="s">
        <v>1104</v>
      </c>
      <c r="D976" s="13" t="s">
        <v>5682</v>
      </c>
      <c r="E976" s="13">
        <v>4</v>
      </c>
      <c r="F976" s="13" t="s">
        <v>5683</v>
      </c>
      <c r="G976" s="13">
        <v>2</v>
      </c>
      <c r="H976" s="13">
        <v>0</v>
      </c>
      <c r="I976" s="13"/>
      <c r="J976" s="13" t="s">
        <v>5684</v>
      </c>
      <c r="K976" s="13" t="s">
        <v>5685</v>
      </c>
    </row>
    <row r="977" spans="1:11" x14ac:dyDescent="0.3">
      <c r="A977" s="13" t="s">
        <v>995</v>
      </c>
      <c r="B977" s="13" t="s">
        <v>5686</v>
      </c>
      <c r="C977" s="13" t="s">
        <v>5687</v>
      </c>
      <c r="D977" s="13"/>
      <c r="E977" s="13">
        <v>3</v>
      </c>
      <c r="F977" s="13" t="s">
        <v>5688</v>
      </c>
      <c r="G977" s="13">
        <v>1</v>
      </c>
      <c r="H977" s="13">
        <v>0</v>
      </c>
      <c r="I977" s="13"/>
      <c r="J977" s="13" t="s">
        <v>5689</v>
      </c>
      <c r="K977" s="13" t="s">
        <v>5690</v>
      </c>
    </row>
    <row r="978" spans="1:11" x14ac:dyDescent="0.3">
      <c r="A978" s="13" t="s">
        <v>995</v>
      </c>
      <c r="B978" s="13" t="s">
        <v>5686</v>
      </c>
      <c r="C978" s="13" t="s">
        <v>5691</v>
      </c>
      <c r="D978" s="13"/>
      <c r="E978" s="13">
        <v>3</v>
      </c>
      <c r="F978" s="13" t="s">
        <v>5692</v>
      </c>
      <c r="G978" s="13">
        <v>85</v>
      </c>
      <c r="H978" s="13">
        <v>0</v>
      </c>
      <c r="I978" s="13"/>
      <c r="J978" s="13" t="s">
        <v>5693</v>
      </c>
      <c r="K978" s="13" t="s">
        <v>5694</v>
      </c>
    </row>
    <row r="979" spans="1:11" x14ac:dyDescent="0.3">
      <c r="A979" s="13" t="s">
        <v>995</v>
      </c>
      <c r="B979" s="13" t="s">
        <v>5686</v>
      </c>
      <c r="C979" s="13" t="s">
        <v>5695</v>
      </c>
      <c r="D979" s="13"/>
      <c r="E979" s="13">
        <v>3</v>
      </c>
      <c r="F979" s="13" t="s">
        <v>5696</v>
      </c>
      <c r="G979" s="13">
        <v>4</v>
      </c>
      <c r="H979" s="13">
        <v>0</v>
      </c>
      <c r="I979" s="13"/>
      <c r="J979" s="13" t="s">
        <v>5697</v>
      </c>
      <c r="K979" s="13" t="s">
        <v>5698</v>
      </c>
    </row>
    <row r="980" spans="1:11" x14ac:dyDescent="0.3">
      <c r="A980" s="13" t="s">
        <v>995</v>
      </c>
      <c r="B980" s="13" t="s">
        <v>5686</v>
      </c>
      <c r="C980" s="13" t="s">
        <v>5699</v>
      </c>
      <c r="D980" s="13"/>
      <c r="E980" s="13">
        <v>3</v>
      </c>
      <c r="F980" s="13" t="s">
        <v>5700</v>
      </c>
      <c r="G980" s="13">
        <v>7</v>
      </c>
      <c r="H980" s="13">
        <v>0</v>
      </c>
      <c r="I980" s="13"/>
      <c r="J980" s="13" t="s">
        <v>5701</v>
      </c>
      <c r="K980" s="13" t="s">
        <v>5702</v>
      </c>
    </row>
    <row r="981" spans="1:11" x14ac:dyDescent="0.3">
      <c r="A981" s="13" t="s">
        <v>995</v>
      </c>
      <c r="B981" s="13" t="s">
        <v>5686</v>
      </c>
      <c r="C981" s="13" t="s">
        <v>5703</v>
      </c>
      <c r="D981" s="13"/>
      <c r="E981" s="13">
        <v>3</v>
      </c>
      <c r="F981" s="13" t="s">
        <v>5704</v>
      </c>
      <c r="G981" s="13">
        <v>16</v>
      </c>
      <c r="H981" s="13">
        <v>0</v>
      </c>
      <c r="I981" s="13"/>
      <c r="J981" s="13" t="s">
        <v>5705</v>
      </c>
      <c r="K981" s="13" t="s">
        <v>5706</v>
      </c>
    </row>
    <row r="982" spans="1:11" x14ac:dyDescent="0.3">
      <c r="A982" s="13" t="s">
        <v>995</v>
      </c>
      <c r="B982" s="13" t="s">
        <v>5686</v>
      </c>
      <c r="C982" s="13" t="s">
        <v>5707</v>
      </c>
      <c r="D982" s="13"/>
      <c r="E982" s="13">
        <v>3</v>
      </c>
      <c r="F982" s="13" t="s">
        <v>5708</v>
      </c>
      <c r="G982" s="13">
        <v>531</v>
      </c>
      <c r="H982" s="13">
        <v>0</v>
      </c>
      <c r="I982" s="13"/>
      <c r="J982" s="13" t="s">
        <v>5709</v>
      </c>
      <c r="K982" s="13" t="s">
        <v>5710</v>
      </c>
    </row>
    <row r="983" spans="1:11" x14ac:dyDescent="0.3">
      <c r="A983" s="13" t="s">
        <v>995</v>
      </c>
      <c r="B983" s="13" t="s">
        <v>5686</v>
      </c>
      <c r="C983" s="13" t="s">
        <v>5711</v>
      </c>
      <c r="D983" s="13"/>
      <c r="E983" s="13">
        <v>3</v>
      </c>
      <c r="F983" s="13" t="s">
        <v>5712</v>
      </c>
      <c r="G983" s="13">
        <v>290</v>
      </c>
      <c r="H983" s="13">
        <v>0</v>
      </c>
      <c r="I983" s="13"/>
      <c r="J983" s="13" t="s">
        <v>5713</v>
      </c>
      <c r="K983" s="13" t="s">
        <v>5714</v>
      </c>
    </row>
    <row r="984" spans="1:11" x14ac:dyDescent="0.3">
      <c r="A984" s="13" t="s">
        <v>995</v>
      </c>
      <c r="B984" s="13" t="s">
        <v>5686</v>
      </c>
      <c r="C984" s="13" t="s">
        <v>5715</v>
      </c>
      <c r="D984" s="13"/>
      <c r="E984" s="13">
        <v>3</v>
      </c>
      <c r="F984" s="13" t="s">
        <v>5716</v>
      </c>
      <c r="G984" s="13">
        <v>4</v>
      </c>
      <c r="H984" s="13">
        <v>0</v>
      </c>
      <c r="I984" s="13"/>
      <c r="J984" s="13" t="s">
        <v>5717</v>
      </c>
      <c r="K984" s="13" t="s">
        <v>5718</v>
      </c>
    </row>
    <row r="985" spans="1:11" x14ac:dyDescent="0.3">
      <c r="A985" s="13" t="s">
        <v>995</v>
      </c>
      <c r="B985" s="13" t="s">
        <v>5686</v>
      </c>
      <c r="C985" s="13" t="s">
        <v>5719</v>
      </c>
      <c r="D985" s="13"/>
      <c r="E985" s="13">
        <v>3</v>
      </c>
      <c r="F985" s="13" t="s">
        <v>5720</v>
      </c>
      <c r="G985" s="13">
        <v>51</v>
      </c>
      <c r="H985" s="13">
        <v>0</v>
      </c>
      <c r="I985" s="13"/>
      <c r="J985" s="13" t="s">
        <v>5721</v>
      </c>
      <c r="K985" s="13" t="s">
        <v>5722</v>
      </c>
    </row>
    <row r="986" spans="1:11" x14ac:dyDescent="0.3">
      <c r="A986" s="13" t="s">
        <v>995</v>
      </c>
      <c r="B986" s="13" t="s">
        <v>5686</v>
      </c>
      <c r="C986" s="13" t="s">
        <v>5723</v>
      </c>
      <c r="D986" s="13"/>
      <c r="E986" s="13">
        <v>3</v>
      </c>
      <c r="F986" s="13" t="s">
        <v>5724</v>
      </c>
      <c r="G986" s="13">
        <v>10</v>
      </c>
      <c r="H986" s="13">
        <v>0</v>
      </c>
      <c r="I986" s="13"/>
      <c r="J986" s="13" t="s">
        <v>5725</v>
      </c>
      <c r="K986" s="13" t="s">
        <v>5726</v>
      </c>
    </row>
    <row r="987" spans="1:11" x14ac:dyDescent="0.3">
      <c r="A987" s="13" t="s">
        <v>995</v>
      </c>
      <c r="B987" s="13" t="s">
        <v>5727</v>
      </c>
      <c r="C987" s="13" t="s">
        <v>5728</v>
      </c>
      <c r="D987" s="13"/>
      <c r="E987" s="13">
        <v>3</v>
      </c>
      <c r="F987" s="13" t="s">
        <v>5729</v>
      </c>
      <c r="G987" s="13">
        <v>6</v>
      </c>
      <c r="H987" s="13">
        <v>0</v>
      </c>
      <c r="I987" s="13"/>
      <c r="J987" s="13" t="s">
        <v>5730</v>
      </c>
      <c r="K987" s="13" t="s">
        <v>5731</v>
      </c>
    </row>
    <row r="988" spans="1:11" x14ac:dyDescent="0.3">
      <c r="A988" s="13" t="s">
        <v>995</v>
      </c>
      <c r="B988" s="13" t="s">
        <v>5727</v>
      </c>
      <c r="C988" s="13" t="s">
        <v>5732</v>
      </c>
      <c r="D988" s="13"/>
      <c r="E988" s="13">
        <v>3</v>
      </c>
      <c r="F988" s="13" t="s">
        <v>5733</v>
      </c>
      <c r="G988" s="13">
        <v>2</v>
      </c>
      <c r="H988" s="13">
        <v>0</v>
      </c>
      <c r="I988" s="13"/>
      <c r="J988" s="13" t="s">
        <v>5734</v>
      </c>
      <c r="K988" s="13" t="s">
        <v>5735</v>
      </c>
    </row>
    <row r="989" spans="1:11" x14ac:dyDescent="0.3">
      <c r="A989" s="13" t="s">
        <v>995</v>
      </c>
      <c r="B989" s="13" t="s">
        <v>5727</v>
      </c>
      <c r="C989" s="13" t="s">
        <v>5736</v>
      </c>
      <c r="D989" s="13"/>
      <c r="E989" s="13">
        <v>3</v>
      </c>
      <c r="F989" s="13" t="s">
        <v>5737</v>
      </c>
      <c r="G989" s="13">
        <v>351</v>
      </c>
      <c r="H989" s="13">
        <v>0</v>
      </c>
      <c r="I989" s="13"/>
      <c r="J989" s="13" t="s">
        <v>5738</v>
      </c>
      <c r="K989" s="13" t="s">
        <v>5739</v>
      </c>
    </row>
    <row r="990" spans="1:11" x14ac:dyDescent="0.3">
      <c r="A990" s="13" t="s">
        <v>995</v>
      </c>
      <c r="B990" s="13" t="s">
        <v>5727</v>
      </c>
      <c r="C990" s="13" t="s">
        <v>5740</v>
      </c>
      <c r="D990" s="13"/>
      <c r="E990" s="13">
        <v>3</v>
      </c>
      <c r="F990" s="13" t="s">
        <v>5741</v>
      </c>
      <c r="G990" s="13">
        <v>27</v>
      </c>
      <c r="H990" s="13">
        <v>0</v>
      </c>
      <c r="I990" s="13"/>
      <c r="J990" s="13" t="s">
        <v>5742</v>
      </c>
      <c r="K990" s="13" t="s">
        <v>5743</v>
      </c>
    </row>
    <row r="991" spans="1:11" x14ac:dyDescent="0.3">
      <c r="A991" s="13" t="s">
        <v>995</v>
      </c>
      <c r="B991" s="13" t="s">
        <v>5744</v>
      </c>
      <c r="C991" s="13"/>
      <c r="D991" s="13"/>
      <c r="E991" s="13">
        <v>2</v>
      </c>
      <c r="F991" s="13" t="s">
        <v>5745</v>
      </c>
      <c r="G991" s="13">
        <v>82</v>
      </c>
      <c r="H991" s="13">
        <v>0</v>
      </c>
      <c r="I991" s="13"/>
      <c r="J991" s="13" t="s">
        <v>5746</v>
      </c>
      <c r="K991" s="13" t="s">
        <v>5747</v>
      </c>
    </row>
    <row r="992" spans="1:11" x14ac:dyDescent="0.3">
      <c r="A992" s="13" t="s">
        <v>995</v>
      </c>
      <c r="B992" s="13" t="s">
        <v>5748</v>
      </c>
      <c r="C992" s="13"/>
      <c r="D992" s="13"/>
      <c r="E992" s="13">
        <v>2</v>
      </c>
      <c r="F992" s="13" t="s">
        <v>5749</v>
      </c>
      <c r="G992" s="13">
        <v>18</v>
      </c>
      <c r="H992" s="13">
        <v>0</v>
      </c>
      <c r="I992" s="13"/>
      <c r="J992" s="13" t="s">
        <v>5750</v>
      </c>
      <c r="K992" s="13" t="s">
        <v>5751</v>
      </c>
    </row>
    <row r="993" spans="1:11" x14ac:dyDescent="0.3">
      <c r="A993" s="13" t="s">
        <v>995</v>
      </c>
      <c r="B993" s="13" t="s">
        <v>5752</v>
      </c>
      <c r="C993" s="13"/>
      <c r="D993" s="13"/>
      <c r="E993" s="13">
        <v>2</v>
      </c>
      <c r="F993" s="13" t="s">
        <v>5753</v>
      </c>
      <c r="G993" s="13">
        <v>36</v>
      </c>
      <c r="H993" s="13">
        <v>0</v>
      </c>
      <c r="I993" s="13"/>
      <c r="J993" s="13" t="s">
        <v>5754</v>
      </c>
      <c r="K993" s="13" t="s">
        <v>5755</v>
      </c>
    </row>
    <row r="994" spans="1:11" x14ac:dyDescent="0.3">
      <c r="A994" s="13" t="s">
        <v>5756</v>
      </c>
      <c r="B994" s="13" t="s">
        <v>5757</v>
      </c>
      <c r="C994" s="13"/>
      <c r="D994" s="13"/>
      <c r="E994" s="13">
        <v>2</v>
      </c>
      <c r="F994" s="13" t="s">
        <v>5758</v>
      </c>
      <c r="G994" s="13">
        <v>50</v>
      </c>
      <c r="H994" s="13">
        <v>0</v>
      </c>
      <c r="I994" s="13"/>
      <c r="J994" s="13" t="s">
        <v>5759</v>
      </c>
      <c r="K994" s="13" t="s">
        <v>5760</v>
      </c>
    </row>
    <row r="995" spans="1:11" x14ac:dyDescent="0.3">
      <c r="A995" s="13" t="s">
        <v>5756</v>
      </c>
      <c r="B995" s="13" t="s">
        <v>5761</v>
      </c>
      <c r="C995" s="13"/>
      <c r="D995" s="13"/>
      <c r="E995" s="13">
        <v>2</v>
      </c>
      <c r="F995" s="13" t="s">
        <v>5762</v>
      </c>
      <c r="G995" s="13">
        <v>73</v>
      </c>
      <c r="H995" s="13">
        <v>0</v>
      </c>
      <c r="I995" s="13"/>
      <c r="J995" s="13" t="s">
        <v>5763</v>
      </c>
      <c r="K995" s="13" t="s">
        <v>5764</v>
      </c>
    </row>
    <row r="996" spans="1:11" x14ac:dyDescent="0.3">
      <c r="A996" s="13" t="s">
        <v>5756</v>
      </c>
      <c r="B996" s="13" t="s">
        <v>5765</v>
      </c>
      <c r="C996" s="13" t="s">
        <v>5766</v>
      </c>
      <c r="D996" s="13"/>
      <c r="E996" s="13">
        <v>3</v>
      </c>
      <c r="F996" s="13" t="s">
        <v>5767</v>
      </c>
      <c r="G996" s="13">
        <v>16</v>
      </c>
      <c r="H996" s="13">
        <v>0</v>
      </c>
      <c r="I996" s="13"/>
      <c r="J996" s="13" t="s">
        <v>5768</v>
      </c>
      <c r="K996" s="13" t="s">
        <v>5769</v>
      </c>
    </row>
    <row r="997" spans="1:11" x14ac:dyDescent="0.3">
      <c r="A997" s="13" t="s">
        <v>5756</v>
      </c>
      <c r="B997" s="13" t="s">
        <v>5765</v>
      </c>
      <c r="C997" s="13" t="s">
        <v>5770</v>
      </c>
      <c r="D997" s="13"/>
      <c r="E997" s="13">
        <v>3</v>
      </c>
      <c r="F997" s="13" t="s">
        <v>5771</v>
      </c>
      <c r="G997" s="13">
        <v>18</v>
      </c>
      <c r="H997" s="13">
        <v>0</v>
      </c>
      <c r="I997" s="13"/>
      <c r="J997" s="13" t="s">
        <v>5772</v>
      </c>
      <c r="K997" s="13" t="s">
        <v>5773</v>
      </c>
    </row>
    <row r="998" spans="1:11" x14ac:dyDescent="0.3">
      <c r="A998" s="13" t="s">
        <v>5756</v>
      </c>
      <c r="B998" s="13" t="s">
        <v>5774</v>
      </c>
      <c r="C998" s="13"/>
      <c r="D998" s="13"/>
      <c r="E998" s="13">
        <v>2</v>
      </c>
      <c r="F998" s="13" t="s">
        <v>5775</v>
      </c>
      <c r="G998" s="13">
        <v>10</v>
      </c>
      <c r="H998" s="13">
        <v>0</v>
      </c>
      <c r="I998" s="13"/>
      <c r="J998" s="13" t="s">
        <v>5776</v>
      </c>
      <c r="K998" s="13" t="s">
        <v>5777</v>
      </c>
    </row>
    <row r="999" spans="1:11" x14ac:dyDescent="0.3">
      <c r="A999" s="13" t="s">
        <v>5756</v>
      </c>
      <c r="B999" s="13" t="s">
        <v>5778</v>
      </c>
      <c r="C999" s="13"/>
      <c r="D999" s="13"/>
      <c r="E999" s="13">
        <v>2</v>
      </c>
      <c r="F999" s="13" t="s">
        <v>5779</v>
      </c>
      <c r="G999" s="13">
        <v>41</v>
      </c>
      <c r="H999" s="13">
        <v>0</v>
      </c>
      <c r="I999" s="13"/>
      <c r="J999" s="13" t="s">
        <v>5780</v>
      </c>
      <c r="K999" s="13" t="s">
        <v>5781</v>
      </c>
    </row>
    <row r="1000" spans="1:11" x14ac:dyDescent="0.3">
      <c r="A1000" s="13" t="s">
        <v>5756</v>
      </c>
      <c r="B1000" s="13" t="s">
        <v>5782</v>
      </c>
      <c r="C1000" s="13" t="s">
        <v>5783</v>
      </c>
      <c r="D1000" s="13"/>
      <c r="E1000" s="13">
        <v>3</v>
      </c>
      <c r="F1000" s="13" t="s">
        <v>5784</v>
      </c>
      <c r="G1000" s="13">
        <v>67</v>
      </c>
      <c r="H1000" s="13">
        <v>0</v>
      </c>
      <c r="I1000" s="13"/>
      <c r="J1000" s="13" t="s">
        <v>5785</v>
      </c>
      <c r="K1000" s="13" t="s">
        <v>5786</v>
      </c>
    </row>
    <row r="1001" spans="1:11" x14ac:dyDescent="0.3">
      <c r="A1001" s="13" t="s">
        <v>5756</v>
      </c>
      <c r="B1001" s="13" t="s">
        <v>5782</v>
      </c>
      <c r="C1001" s="13" t="s">
        <v>5787</v>
      </c>
      <c r="D1001" s="13"/>
      <c r="E1001" s="13">
        <v>3</v>
      </c>
      <c r="F1001" s="13" t="s">
        <v>5788</v>
      </c>
      <c r="G1001" s="13">
        <v>31</v>
      </c>
      <c r="H1001" s="13">
        <v>0</v>
      </c>
      <c r="I1001" s="13"/>
      <c r="J1001" s="13" t="s">
        <v>5789</v>
      </c>
      <c r="K1001" s="13" t="s">
        <v>5790</v>
      </c>
    </row>
    <row r="1002" spans="1:11" x14ac:dyDescent="0.3">
      <c r="A1002" s="13" t="s">
        <v>5756</v>
      </c>
      <c r="B1002" s="13" t="s">
        <v>5782</v>
      </c>
      <c r="C1002" s="13" t="s">
        <v>5791</v>
      </c>
      <c r="D1002" s="13" t="s">
        <v>5792</v>
      </c>
      <c r="E1002" s="13">
        <v>4</v>
      </c>
      <c r="F1002" s="13" t="s">
        <v>5793</v>
      </c>
      <c r="G1002" s="13">
        <v>38</v>
      </c>
      <c r="H1002" s="13">
        <v>0</v>
      </c>
      <c r="I1002" s="13"/>
      <c r="J1002" s="13" t="s">
        <v>5794</v>
      </c>
      <c r="K1002" s="13" t="s">
        <v>5795</v>
      </c>
    </row>
    <row r="1003" spans="1:11" x14ac:dyDescent="0.3">
      <c r="A1003" s="13" t="s">
        <v>5756</v>
      </c>
      <c r="B1003" s="13" t="s">
        <v>5782</v>
      </c>
      <c r="C1003" s="13" t="s">
        <v>5791</v>
      </c>
      <c r="D1003" s="13" t="s">
        <v>5796</v>
      </c>
      <c r="E1003" s="13">
        <v>4</v>
      </c>
      <c r="F1003" s="13" t="s">
        <v>5797</v>
      </c>
      <c r="G1003" s="13">
        <v>168</v>
      </c>
      <c r="H1003" s="13">
        <v>0</v>
      </c>
      <c r="I1003" s="13"/>
      <c r="J1003" s="13" t="s">
        <v>5798</v>
      </c>
      <c r="K1003" s="13" t="s">
        <v>5799</v>
      </c>
    </row>
    <row r="1004" spans="1:11" x14ac:dyDescent="0.3">
      <c r="A1004" s="13" t="s">
        <v>5756</v>
      </c>
      <c r="B1004" s="13" t="s">
        <v>5782</v>
      </c>
      <c r="C1004" s="13" t="s">
        <v>5800</v>
      </c>
      <c r="D1004" s="13"/>
      <c r="E1004" s="13">
        <v>3</v>
      </c>
      <c r="F1004" s="13" t="s">
        <v>5801</v>
      </c>
      <c r="G1004" s="13">
        <v>132</v>
      </c>
      <c r="H1004" s="13">
        <v>0</v>
      </c>
      <c r="I1004" s="13"/>
      <c r="J1004" s="13" t="s">
        <v>5802</v>
      </c>
      <c r="K1004" s="13" t="s">
        <v>5803</v>
      </c>
    </row>
    <row r="1005" spans="1:11" x14ac:dyDescent="0.3">
      <c r="A1005" s="13" t="s">
        <v>5756</v>
      </c>
      <c r="B1005" s="13" t="s">
        <v>5782</v>
      </c>
      <c r="C1005" s="13" t="s">
        <v>5804</v>
      </c>
      <c r="D1005" s="13" t="s">
        <v>5805</v>
      </c>
      <c r="E1005" s="13">
        <v>4</v>
      </c>
      <c r="F1005" s="13" t="s">
        <v>5806</v>
      </c>
      <c r="G1005" s="13">
        <v>218</v>
      </c>
      <c r="H1005" s="13">
        <v>0</v>
      </c>
      <c r="I1005" s="13"/>
      <c r="J1005" s="13" t="s">
        <v>5807</v>
      </c>
      <c r="K1005" s="13" t="s">
        <v>5808</v>
      </c>
    </row>
    <row r="1006" spans="1:11" x14ac:dyDescent="0.3">
      <c r="A1006" s="13" t="s">
        <v>5756</v>
      </c>
      <c r="B1006" s="13" t="s">
        <v>5782</v>
      </c>
      <c r="C1006" s="13" t="s">
        <v>5804</v>
      </c>
      <c r="D1006" s="13" t="s">
        <v>5809</v>
      </c>
      <c r="E1006" s="13">
        <v>4</v>
      </c>
      <c r="F1006" s="13" t="s">
        <v>5810</v>
      </c>
      <c r="G1006" s="13">
        <v>348</v>
      </c>
      <c r="H1006" s="13">
        <v>0</v>
      </c>
      <c r="I1006" s="13"/>
      <c r="J1006" s="13" t="s">
        <v>5811</v>
      </c>
      <c r="K1006" s="13" t="s">
        <v>5812</v>
      </c>
    </row>
    <row r="1007" spans="1:11" x14ac:dyDescent="0.3">
      <c r="A1007" s="13" t="s">
        <v>5756</v>
      </c>
      <c r="B1007" s="13" t="s">
        <v>5782</v>
      </c>
      <c r="C1007" s="13" t="s">
        <v>5813</v>
      </c>
      <c r="D1007" s="13" t="s">
        <v>5814</v>
      </c>
      <c r="E1007" s="13">
        <v>4</v>
      </c>
      <c r="F1007" s="13" t="s">
        <v>5815</v>
      </c>
      <c r="G1007" s="13">
        <v>181</v>
      </c>
      <c r="H1007" s="13">
        <v>0</v>
      </c>
      <c r="I1007" s="13"/>
      <c r="J1007" s="13" t="s">
        <v>5816</v>
      </c>
      <c r="K1007" s="13" t="s">
        <v>5817</v>
      </c>
    </row>
    <row r="1008" spans="1:11" x14ac:dyDescent="0.3">
      <c r="A1008" s="13" t="s">
        <v>5756</v>
      </c>
      <c r="B1008" s="13" t="s">
        <v>5782</v>
      </c>
      <c r="C1008" s="13" t="s">
        <v>5813</v>
      </c>
      <c r="D1008" s="13" t="s">
        <v>5818</v>
      </c>
      <c r="E1008" s="13">
        <v>4</v>
      </c>
      <c r="F1008" s="13" t="s">
        <v>5819</v>
      </c>
      <c r="G1008" s="13">
        <v>10</v>
      </c>
      <c r="H1008" s="13">
        <v>0</v>
      </c>
      <c r="I1008" s="13"/>
      <c r="J1008" s="13" t="s">
        <v>5820</v>
      </c>
      <c r="K1008" s="13" t="s">
        <v>5821</v>
      </c>
    </row>
    <row r="1009" spans="1:11" x14ac:dyDescent="0.3">
      <c r="A1009" s="13" t="s">
        <v>5756</v>
      </c>
      <c r="B1009" s="13" t="s">
        <v>5782</v>
      </c>
      <c r="C1009" s="13" t="s">
        <v>5813</v>
      </c>
      <c r="D1009" s="13" t="s">
        <v>5822</v>
      </c>
      <c r="E1009" s="13">
        <v>4</v>
      </c>
      <c r="F1009" s="13" t="s">
        <v>5823</v>
      </c>
      <c r="G1009" s="13">
        <v>25</v>
      </c>
      <c r="H1009" s="13">
        <v>0</v>
      </c>
      <c r="I1009" s="13"/>
      <c r="J1009" s="13" t="s">
        <v>5824</v>
      </c>
      <c r="K1009" s="13" t="s">
        <v>5825</v>
      </c>
    </row>
    <row r="1010" spans="1:11" x14ac:dyDescent="0.3">
      <c r="A1010" s="13" t="s">
        <v>5756</v>
      </c>
      <c r="B1010" s="13" t="s">
        <v>5782</v>
      </c>
      <c r="C1010" s="13" t="s">
        <v>5813</v>
      </c>
      <c r="D1010" s="13" t="s">
        <v>5826</v>
      </c>
      <c r="E1010" s="13">
        <v>4</v>
      </c>
      <c r="F1010" s="13" t="s">
        <v>5827</v>
      </c>
      <c r="G1010" s="13">
        <v>69</v>
      </c>
      <c r="H1010" s="13">
        <v>0</v>
      </c>
      <c r="I1010" s="13"/>
      <c r="J1010" s="13" t="s">
        <v>5828</v>
      </c>
      <c r="K1010" s="13" t="s">
        <v>5829</v>
      </c>
    </row>
    <row r="1011" spans="1:11" x14ac:dyDescent="0.3">
      <c r="A1011" s="13" t="s">
        <v>5756</v>
      </c>
      <c r="B1011" s="13" t="s">
        <v>5782</v>
      </c>
      <c r="C1011" s="13" t="s">
        <v>5813</v>
      </c>
      <c r="D1011" s="13" t="s">
        <v>5830</v>
      </c>
      <c r="E1011" s="13">
        <v>4</v>
      </c>
      <c r="F1011" s="13" t="s">
        <v>5831</v>
      </c>
      <c r="G1011" s="13">
        <v>88</v>
      </c>
      <c r="H1011" s="13">
        <v>0</v>
      </c>
      <c r="I1011" s="13"/>
      <c r="J1011" s="13" t="s">
        <v>5832</v>
      </c>
      <c r="K1011" s="13" t="s">
        <v>5833</v>
      </c>
    </row>
    <row r="1012" spans="1:11" x14ac:dyDescent="0.3">
      <c r="A1012" s="13" t="s">
        <v>5756</v>
      </c>
      <c r="B1012" s="13" t="s">
        <v>5782</v>
      </c>
      <c r="C1012" s="13" t="s">
        <v>5834</v>
      </c>
      <c r="D1012" s="13"/>
      <c r="E1012" s="13">
        <v>3</v>
      </c>
      <c r="F1012" s="13" t="s">
        <v>5835</v>
      </c>
      <c r="G1012" s="13">
        <v>4</v>
      </c>
      <c r="H1012" s="13">
        <v>0</v>
      </c>
      <c r="I1012" s="13"/>
      <c r="J1012" s="13" t="s">
        <v>5836</v>
      </c>
      <c r="K1012" s="13" t="s">
        <v>5837</v>
      </c>
    </row>
    <row r="1013" spans="1:11" x14ac:dyDescent="0.3">
      <c r="A1013" s="13" t="s">
        <v>5756</v>
      </c>
      <c r="B1013" s="13" t="s">
        <v>5782</v>
      </c>
      <c r="C1013" s="13" t="s">
        <v>5838</v>
      </c>
      <c r="D1013" s="13"/>
      <c r="E1013" s="13">
        <v>3</v>
      </c>
      <c r="F1013" s="13" t="s">
        <v>5839</v>
      </c>
      <c r="G1013" s="13">
        <v>9</v>
      </c>
      <c r="H1013" s="13">
        <v>0</v>
      </c>
      <c r="I1013" s="13"/>
      <c r="J1013" s="13" t="s">
        <v>5840</v>
      </c>
      <c r="K1013" s="13" t="s">
        <v>5841</v>
      </c>
    </row>
    <row r="1014" spans="1:11" x14ac:dyDescent="0.3">
      <c r="A1014" s="13" t="s">
        <v>5756</v>
      </c>
      <c r="B1014" s="13" t="s">
        <v>5782</v>
      </c>
      <c r="C1014" s="13" t="s">
        <v>5842</v>
      </c>
      <c r="D1014" s="13"/>
      <c r="E1014" s="13">
        <v>3</v>
      </c>
      <c r="F1014" s="13" t="s">
        <v>5843</v>
      </c>
      <c r="G1014" s="13">
        <v>4</v>
      </c>
      <c r="H1014" s="13">
        <v>0</v>
      </c>
      <c r="I1014" s="13"/>
      <c r="J1014" s="13" t="s">
        <v>5844</v>
      </c>
      <c r="K1014" s="13" t="s">
        <v>5845</v>
      </c>
    </row>
    <row r="1015" spans="1:11" x14ac:dyDescent="0.3">
      <c r="A1015" s="13" t="s">
        <v>5756</v>
      </c>
      <c r="B1015" s="13" t="s">
        <v>5782</v>
      </c>
      <c r="C1015" s="13" t="s">
        <v>5846</v>
      </c>
      <c r="D1015" s="13"/>
      <c r="E1015" s="13">
        <v>3</v>
      </c>
      <c r="F1015" s="13" t="s">
        <v>5847</v>
      </c>
      <c r="G1015" s="13">
        <v>23</v>
      </c>
      <c r="H1015" s="13">
        <v>0</v>
      </c>
      <c r="I1015" s="13"/>
      <c r="J1015" s="13" t="s">
        <v>5848</v>
      </c>
      <c r="K1015" s="13" t="s">
        <v>5849</v>
      </c>
    </row>
    <row r="1016" spans="1:11" x14ac:dyDescent="0.3">
      <c r="A1016" s="13" t="s">
        <v>5756</v>
      </c>
      <c r="B1016" s="13" t="s">
        <v>5782</v>
      </c>
      <c r="C1016" s="13" t="s">
        <v>5850</v>
      </c>
      <c r="D1016" s="13" t="s">
        <v>5851</v>
      </c>
      <c r="E1016" s="13">
        <v>4</v>
      </c>
      <c r="F1016" s="13" t="s">
        <v>5852</v>
      </c>
      <c r="G1016" s="13">
        <v>12</v>
      </c>
      <c r="H1016" s="13">
        <v>0</v>
      </c>
      <c r="I1016" s="13"/>
      <c r="J1016" s="13" t="s">
        <v>5853</v>
      </c>
      <c r="K1016" s="13" t="s">
        <v>5854</v>
      </c>
    </row>
    <row r="1017" spans="1:11" x14ac:dyDescent="0.3">
      <c r="A1017" s="13" t="s">
        <v>5756</v>
      </c>
      <c r="B1017" s="13" t="s">
        <v>5782</v>
      </c>
      <c r="C1017" s="13" t="s">
        <v>5850</v>
      </c>
      <c r="D1017" s="13" t="s">
        <v>5855</v>
      </c>
      <c r="E1017" s="13">
        <v>4</v>
      </c>
      <c r="F1017" s="13" t="s">
        <v>5856</v>
      </c>
      <c r="G1017" s="13">
        <v>36</v>
      </c>
      <c r="H1017" s="13">
        <v>0</v>
      </c>
      <c r="I1017" s="13"/>
      <c r="J1017" s="13" t="s">
        <v>5857</v>
      </c>
      <c r="K1017" s="13" t="s">
        <v>5858</v>
      </c>
    </row>
    <row r="1018" spans="1:11" x14ac:dyDescent="0.3">
      <c r="A1018" s="13" t="s">
        <v>5756</v>
      </c>
      <c r="B1018" s="13" t="s">
        <v>5782</v>
      </c>
      <c r="C1018" s="13" t="s">
        <v>5850</v>
      </c>
      <c r="D1018" s="13" t="s">
        <v>5859</v>
      </c>
      <c r="E1018" s="13">
        <v>4</v>
      </c>
      <c r="F1018" s="13" t="s">
        <v>5860</v>
      </c>
      <c r="G1018" s="13">
        <v>6</v>
      </c>
      <c r="H1018" s="13">
        <v>0</v>
      </c>
      <c r="I1018" s="13"/>
      <c r="J1018" s="13" t="s">
        <v>5861</v>
      </c>
      <c r="K1018" s="13" t="s">
        <v>5862</v>
      </c>
    </row>
    <row r="1019" spans="1:11" x14ac:dyDescent="0.3">
      <c r="A1019" s="13" t="s">
        <v>5756</v>
      </c>
      <c r="B1019" s="13" t="s">
        <v>5782</v>
      </c>
      <c r="C1019" s="13" t="s">
        <v>5850</v>
      </c>
      <c r="D1019" s="13" t="s">
        <v>5863</v>
      </c>
      <c r="E1019" s="13">
        <v>4</v>
      </c>
      <c r="F1019" s="13" t="s">
        <v>5864</v>
      </c>
      <c r="G1019" s="13">
        <v>12</v>
      </c>
      <c r="H1019" s="13">
        <v>0</v>
      </c>
      <c r="I1019" s="13"/>
      <c r="J1019" s="13" t="s">
        <v>5865</v>
      </c>
      <c r="K1019" s="13" t="s">
        <v>5866</v>
      </c>
    </row>
    <row r="1020" spans="1:11" x14ac:dyDescent="0.3">
      <c r="A1020" s="13" t="s">
        <v>5756</v>
      </c>
      <c r="B1020" s="13" t="s">
        <v>5782</v>
      </c>
      <c r="C1020" s="13" t="s">
        <v>5850</v>
      </c>
      <c r="D1020" s="13" t="s">
        <v>5867</v>
      </c>
      <c r="E1020" s="13">
        <v>4</v>
      </c>
      <c r="F1020" s="13" t="s">
        <v>5868</v>
      </c>
      <c r="G1020" s="13">
        <v>40</v>
      </c>
      <c r="H1020" s="13">
        <v>0</v>
      </c>
      <c r="I1020" s="13"/>
      <c r="J1020" s="13" t="s">
        <v>5869</v>
      </c>
      <c r="K1020" s="13" t="s">
        <v>5870</v>
      </c>
    </row>
    <row r="1021" spans="1:11" x14ac:dyDescent="0.3">
      <c r="A1021" s="13" t="s">
        <v>5756</v>
      </c>
      <c r="B1021" s="13" t="s">
        <v>5782</v>
      </c>
      <c r="C1021" s="13" t="s">
        <v>5850</v>
      </c>
      <c r="D1021" s="13" t="s">
        <v>5871</v>
      </c>
      <c r="E1021" s="13">
        <v>4</v>
      </c>
      <c r="F1021" s="13" t="s">
        <v>5872</v>
      </c>
      <c r="G1021" s="13">
        <v>16</v>
      </c>
      <c r="H1021" s="13">
        <v>0</v>
      </c>
      <c r="I1021" s="13"/>
      <c r="J1021" s="13" t="s">
        <v>5873</v>
      </c>
      <c r="K1021" s="13" t="s">
        <v>5874</v>
      </c>
    </row>
    <row r="1022" spans="1:11" x14ac:dyDescent="0.3">
      <c r="A1022" s="13" t="s">
        <v>5756</v>
      </c>
      <c r="B1022" s="13" t="s">
        <v>5782</v>
      </c>
      <c r="C1022" s="13" t="s">
        <v>5850</v>
      </c>
      <c r="D1022" s="13" t="s">
        <v>5875</v>
      </c>
      <c r="E1022" s="13">
        <v>4</v>
      </c>
      <c r="F1022" s="13" t="s">
        <v>5876</v>
      </c>
      <c r="G1022" s="13">
        <v>15</v>
      </c>
      <c r="H1022" s="13">
        <v>0</v>
      </c>
      <c r="I1022" s="13"/>
      <c r="J1022" s="13" t="s">
        <v>5877</v>
      </c>
      <c r="K1022" s="13" t="s">
        <v>5878</v>
      </c>
    </row>
    <row r="1023" spans="1:11" x14ac:dyDescent="0.3">
      <c r="A1023" s="13" t="s">
        <v>5756</v>
      </c>
      <c r="B1023" s="13" t="s">
        <v>5782</v>
      </c>
      <c r="C1023" s="13" t="s">
        <v>5850</v>
      </c>
      <c r="D1023" s="13" t="s">
        <v>5879</v>
      </c>
      <c r="E1023" s="13">
        <v>4</v>
      </c>
      <c r="F1023" s="13" t="s">
        <v>5880</v>
      </c>
      <c r="G1023" s="13">
        <v>33</v>
      </c>
      <c r="H1023" s="13">
        <v>0</v>
      </c>
      <c r="I1023" s="13"/>
      <c r="J1023" s="13" t="s">
        <v>5881</v>
      </c>
      <c r="K1023" s="13" t="s">
        <v>5882</v>
      </c>
    </row>
    <row r="1024" spans="1:11" x14ac:dyDescent="0.3">
      <c r="A1024" s="13" t="s">
        <v>5756</v>
      </c>
      <c r="B1024" s="13" t="s">
        <v>5782</v>
      </c>
      <c r="C1024" s="13" t="s">
        <v>5850</v>
      </c>
      <c r="D1024" s="13" t="s">
        <v>5883</v>
      </c>
      <c r="E1024" s="13">
        <v>4</v>
      </c>
      <c r="F1024" s="13" t="s">
        <v>5884</v>
      </c>
      <c r="G1024" s="13">
        <v>13</v>
      </c>
      <c r="H1024" s="13">
        <v>0</v>
      </c>
      <c r="I1024" s="13"/>
      <c r="J1024" s="13" t="s">
        <v>5885</v>
      </c>
      <c r="K1024" s="13" t="s">
        <v>5886</v>
      </c>
    </row>
    <row r="1025" spans="1:11" x14ac:dyDescent="0.3">
      <c r="A1025" s="13" t="s">
        <v>5756</v>
      </c>
      <c r="B1025" s="13" t="s">
        <v>5782</v>
      </c>
      <c r="C1025" s="13" t="s">
        <v>5850</v>
      </c>
      <c r="D1025" s="13" t="s">
        <v>5887</v>
      </c>
      <c r="E1025" s="13">
        <v>4</v>
      </c>
      <c r="F1025" s="13" t="s">
        <v>5888</v>
      </c>
      <c r="G1025" s="13">
        <v>6</v>
      </c>
      <c r="H1025" s="13">
        <v>0</v>
      </c>
      <c r="I1025" s="13"/>
      <c r="J1025" s="13" t="s">
        <v>5889</v>
      </c>
      <c r="K1025" s="13" t="s">
        <v>5890</v>
      </c>
    </row>
    <row r="1026" spans="1:11" x14ac:dyDescent="0.3">
      <c r="A1026" s="13" t="s">
        <v>5756</v>
      </c>
      <c r="B1026" s="13" t="s">
        <v>5891</v>
      </c>
      <c r="C1026" s="13"/>
      <c r="D1026" s="13"/>
      <c r="E1026" s="13">
        <v>2</v>
      </c>
      <c r="F1026" s="13" t="s">
        <v>5892</v>
      </c>
      <c r="G1026" s="13">
        <v>4</v>
      </c>
      <c r="H1026" s="13">
        <v>0</v>
      </c>
      <c r="I1026" s="13"/>
      <c r="J1026" s="13" t="s">
        <v>5893</v>
      </c>
      <c r="K1026" s="13" t="s">
        <v>5894</v>
      </c>
    </row>
    <row r="1027" spans="1:11" x14ac:dyDescent="0.3">
      <c r="A1027" s="13" t="s">
        <v>5756</v>
      </c>
      <c r="B1027" s="13" t="s">
        <v>5895</v>
      </c>
      <c r="C1027" s="13"/>
      <c r="D1027" s="13"/>
      <c r="E1027" s="13">
        <v>2</v>
      </c>
      <c r="F1027" s="13" t="s">
        <v>5896</v>
      </c>
      <c r="G1027" s="13">
        <v>5</v>
      </c>
      <c r="H1027" s="13">
        <v>0</v>
      </c>
      <c r="I1027" s="13"/>
      <c r="J1027" s="13" t="s">
        <v>5897</v>
      </c>
      <c r="K1027" s="13" t="s">
        <v>5898</v>
      </c>
    </row>
    <row r="1028" spans="1:11" x14ac:dyDescent="0.3">
      <c r="A1028" s="13" t="s">
        <v>5756</v>
      </c>
      <c r="B1028" s="13" t="s">
        <v>5899</v>
      </c>
      <c r="C1028" s="13" t="s">
        <v>5900</v>
      </c>
      <c r="D1028" s="13"/>
      <c r="E1028" s="13">
        <v>3</v>
      </c>
      <c r="F1028" s="13" t="s">
        <v>5901</v>
      </c>
      <c r="G1028" s="13">
        <v>15</v>
      </c>
      <c r="H1028" s="13">
        <v>0</v>
      </c>
      <c r="I1028" s="13"/>
      <c r="J1028" s="13" t="s">
        <v>5902</v>
      </c>
      <c r="K1028" s="13" t="s">
        <v>5903</v>
      </c>
    </row>
    <row r="1029" spans="1:11" x14ac:dyDescent="0.3">
      <c r="A1029" s="13" t="s">
        <v>5756</v>
      </c>
      <c r="B1029" s="13" t="s">
        <v>5899</v>
      </c>
      <c r="C1029" s="13" t="s">
        <v>5904</v>
      </c>
      <c r="D1029" s="13"/>
      <c r="E1029" s="13">
        <v>3</v>
      </c>
      <c r="F1029" s="13" t="s">
        <v>5905</v>
      </c>
      <c r="G1029" s="13">
        <v>2</v>
      </c>
      <c r="H1029" s="13">
        <v>0</v>
      </c>
      <c r="I1029" s="13"/>
      <c r="J1029" s="13" t="s">
        <v>5906</v>
      </c>
      <c r="K1029" s="13" t="s">
        <v>5907</v>
      </c>
    </row>
    <row r="1030" spans="1:11" x14ac:dyDescent="0.3">
      <c r="A1030" s="13" t="s">
        <v>5756</v>
      </c>
      <c r="B1030" s="13" t="s">
        <v>5908</v>
      </c>
      <c r="C1030" s="13"/>
      <c r="D1030" s="13"/>
      <c r="E1030" s="13">
        <v>2</v>
      </c>
      <c r="F1030" s="13" t="s">
        <v>5909</v>
      </c>
      <c r="G1030" s="13">
        <v>1093</v>
      </c>
      <c r="H1030" s="13">
        <v>0</v>
      </c>
      <c r="I1030" s="13"/>
      <c r="J1030" s="13" t="s">
        <v>5910</v>
      </c>
      <c r="K1030" s="13" t="s">
        <v>5911</v>
      </c>
    </row>
    <row r="1031" spans="1:11" x14ac:dyDescent="0.3">
      <c r="A1031" s="13" t="s">
        <v>5756</v>
      </c>
      <c r="B1031" s="13" t="s">
        <v>5912</v>
      </c>
      <c r="C1031" s="13"/>
      <c r="D1031" s="13"/>
      <c r="E1031" s="13">
        <v>2</v>
      </c>
      <c r="F1031" s="13" t="s">
        <v>5913</v>
      </c>
      <c r="G1031" s="13">
        <v>9</v>
      </c>
      <c r="H1031" s="13">
        <v>0</v>
      </c>
      <c r="I1031" s="13"/>
      <c r="J1031" s="13" t="s">
        <v>5914</v>
      </c>
      <c r="K1031" s="13" t="s">
        <v>5915</v>
      </c>
    </row>
    <row r="1032" spans="1:11" x14ac:dyDescent="0.3">
      <c r="A1032" s="13" t="s">
        <v>5756</v>
      </c>
      <c r="B1032" s="13" t="s">
        <v>5916</v>
      </c>
      <c r="C1032" s="13"/>
      <c r="D1032" s="13"/>
      <c r="E1032" s="13">
        <v>2</v>
      </c>
      <c r="F1032" s="13" t="s">
        <v>5917</v>
      </c>
      <c r="G1032" s="13">
        <v>542</v>
      </c>
      <c r="H1032" s="13">
        <v>0</v>
      </c>
      <c r="I1032" s="13"/>
      <c r="J1032" s="13" t="s">
        <v>5918</v>
      </c>
      <c r="K1032" s="13" t="s">
        <v>5919</v>
      </c>
    </row>
    <row r="1033" spans="1:11" x14ac:dyDescent="0.3">
      <c r="A1033" s="13" t="s">
        <v>5756</v>
      </c>
      <c r="B1033" s="13" t="s">
        <v>5920</v>
      </c>
      <c r="C1033" s="13"/>
      <c r="D1033" s="13"/>
      <c r="E1033" s="13">
        <v>2</v>
      </c>
      <c r="F1033" s="13" t="s">
        <v>5921</v>
      </c>
      <c r="G1033" s="13">
        <v>72</v>
      </c>
      <c r="H1033" s="13">
        <v>0</v>
      </c>
      <c r="I1033" s="13"/>
      <c r="J1033" s="13" t="s">
        <v>5922</v>
      </c>
      <c r="K1033" s="13" t="s">
        <v>5923</v>
      </c>
    </row>
    <row r="1034" spans="1:11" x14ac:dyDescent="0.3">
      <c r="A1034" s="13" t="s">
        <v>5756</v>
      </c>
      <c r="B1034" s="13" t="s">
        <v>5924</v>
      </c>
      <c r="C1034" s="13"/>
      <c r="D1034" s="13"/>
      <c r="E1034" s="13">
        <v>2</v>
      </c>
      <c r="F1034" s="13" t="s">
        <v>5925</v>
      </c>
      <c r="G1034" s="13">
        <v>37</v>
      </c>
      <c r="H1034" s="13">
        <v>0</v>
      </c>
      <c r="I1034" s="13"/>
      <c r="J1034" s="13" t="s">
        <v>5926</v>
      </c>
      <c r="K1034" s="13" t="s">
        <v>5927</v>
      </c>
    </row>
    <row r="1035" spans="1:11" x14ac:dyDescent="0.3">
      <c r="A1035" s="13" t="s">
        <v>5756</v>
      </c>
      <c r="B1035" s="13" t="s">
        <v>5928</v>
      </c>
      <c r="C1035" s="13"/>
      <c r="D1035" s="13"/>
      <c r="E1035" s="13">
        <v>2</v>
      </c>
      <c r="F1035" s="13" t="s">
        <v>5929</v>
      </c>
      <c r="G1035" s="13">
        <v>186</v>
      </c>
      <c r="H1035" s="13">
        <v>0</v>
      </c>
      <c r="I1035" s="13"/>
      <c r="J1035" s="13" t="s">
        <v>5930</v>
      </c>
      <c r="K1035" s="13" t="s">
        <v>5931</v>
      </c>
    </row>
    <row r="1036" spans="1:11" x14ac:dyDescent="0.3">
      <c r="A1036" s="13" t="s">
        <v>944</v>
      </c>
      <c r="B1036" s="13" t="s">
        <v>5932</v>
      </c>
      <c r="C1036" s="13" t="s">
        <v>5933</v>
      </c>
      <c r="D1036" s="13"/>
      <c r="E1036" s="13">
        <v>3</v>
      </c>
      <c r="F1036" s="13" t="s">
        <v>5934</v>
      </c>
      <c r="G1036" s="13">
        <v>183</v>
      </c>
      <c r="H1036" s="13">
        <v>0</v>
      </c>
      <c r="I1036" s="13"/>
      <c r="J1036" s="13" t="s">
        <v>5935</v>
      </c>
      <c r="K1036" s="13" t="s">
        <v>5936</v>
      </c>
    </row>
    <row r="1037" spans="1:11" x14ac:dyDescent="0.3">
      <c r="A1037" s="13" t="s">
        <v>944</v>
      </c>
      <c r="B1037" s="13" t="s">
        <v>5937</v>
      </c>
      <c r="C1037" s="13" t="s">
        <v>5938</v>
      </c>
      <c r="D1037" s="13"/>
      <c r="E1037" s="13">
        <v>3</v>
      </c>
      <c r="F1037" s="13" t="s">
        <v>5939</v>
      </c>
      <c r="G1037" s="13">
        <v>133</v>
      </c>
      <c r="H1037" s="13">
        <v>0</v>
      </c>
      <c r="I1037" s="13"/>
      <c r="J1037" s="13" t="s">
        <v>5940</v>
      </c>
      <c r="K1037" s="13" t="s">
        <v>5941</v>
      </c>
    </row>
    <row r="1038" spans="1:11" x14ac:dyDescent="0.3">
      <c r="A1038" s="13" t="s">
        <v>944</v>
      </c>
      <c r="B1038" s="13" t="s">
        <v>5937</v>
      </c>
      <c r="C1038" s="13" t="s">
        <v>5942</v>
      </c>
      <c r="D1038" s="13"/>
      <c r="E1038" s="13">
        <v>3</v>
      </c>
      <c r="F1038" s="13" t="s">
        <v>5943</v>
      </c>
      <c r="G1038" s="13">
        <v>831</v>
      </c>
      <c r="H1038" s="13">
        <v>0</v>
      </c>
      <c r="I1038" s="13"/>
      <c r="J1038" s="13" t="s">
        <v>5944</v>
      </c>
      <c r="K1038" s="13" t="s">
        <v>5945</v>
      </c>
    </row>
    <row r="1039" spans="1:11" x14ac:dyDescent="0.3">
      <c r="A1039" s="13" t="s">
        <v>944</v>
      </c>
      <c r="B1039" s="13" t="s">
        <v>5937</v>
      </c>
      <c r="C1039" s="13" t="s">
        <v>5946</v>
      </c>
      <c r="D1039" s="13"/>
      <c r="E1039" s="13">
        <v>3</v>
      </c>
      <c r="F1039" s="13" t="s">
        <v>5947</v>
      </c>
      <c r="G1039" s="13">
        <v>887</v>
      </c>
      <c r="H1039" s="13">
        <v>0</v>
      </c>
      <c r="I1039" s="13"/>
      <c r="J1039" s="13" t="s">
        <v>5948</v>
      </c>
      <c r="K1039" s="13" t="s">
        <v>5949</v>
      </c>
    </row>
    <row r="1040" spans="1:11" x14ac:dyDescent="0.3">
      <c r="A1040" s="13" t="s">
        <v>944</v>
      </c>
      <c r="B1040" s="13" t="s">
        <v>5937</v>
      </c>
      <c r="C1040" s="13" t="s">
        <v>5950</v>
      </c>
      <c r="D1040" s="13"/>
      <c r="E1040" s="13">
        <v>3</v>
      </c>
      <c r="F1040" s="13" t="s">
        <v>5951</v>
      </c>
      <c r="G1040" s="13">
        <v>754</v>
      </c>
      <c r="H1040" s="13">
        <v>0</v>
      </c>
      <c r="I1040" s="13"/>
      <c r="J1040" s="13" t="s">
        <v>5952</v>
      </c>
      <c r="K1040" s="13" t="s">
        <v>5953</v>
      </c>
    </row>
    <row r="1041" spans="1:11" x14ac:dyDescent="0.3">
      <c r="A1041" s="13" t="s">
        <v>944</v>
      </c>
      <c r="B1041" s="13" t="s">
        <v>5937</v>
      </c>
      <c r="C1041" s="13" t="s">
        <v>5954</v>
      </c>
      <c r="D1041" s="13"/>
      <c r="E1041" s="13">
        <v>3</v>
      </c>
      <c r="F1041" s="13" t="s">
        <v>5955</v>
      </c>
      <c r="G1041" s="13">
        <v>563</v>
      </c>
      <c r="H1041" s="13">
        <v>0</v>
      </c>
      <c r="I1041" s="13"/>
      <c r="J1041" s="13" t="s">
        <v>5956</v>
      </c>
      <c r="K1041" s="13" t="s">
        <v>5957</v>
      </c>
    </row>
    <row r="1042" spans="1:11" x14ac:dyDescent="0.3">
      <c r="A1042" s="13" t="s">
        <v>944</v>
      </c>
      <c r="B1042" s="13" t="s">
        <v>5937</v>
      </c>
      <c r="C1042" s="13" t="s">
        <v>5958</v>
      </c>
      <c r="D1042" s="13"/>
      <c r="E1042" s="13">
        <v>3</v>
      </c>
      <c r="F1042" s="13" t="s">
        <v>5959</v>
      </c>
      <c r="G1042" s="13">
        <v>39</v>
      </c>
      <c r="H1042" s="13">
        <v>0</v>
      </c>
      <c r="I1042" s="13"/>
      <c r="J1042" s="13" t="s">
        <v>5960</v>
      </c>
      <c r="K1042" s="13" t="s">
        <v>5961</v>
      </c>
    </row>
    <row r="1043" spans="1:11" x14ac:dyDescent="0.3">
      <c r="A1043" s="13" t="s">
        <v>944</v>
      </c>
      <c r="B1043" s="13" t="s">
        <v>5937</v>
      </c>
      <c r="C1043" s="13" t="s">
        <v>5962</v>
      </c>
      <c r="D1043" s="13" t="s">
        <v>5963</v>
      </c>
      <c r="E1043" s="13">
        <v>4</v>
      </c>
      <c r="F1043" s="13" t="s">
        <v>5964</v>
      </c>
      <c r="G1043" s="13">
        <v>118</v>
      </c>
      <c r="H1043" s="13">
        <v>0</v>
      </c>
      <c r="I1043" s="13"/>
      <c r="J1043" s="13" t="s">
        <v>5965</v>
      </c>
      <c r="K1043" s="13" t="s">
        <v>5966</v>
      </c>
    </row>
    <row r="1044" spans="1:11" x14ac:dyDescent="0.3">
      <c r="A1044" s="13" t="s">
        <v>944</v>
      </c>
      <c r="B1044" s="13" t="s">
        <v>5937</v>
      </c>
      <c r="C1044" s="13" t="s">
        <v>5962</v>
      </c>
      <c r="D1044" s="13" t="s">
        <v>5967</v>
      </c>
      <c r="E1044" s="13">
        <v>4</v>
      </c>
      <c r="F1044" s="13" t="s">
        <v>5968</v>
      </c>
      <c r="G1044" s="13">
        <v>61</v>
      </c>
      <c r="H1044" s="13">
        <v>0</v>
      </c>
      <c r="I1044" s="13"/>
      <c r="J1044" s="13" t="s">
        <v>5969</v>
      </c>
      <c r="K1044" s="13" t="s">
        <v>5970</v>
      </c>
    </row>
    <row r="1045" spans="1:11" x14ac:dyDescent="0.3">
      <c r="A1045" s="13" t="s">
        <v>944</v>
      </c>
      <c r="B1045" s="13" t="s">
        <v>5937</v>
      </c>
      <c r="C1045" s="13" t="s">
        <v>5962</v>
      </c>
      <c r="D1045" s="13" t="s">
        <v>5971</v>
      </c>
      <c r="E1045" s="13">
        <v>4</v>
      </c>
      <c r="F1045" s="13" t="s">
        <v>5972</v>
      </c>
      <c r="G1045" s="13">
        <v>65</v>
      </c>
      <c r="H1045" s="13">
        <v>0</v>
      </c>
      <c r="I1045" s="13"/>
      <c r="J1045" s="13" t="s">
        <v>5973</v>
      </c>
      <c r="K1045" s="13" t="s">
        <v>5974</v>
      </c>
    </row>
    <row r="1046" spans="1:11" x14ac:dyDescent="0.3">
      <c r="A1046" s="13" t="s">
        <v>944</v>
      </c>
      <c r="B1046" s="13" t="s">
        <v>5937</v>
      </c>
      <c r="C1046" s="13" t="s">
        <v>5975</v>
      </c>
      <c r="D1046" s="13"/>
      <c r="E1046" s="13">
        <v>3</v>
      </c>
      <c r="F1046" s="13" t="s">
        <v>5976</v>
      </c>
      <c r="G1046" s="13">
        <v>150</v>
      </c>
      <c r="H1046" s="13">
        <v>0</v>
      </c>
      <c r="I1046" s="13"/>
      <c r="J1046" s="13" t="s">
        <v>5977</v>
      </c>
      <c r="K1046" s="13" t="s">
        <v>5978</v>
      </c>
    </row>
    <row r="1047" spans="1:11" x14ac:dyDescent="0.3">
      <c r="A1047" s="13" t="s">
        <v>944</v>
      </c>
      <c r="B1047" s="13" t="s">
        <v>5979</v>
      </c>
      <c r="C1047" s="13" t="s">
        <v>5980</v>
      </c>
      <c r="D1047" s="13"/>
      <c r="E1047" s="13">
        <v>3</v>
      </c>
      <c r="F1047" s="13" t="s">
        <v>5981</v>
      </c>
      <c r="G1047" s="13">
        <v>296</v>
      </c>
      <c r="H1047" s="13">
        <v>0</v>
      </c>
      <c r="I1047" s="13"/>
      <c r="J1047" s="13" t="s">
        <v>5982</v>
      </c>
      <c r="K1047" s="13" t="s">
        <v>5983</v>
      </c>
    </row>
    <row r="1048" spans="1:11" x14ac:dyDescent="0.3">
      <c r="A1048" s="13" t="s">
        <v>944</v>
      </c>
      <c r="B1048" s="13" t="s">
        <v>5979</v>
      </c>
      <c r="C1048" s="13" t="s">
        <v>5984</v>
      </c>
      <c r="D1048" s="13"/>
      <c r="E1048" s="13">
        <v>3</v>
      </c>
      <c r="F1048" s="13" t="s">
        <v>5985</v>
      </c>
      <c r="G1048" s="13">
        <v>196</v>
      </c>
      <c r="H1048" s="13">
        <v>0</v>
      </c>
      <c r="I1048" s="13"/>
      <c r="J1048" s="13" t="s">
        <v>5986</v>
      </c>
      <c r="K1048" s="13" t="s">
        <v>5987</v>
      </c>
    </row>
    <row r="1049" spans="1:11" x14ac:dyDescent="0.3">
      <c r="A1049" s="13" t="s">
        <v>944</v>
      </c>
      <c r="B1049" s="13" t="s">
        <v>5988</v>
      </c>
      <c r="C1049" s="13" t="s">
        <v>5989</v>
      </c>
      <c r="D1049" s="13"/>
      <c r="E1049" s="13">
        <v>3</v>
      </c>
      <c r="F1049" s="13" t="s">
        <v>5990</v>
      </c>
      <c r="G1049" s="13">
        <v>699</v>
      </c>
      <c r="H1049" s="13">
        <v>0</v>
      </c>
      <c r="I1049" s="13"/>
      <c r="J1049" s="13" t="s">
        <v>5991</v>
      </c>
      <c r="K1049" s="13" t="s">
        <v>5992</v>
      </c>
    </row>
    <row r="1050" spans="1:11" x14ac:dyDescent="0.3">
      <c r="A1050" s="13" t="s">
        <v>944</v>
      </c>
      <c r="B1050" s="13" t="s">
        <v>5993</v>
      </c>
      <c r="C1050" s="13"/>
      <c r="D1050" s="13"/>
      <c r="E1050" s="13">
        <v>2</v>
      </c>
      <c r="F1050" s="13" t="s">
        <v>5994</v>
      </c>
      <c r="G1050" s="13"/>
      <c r="H1050" s="13">
        <v>0</v>
      </c>
      <c r="I1050" s="13"/>
      <c r="J1050" s="13" t="s">
        <v>5995</v>
      </c>
      <c r="K1050" s="13" t="s">
        <v>5996</v>
      </c>
    </row>
    <row r="1051" spans="1:11" x14ac:dyDescent="0.3">
      <c r="A1051" s="13" t="s">
        <v>944</v>
      </c>
      <c r="B1051" s="13" t="s">
        <v>945</v>
      </c>
      <c r="C1051" s="13" t="s">
        <v>5997</v>
      </c>
      <c r="D1051" s="13" t="s">
        <v>5998</v>
      </c>
      <c r="E1051" s="13">
        <v>4</v>
      </c>
      <c r="F1051" s="13" t="s">
        <v>5999</v>
      </c>
      <c r="G1051" s="13">
        <v>4</v>
      </c>
      <c r="H1051" s="13">
        <v>0</v>
      </c>
      <c r="I1051" s="13"/>
      <c r="J1051" s="13" t="s">
        <v>6000</v>
      </c>
      <c r="K1051" s="13" t="s">
        <v>6001</v>
      </c>
    </row>
    <row r="1052" spans="1:11" x14ac:dyDescent="0.3">
      <c r="A1052" s="13" t="s">
        <v>944</v>
      </c>
      <c r="B1052" s="13" t="s">
        <v>945</v>
      </c>
      <c r="C1052" s="13" t="s">
        <v>5997</v>
      </c>
      <c r="D1052" s="13" t="s">
        <v>6002</v>
      </c>
      <c r="E1052" s="13">
        <v>4</v>
      </c>
      <c r="F1052" s="13" t="s">
        <v>6003</v>
      </c>
      <c r="G1052" s="13">
        <v>853</v>
      </c>
      <c r="H1052" s="13">
        <v>0</v>
      </c>
      <c r="I1052" s="13"/>
      <c r="J1052" s="13" t="s">
        <v>6004</v>
      </c>
      <c r="K1052" s="13" t="s">
        <v>6005</v>
      </c>
    </row>
    <row r="1053" spans="1:11" x14ac:dyDescent="0.3">
      <c r="A1053" s="13" t="s">
        <v>944</v>
      </c>
      <c r="B1053" s="13" t="s">
        <v>945</v>
      </c>
      <c r="C1053" s="13" t="s">
        <v>946</v>
      </c>
      <c r="D1053" s="13" t="s">
        <v>6006</v>
      </c>
      <c r="E1053" s="13">
        <v>4</v>
      </c>
      <c r="F1053" s="13" t="s">
        <v>6007</v>
      </c>
      <c r="G1053" s="13">
        <v>548</v>
      </c>
      <c r="H1053" s="13">
        <v>0</v>
      </c>
      <c r="I1053" s="13"/>
      <c r="J1053" s="13" t="s">
        <v>6008</v>
      </c>
      <c r="K1053" s="13" t="s">
        <v>6009</v>
      </c>
    </row>
    <row r="1054" spans="1:11" x14ac:dyDescent="0.3">
      <c r="A1054" s="13" t="s">
        <v>944</v>
      </c>
      <c r="B1054" s="13" t="s">
        <v>945</v>
      </c>
      <c r="C1054" s="13" t="s">
        <v>946</v>
      </c>
      <c r="D1054" s="13" t="s">
        <v>6010</v>
      </c>
      <c r="E1054" s="13">
        <v>4</v>
      </c>
      <c r="F1054" s="13" t="s">
        <v>6011</v>
      </c>
      <c r="G1054" s="13">
        <v>247</v>
      </c>
      <c r="H1054" s="13">
        <v>0</v>
      </c>
      <c r="I1054" s="13"/>
      <c r="J1054" s="13" t="s">
        <v>6012</v>
      </c>
      <c r="K1054" s="13" t="s">
        <v>6013</v>
      </c>
    </row>
    <row r="1055" spans="1:11" x14ac:dyDescent="0.3">
      <c r="A1055" s="13" t="s">
        <v>944</v>
      </c>
      <c r="B1055" s="13" t="s">
        <v>945</v>
      </c>
      <c r="C1055" s="13" t="s">
        <v>946</v>
      </c>
      <c r="D1055" s="13" t="s">
        <v>947</v>
      </c>
      <c r="E1055" s="13">
        <v>4</v>
      </c>
      <c r="F1055" s="13" t="s">
        <v>156</v>
      </c>
      <c r="G1055" s="13">
        <v>607</v>
      </c>
      <c r="H1055" s="13">
        <v>0</v>
      </c>
      <c r="I1055" s="3" t="s">
        <v>943</v>
      </c>
      <c r="J1055" s="13" t="s">
        <v>27</v>
      </c>
      <c r="K1055" s="13" t="s">
        <v>162</v>
      </c>
    </row>
    <row r="1056" spans="1:11" x14ac:dyDescent="0.3">
      <c r="A1056" s="13" t="s">
        <v>944</v>
      </c>
      <c r="B1056" s="13" t="s">
        <v>945</v>
      </c>
      <c r="C1056" s="13" t="s">
        <v>946</v>
      </c>
      <c r="D1056" s="13" t="s">
        <v>6014</v>
      </c>
      <c r="E1056" s="13">
        <v>4</v>
      </c>
      <c r="F1056" s="13" t="s">
        <v>6015</v>
      </c>
      <c r="G1056" s="13">
        <v>32</v>
      </c>
      <c r="H1056" s="13">
        <v>0</v>
      </c>
      <c r="I1056" s="13"/>
      <c r="J1056" s="13" t="s">
        <v>6016</v>
      </c>
      <c r="K1056" s="13" t="s">
        <v>6017</v>
      </c>
    </row>
    <row r="1057" spans="1:11" x14ac:dyDescent="0.3">
      <c r="A1057" s="13" t="s">
        <v>944</v>
      </c>
      <c r="B1057" s="13" t="s">
        <v>945</v>
      </c>
      <c r="C1057" s="13" t="s">
        <v>946</v>
      </c>
      <c r="D1057" s="13" t="s">
        <v>6018</v>
      </c>
      <c r="E1057" s="13">
        <v>4</v>
      </c>
      <c r="F1057" s="13" t="s">
        <v>6019</v>
      </c>
      <c r="G1057" s="13">
        <v>301</v>
      </c>
      <c r="H1057" s="13">
        <v>0</v>
      </c>
      <c r="I1057" s="13"/>
      <c r="J1057" s="13" t="s">
        <v>6020</v>
      </c>
      <c r="K1057" s="13" t="s">
        <v>6021</v>
      </c>
    </row>
    <row r="1058" spans="1:11" x14ac:dyDescent="0.3">
      <c r="A1058" s="13" t="s">
        <v>944</v>
      </c>
      <c r="B1058" s="13" t="s">
        <v>945</v>
      </c>
      <c r="C1058" s="13" t="s">
        <v>1086</v>
      </c>
      <c r="D1058" s="13"/>
      <c r="E1058" s="13">
        <v>3</v>
      </c>
      <c r="F1058" s="13" t="s">
        <v>1087</v>
      </c>
      <c r="G1058" s="13">
        <v>284</v>
      </c>
      <c r="H1058" s="13">
        <v>0</v>
      </c>
      <c r="I1058" s="3" t="s">
        <v>1084</v>
      </c>
      <c r="J1058" s="13" t="s">
        <v>1085</v>
      </c>
      <c r="K1058" s="13" t="s">
        <v>6022</v>
      </c>
    </row>
    <row r="1059" spans="1:11" x14ac:dyDescent="0.3">
      <c r="A1059" s="13" t="s">
        <v>944</v>
      </c>
      <c r="B1059" s="13" t="s">
        <v>945</v>
      </c>
      <c r="C1059" s="13" t="s">
        <v>6023</v>
      </c>
      <c r="D1059" s="13"/>
      <c r="E1059" s="13">
        <v>3</v>
      </c>
      <c r="F1059" s="13" t="s">
        <v>6024</v>
      </c>
      <c r="G1059" s="13">
        <v>31</v>
      </c>
      <c r="H1059" s="13">
        <v>0</v>
      </c>
      <c r="I1059" s="13"/>
      <c r="J1059" s="13" t="s">
        <v>6025</v>
      </c>
      <c r="K1059" s="13" t="s">
        <v>6026</v>
      </c>
    </row>
    <row r="1060" spans="1:11" x14ac:dyDescent="0.3">
      <c r="A1060" s="13" t="s">
        <v>944</v>
      </c>
      <c r="B1060" s="13" t="s">
        <v>945</v>
      </c>
      <c r="C1060" s="13" t="s">
        <v>1109</v>
      </c>
      <c r="D1060" s="13" t="s">
        <v>6027</v>
      </c>
      <c r="E1060" s="13">
        <v>4</v>
      </c>
      <c r="F1060" s="13" t="s">
        <v>6028</v>
      </c>
      <c r="G1060" s="13">
        <v>50</v>
      </c>
      <c r="H1060" s="13">
        <v>0</v>
      </c>
      <c r="I1060" s="13"/>
      <c r="J1060" s="13" t="s">
        <v>6029</v>
      </c>
      <c r="K1060" s="13" t="s">
        <v>6030</v>
      </c>
    </row>
    <row r="1061" spans="1:11" x14ac:dyDescent="0.3">
      <c r="A1061" s="13" t="s">
        <v>944</v>
      </c>
      <c r="B1061" s="13" t="s">
        <v>945</v>
      </c>
      <c r="C1061" s="13" t="s">
        <v>1109</v>
      </c>
      <c r="D1061" s="13" t="s">
        <v>1110</v>
      </c>
      <c r="E1061" s="13">
        <v>4</v>
      </c>
      <c r="F1061" s="13" t="s">
        <v>362</v>
      </c>
      <c r="G1061" s="13">
        <v>78</v>
      </c>
      <c r="H1061" s="13">
        <v>0</v>
      </c>
      <c r="I1061" s="3" t="s">
        <v>1108</v>
      </c>
      <c r="J1061" s="13" t="s">
        <v>361</v>
      </c>
      <c r="K1061" s="13" t="s">
        <v>370</v>
      </c>
    </row>
    <row r="1062" spans="1:11" x14ac:dyDescent="0.3">
      <c r="A1062" s="13" t="s">
        <v>944</v>
      </c>
      <c r="B1062" s="13" t="s">
        <v>945</v>
      </c>
      <c r="C1062" s="13" t="s">
        <v>1109</v>
      </c>
      <c r="D1062" s="13" t="s">
        <v>6031</v>
      </c>
      <c r="E1062" s="13">
        <v>4</v>
      </c>
      <c r="F1062" s="13" t="s">
        <v>6032</v>
      </c>
      <c r="G1062" s="13">
        <v>136</v>
      </c>
      <c r="H1062" s="13">
        <v>0</v>
      </c>
      <c r="I1062" s="13"/>
      <c r="J1062" s="13" t="s">
        <v>6033</v>
      </c>
      <c r="K1062" s="13" t="s">
        <v>6034</v>
      </c>
    </row>
    <row r="1063" spans="1:11" x14ac:dyDescent="0.3">
      <c r="A1063" s="13" t="s">
        <v>944</v>
      </c>
      <c r="B1063" s="13" t="s">
        <v>945</v>
      </c>
      <c r="C1063" s="13" t="s">
        <v>1109</v>
      </c>
      <c r="D1063" s="13" t="s">
        <v>6035</v>
      </c>
      <c r="E1063" s="13">
        <v>4</v>
      </c>
      <c r="F1063" s="13" t="s">
        <v>6036</v>
      </c>
      <c r="G1063" s="13">
        <v>11</v>
      </c>
      <c r="H1063" s="13">
        <v>0</v>
      </c>
      <c r="I1063" s="13"/>
      <c r="J1063" s="13" t="s">
        <v>6037</v>
      </c>
      <c r="K1063" s="13" t="s">
        <v>6038</v>
      </c>
    </row>
    <row r="1064" spans="1:11" x14ac:dyDescent="0.3">
      <c r="A1064" s="13" t="s">
        <v>944</v>
      </c>
      <c r="B1064" s="13" t="s">
        <v>945</v>
      </c>
      <c r="C1064" s="13" t="s">
        <v>1109</v>
      </c>
      <c r="D1064" s="13" t="s">
        <v>6039</v>
      </c>
      <c r="E1064" s="13">
        <v>4</v>
      </c>
      <c r="F1064" s="13" t="s">
        <v>6040</v>
      </c>
      <c r="G1064" s="13">
        <v>26</v>
      </c>
      <c r="H1064" s="13">
        <v>0</v>
      </c>
      <c r="I1064" s="13"/>
      <c r="J1064" s="13" t="s">
        <v>6041</v>
      </c>
      <c r="K1064" s="13" t="s">
        <v>6042</v>
      </c>
    </row>
    <row r="1065" spans="1:11" x14ac:dyDescent="0.3">
      <c r="A1065" s="13" t="s">
        <v>944</v>
      </c>
      <c r="B1065" s="13" t="s">
        <v>945</v>
      </c>
      <c r="C1065" s="13" t="s">
        <v>1109</v>
      </c>
      <c r="D1065" s="13" t="s">
        <v>6043</v>
      </c>
      <c r="E1065" s="13">
        <v>4</v>
      </c>
      <c r="F1065" s="13" t="s">
        <v>6044</v>
      </c>
      <c r="G1065" s="13">
        <v>158</v>
      </c>
      <c r="H1065" s="13">
        <v>0</v>
      </c>
      <c r="I1065" s="13"/>
      <c r="J1065" s="13" t="s">
        <v>6045</v>
      </c>
      <c r="K1065" s="13" t="s">
        <v>6046</v>
      </c>
    </row>
    <row r="1066" spans="1:11" x14ac:dyDescent="0.3">
      <c r="A1066" s="13" t="s">
        <v>944</v>
      </c>
      <c r="B1066" s="13" t="s">
        <v>945</v>
      </c>
      <c r="C1066" s="13" t="s">
        <v>6047</v>
      </c>
      <c r="D1066" s="13" t="s">
        <v>6048</v>
      </c>
      <c r="E1066" s="13">
        <v>4</v>
      </c>
      <c r="F1066" s="13" t="s">
        <v>6049</v>
      </c>
      <c r="G1066" s="13">
        <v>22</v>
      </c>
      <c r="H1066" s="13">
        <v>0</v>
      </c>
      <c r="I1066" s="13"/>
      <c r="J1066" s="13" t="s">
        <v>6050</v>
      </c>
      <c r="K1066" s="13" t="s">
        <v>6051</v>
      </c>
    </row>
    <row r="1067" spans="1:11" x14ac:dyDescent="0.3">
      <c r="A1067" s="13" t="s">
        <v>944</v>
      </c>
      <c r="B1067" s="13" t="s">
        <v>945</v>
      </c>
      <c r="C1067" s="13" t="s">
        <v>6047</v>
      </c>
      <c r="D1067" s="13" t="s">
        <v>6052</v>
      </c>
      <c r="E1067" s="13">
        <v>4</v>
      </c>
      <c r="F1067" s="13" t="s">
        <v>6053</v>
      </c>
      <c r="G1067" s="13">
        <v>187</v>
      </c>
      <c r="H1067" s="13">
        <v>0</v>
      </c>
      <c r="I1067" s="13"/>
      <c r="J1067" s="13" t="s">
        <v>6054</v>
      </c>
      <c r="K1067" s="13" t="s">
        <v>6055</v>
      </c>
    </row>
    <row r="1068" spans="1:11" x14ac:dyDescent="0.3">
      <c r="A1068" s="13" t="s">
        <v>944</v>
      </c>
      <c r="B1068" s="13" t="s">
        <v>945</v>
      </c>
      <c r="C1068" s="13" t="s">
        <v>6047</v>
      </c>
      <c r="D1068" s="13" t="s">
        <v>6056</v>
      </c>
      <c r="E1068" s="13">
        <v>4</v>
      </c>
      <c r="F1068" s="13" t="s">
        <v>6057</v>
      </c>
      <c r="G1068" s="13">
        <v>70</v>
      </c>
      <c r="H1068" s="13">
        <v>0</v>
      </c>
      <c r="I1068" s="13"/>
      <c r="J1068" s="13" t="s">
        <v>6058</v>
      </c>
      <c r="K1068" s="13" t="s">
        <v>6059</v>
      </c>
    </row>
    <row r="1069" spans="1:11" x14ac:dyDescent="0.3">
      <c r="A1069" s="13" t="s">
        <v>944</v>
      </c>
      <c r="B1069" s="13" t="s">
        <v>945</v>
      </c>
      <c r="C1069" s="13" t="s">
        <v>6047</v>
      </c>
      <c r="D1069" s="13" t="s">
        <v>6060</v>
      </c>
      <c r="E1069" s="13">
        <v>4</v>
      </c>
      <c r="F1069" s="13" t="s">
        <v>6061</v>
      </c>
      <c r="G1069" s="13">
        <v>60</v>
      </c>
      <c r="H1069" s="13">
        <v>0</v>
      </c>
      <c r="I1069" s="13"/>
      <c r="J1069" s="13" t="s">
        <v>6062</v>
      </c>
      <c r="K1069" s="13" t="s">
        <v>6063</v>
      </c>
    </row>
    <row r="1070" spans="1:11" x14ac:dyDescent="0.3">
      <c r="A1070" s="13" t="s">
        <v>944</v>
      </c>
      <c r="B1070" s="13" t="s">
        <v>945</v>
      </c>
      <c r="C1070" s="13" t="s">
        <v>6047</v>
      </c>
      <c r="D1070" s="13" t="s">
        <v>6064</v>
      </c>
      <c r="E1070" s="13">
        <v>4</v>
      </c>
      <c r="F1070" s="13" t="s">
        <v>6065</v>
      </c>
      <c r="G1070" s="13">
        <v>32</v>
      </c>
      <c r="H1070" s="13">
        <v>0</v>
      </c>
      <c r="I1070" s="13"/>
      <c r="J1070" s="13" t="s">
        <v>6066</v>
      </c>
      <c r="K1070" s="13" t="s">
        <v>6067</v>
      </c>
    </row>
    <row r="1071" spans="1:11" x14ac:dyDescent="0.3">
      <c r="A1071" s="13" t="s">
        <v>944</v>
      </c>
      <c r="B1071" s="13" t="s">
        <v>945</v>
      </c>
      <c r="C1071" s="13" t="s">
        <v>6047</v>
      </c>
      <c r="D1071" s="13" t="s">
        <v>6068</v>
      </c>
      <c r="E1071" s="13">
        <v>4</v>
      </c>
      <c r="F1071" s="13" t="s">
        <v>6069</v>
      </c>
      <c r="G1071" s="13">
        <v>569</v>
      </c>
      <c r="H1071" s="13">
        <v>0</v>
      </c>
      <c r="I1071" s="13"/>
      <c r="J1071" s="13" t="s">
        <v>6070</v>
      </c>
      <c r="K1071" s="13" t="s">
        <v>6071</v>
      </c>
    </row>
    <row r="1072" spans="1:11" x14ac:dyDescent="0.3">
      <c r="A1072" s="13" t="s">
        <v>944</v>
      </c>
      <c r="B1072" s="13" t="s">
        <v>945</v>
      </c>
      <c r="C1072" s="13" t="s">
        <v>6047</v>
      </c>
      <c r="D1072" s="13" t="s">
        <v>6072</v>
      </c>
      <c r="E1072" s="13">
        <v>4</v>
      </c>
      <c r="F1072" s="13" t="s">
        <v>6073</v>
      </c>
      <c r="G1072" s="13">
        <v>912</v>
      </c>
      <c r="H1072" s="13">
        <v>0</v>
      </c>
      <c r="I1072" s="13"/>
      <c r="J1072" s="13" t="s">
        <v>6074</v>
      </c>
      <c r="K1072" s="13" t="s">
        <v>6075</v>
      </c>
    </row>
    <row r="1073" spans="1:11" x14ac:dyDescent="0.3">
      <c r="A1073" s="13" t="s">
        <v>944</v>
      </c>
      <c r="B1073" s="13" t="s">
        <v>945</v>
      </c>
      <c r="C1073" s="13" t="s">
        <v>6047</v>
      </c>
      <c r="D1073" s="13" t="s">
        <v>6076</v>
      </c>
      <c r="E1073" s="13">
        <v>4</v>
      </c>
      <c r="F1073" s="13" t="s">
        <v>6077</v>
      </c>
      <c r="G1073" s="13">
        <v>65</v>
      </c>
      <c r="H1073" s="13">
        <v>0</v>
      </c>
      <c r="I1073" s="13"/>
      <c r="J1073" s="13" t="s">
        <v>6078</v>
      </c>
      <c r="K1073" s="13" t="s">
        <v>6079</v>
      </c>
    </row>
    <row r="1074" spans="1:11" x14ac:dyDescent="0.3">
      <c r="A1074" s="13" t="s">
        <v>6080</v>
      </c>
      <c r="B1074" s="13" t="s">
        <v>6081</v>
      </c>
      <c r="C1074" s="13"/>
      <c r="D1074" s="13"/>
      <c r="E1074" s="13">
        <v>2</v>
      </c>
      <c r="F1074" s="13" t="s">
        <v>6082</v>
      </c>
      <c r="G1074" s="13">
        <v>6</v>
      </c>
      <c r="H1074" s="13">
        <v>0</v>
      </c>
      <c r="I1074" s="13"/>
      <c r="J1074" s="13" t="s">
        <v>6083</v>
      </c>
      <c r="K1074" s="13" t="s">
        <v>6084</v>
      </c>
    </row>
    <row r="1075" spans="1:11" x14ac:dyDescent="0.3">
      <c r="A1075" s="13" t="s">
        <v>6080</v>
      </c>
      <c r="B1075" s="13" t="s">
        <v>6085</v>
      </c>
      <c r="C1075" s="13" t="s">
        <v>6086</v>
      </c>
      <c r="D1075" s="13"/>
      <c r="E1075" s="13">
        <v>3</v>
      </c>
      <c r="F1075" s="13" t="s">
        <v>6087</v>
      </c>
      <c r="G1075" s="13">
        <v>39</v>
      </c>
      <c r="H1075" s="13">
        <v>0</v>
      </c>
      <c r="I1075" s="13"/>
      <c r="J1075" s="13" t="s">
        <v>6088</v>
      </c>
      <c r="K1075" s="13" t="s">
        <v>6089</v>
      </c>
    </row>
    <row r="1076" spans="1:11" x14ac:dyDescent="0.3">
      <c r="A1076" s="13" t="s">
        <v>6080</v>
      </c>
      <c r="B1076" s="13" t="s">
        <v>6085</v>
      </c>
      <c r="C1076" s="13" t="s">
        <v>6090</v>
      </c>
      <c r="D1076" s="13"/>
      <c r="E1076" s="13">
        <v>3</v>
      </c>
      <c r="F1076" s="13" t="s">
        <v>6091</v>
      </c>
      <c r="G1076" s="13">
        <v>168</v>
      </c>
      <c r="H1076" s="13">
        <v>0</v>
      </c>
      <c r="I1076" s="13"/>
      <c r="J1076" s="13" t="s">
        <v>6092</v>
      </c>
      <c r="K1076" s="13" t="s">
        <v>6093</v>
      </c>
    </row>
    <row r="1077" spans="1:11" x14ac:dyDescent="0.3">
      <c r="A1077" s="13" t="s">
        <v>6080</v>
      </c>
      <c r="B1077" s="13" t="s">
        <v>6094</v>
      </c>
      <c r="C1077" s="13"/>
      <c r="D1077" s="13"/>
      <c r="E1077" s="13">
        <v>2</v>
      </c>
      <c r="F1077" s="13" t="s">
        <v>6095</v>
      </c>
      <c r="G1077" s="13">
        <v>27</v>
      </c>
      <c r="H1077" s="13">
        <v>0</v>
      </c>
      <c r="I1077" s="13"/>
      <c r="J1077" s="13" t="s">
        <v>6096</v>
      </c>
      <c r="K1077" s="13" t="s">
        <v>6097</v>
      </c>
    </row>
    <row r="1078" spans="1:11" x14ac:dyDescent="0.3">
      <c r="A1078" s="13" t="s">
        <v>1029</v>
      </c>
      <c r="B1078" s="13" t="s">
        <v>1030</v>
      </c>
      <c r="C1078" s="13" t="s">
        <v>6098</v>
      </c>
      <c r="D1078" s="13"/>
      <c r="E1078" s="13">
        <v>3</v>
      </c>
      <c r="F1078" s="13" t="s">
        <v>6099</v>
      </c>
      <c r="G1078" s="13">
        <v>12</v>
      </c>
      <c r="H1078" s="13">
        <v>9</v>
      </c>
      <c r="I1078" s="13"/>
      <c r="J1078" s="13" t="s">
        <v>6100</v>
      </c>
      <c r="K1078" s="13" t="s">
        <v>6101</v>
      </c>
    </row>
    <row r="1079" spans="1:11" x14ac:dyDescent="0.3">
      <c r="A1079" s="13" t="s">
        <v>1029</v>
      </c>
      <c r="B1079" s="13" t="s">
        <v>1030</v>
      </c>
      <c r="C1079" s="13" t="s">
        <v>6102</v>
      </c>
      <c r="D1079" s="13"/>
      <c r="E1079" s="13">
        <v>3</v>
      </c>
      <c r="F1079" s="13" t="s">
        <v>6103</v>
      </c>
      <c r="G1079" s="13">
        <v>74</v>
      </c>
      <c r="H1079" s="13">
        <v>0</v>
      </c>
      <c r="I1079" s="13"/>
      <c r="J1079" s="13" t="s">
        <v>6104</v>
      </c>
      <c r="K1079" s="13" t="s">
        <v>6105</v>
      </c>
    </row>
    <row r="1080" spans="1:11" x14ac:dyDescent="0.3">
      <c r="A1080" s="13" t="s">
        <v>1029</v>
      </c>
      <c r="B1080" s="13" t="s">
        <v>1030</v>
      </c>
      <c r="C1080" s="13" t="s">
        <v>1031</v>
      </c>
      <c r="D1080" s="13"/>
      <c r="E1080" s="13">
        <v>3</v>
      </c>
      <c r="F1080" s="13" t="s">
        <v>307</v>
      </c>
      <c r="G1080" s="13">
        <v>396</v>
      </c>
      <c r="H1080" s="13">
        <v>387</v>
      </c>
      <c r="I1080" s="3" t="s">
        <v>771</v>
      </c>
      <c r="J1080" s="13" t="s">
        <v>306</v>
      </c>
      <c r="K1080" s="13" t="s">
        <v>315</v>
      </c>
    </row>
    <row r="1081" spans="1:11" x14ac:dyDescent="0.3">
      <c r="A1081" s="13" t="s">
        <v>1029</v>
      </c>
      <c r="B1081" s="13" t="s">
        <v>1030</v>
      </c>
      <c r="C1081" s="13" t="s">
        <v>6106</v>
      </c>
      <c r="D1081" s="13" t="s">
        <v>6106</v>
      </c>
      <c r="E1081" s="13">
        <v>4</v>
      </c>
      <c r="F1081" s="13" t="s">
        <v>6107</v>
      </c>
      <c r="G1081" s="13">
        <v>168</v>
      </c>
      <c r="H1081" s="13">
        <v>0</v>
      </c>
      <c r="I1081" s="13"/>
      <c r="J1081" s="13" t="s">
        <v>6108</v>
      </c>
      <c r="K1081" s="13" t="s">
        <v>6109</v>
      </c>
    </row>
    <row r="1082" spans="1:11" x14ac:dyDescent="0.3">
      <c r="A1082" s="13" t="s">
        <v>1029</v>
      </c>
      <c r="B1082" s="13" t="s">
        <v>1030</v>
      </c>
      <c r="C1082" s="13" t="s">
        <v>6110</v>
      </c>
      <c r="D1082" s="13"/>
      <c r="E1082" s="13">
        <v>3</v>
      </c>
      <c r="F1082" s="13" t="s">
        <v>6111</v>
      </c>
      <c r="G1082" s="13">
        <v>23</v>
      </c>
      <c r="H1082" s="13">
        <v>20</v>
      </c>
      <c r="I1082" s="13"/>
      <c r="J1082" s="13" t="s">
        <v>6112</v>
      </c>
      <c r="K1082" s="13" t="s">
        <v>6113</v>
      </c>
    </row>
    <row r="1083" spans="1:11" x14ac:dyDescent="0.3">
      <c r="A1083" s="13" t="s">
        <v>1029</v>
      </c>
      <c r="B1083" s="13" t="s">
        <v>1030</v>
      </c>
      <c r="C1083" s="13" t="s">
        <v>6114</v>
      </c>
      <c r="D1083" s="13"/>
      <c r="E1083" s="13">
        <v>3</v>
      </c>
      <c r="F1083" s="13" t="s">
        <v>6115</v>
      </c>
      <c r="G1083" s="13">
        <v>23</v>
      </c>
      <c r="H1083" s="13">
        <v>23</v>
      </c>
      <c r="I1083" s="13"/>
      <c r="J1083" s="13" t="s">
        <v>6116</v>
      </c>
      <c r="K1083" s="13" t="s">
        <v>6117</v>
      </c>
    </row>
    <row r="1084" spans="1:11" x14ac:dyDescent="0.3">
      <c r="A1084" s="13" t="s">
        <v>1029</v>
      </c>
      <c r="B1084" s="13" t="s">
        <v>1030</v>
      </c>
      <c r="C1084" s="13" t="s">
        <v>6118</v>
      </c>
      <c r="D1084" s="13"/>
      <c r="E1084" s="13">
        <v>3</v>
      </c>
      <c r="F1084" s="13" t="s">
        <v>6119</v>
      </c>
      <c r="G1084" s="13">
        <v>28</v>
      </c>
      <c r="H1084" s="13">
        <v>21</v>
      </c>
      <c r="I1084" s="13"/>
      <c r="J1084" s="13" t="s">
        <v>6120</v>
      </c>
      <c r="K1084" s="13" t="s">
        <v>6121</v>
      </c>
    </row>
    <row r="1085" spans="1:11" x14ac:dyDescent="0.3">
      <c r="A1085" s="13" t="s">
        <v>1029</v>
      </c>
      <c r="B1085" s="13" t="s">
        <v>6122</v>
      </c>
      <c r="C1085" s="13" t="s">
        <v>6123</v>
      </c>
      <c r="D1085" s="13" t="s">
        <v>6124</v>
      </c>
      <c r="E1085" s="13">
        <v>4</v>
      </c>
      <c r="F1085" s="13" t="s">
        <v>6125</v>
      </c>
      <c r="G1085" s="13">
        <v>420</v>
      </c>
      <c r="H1085" s="13">
        <v>418</v>
      </c>
      <c r="I1085" s="13"/>
      <c r="J1085" s="13" t="s">
        <v>6126</v>
      </c>
      <c r="K1085" s="13" t="s">
        <v>6127</v>
      </c>
    </row>
    <row r="1086" spans="1:11" x14ac:dyDescent="0.3">
      <c r="A1086" s="13" t="s">
        <v>1029</v>
      </c>
      <c r="B1086" s="13" t="s">
        <v>6122</v>
      </c>
      <c r="C1086" s="13" t="s">
        <v>6123</v>
      </c>
      <c r="D1086" s="13" t="s">
        <v>6128</v>
      </c>
      <c r="E1086" s="13">
        <v>4</v>
      </c>
      <c r="F1086" s="13" t="s">
        <v>6129</v>
      </c>
      <c r="G1086" s="13">
        <v>113</v>
      </c>
      <c r="H1086" s="13">
        <v>113</v>
      </c>
      <c r="I1086" s="13"/>
      <c r="J1086" s="13" t="s">
        <v>6130</v>
      </c>
      <c r="K1086" s="13" t="s">
        <v>6131</v>
      </c>
    </row>
    <row r="1087" spans="1:11" x14ac:dyDescent="0.3">
      <c r="A1087" s="13" t="s">
        <v>1029</v>
      </c>
      <c r="B1087" s="13" t="s">
        <v>6122</v>
      </c>
      <c r="C1087" s="13" t="s">
        <v>6123</v>
      </c>
      <c r="D1087" s="13" t="s">
        <v>6132</v>
      </c>
      <c r="E1087" s="13">
        <v>4</v>
      </c>
      <c r="F1087" s="13" t="s">
        <v>6133</v>
      </c>
      <c r="G1087" s="13">
        <v>33</v>
      </c>
      <c r="H1087" s="13">
        <v>33</v>
      </c>
      <c r="I1087" s="13"/>
      <c r="J1087" s="13" t="s">
        <v>6134</v>
      </c>
      <c r="K1087" s="13" t="s">
        <v>6135</v>
      </c>
    </row>
    <row r="1088" spans="1:11" x14ac:dyDescent="0.3">
      <c r="A1088" s="13" t="s">
        <v>1029</v>
      </c>
      <c r="B1088" s="13" t="s">
        <v>6122</v>
      </c>
      <c r="C1088" s="13" t="s">
        <v>6123</v>
      </c>
      <c r="D1088" s="13" t="s">
        <v>6136</v>
      </c>
      <c r="E1088" s="13">
        <v>4</v>
      </c>
      <c r="F1088" s="13" t="s">
        <v>6137</v>
      </c>
      <c r="G1088" s="13">
        <v>1476</v>
      </c>
      <c r="H1088" s="13">
        <v>1460</v>
      </c>
      <c r="I1088" s="13"/>
      <c r="J1088" s="13" t="s">
        <v>6138</v>
      </c>
      <c r="K1088" s="13" t="s">
        <v>6139</v>
      </c>
    </row>
    <row r="1089" spans="1:11" x14ac:dyDescent="0.3">
      <c r="A1089" s="13" t="s">
        <v>1029</v>
      </c>
      <c r="B1089" s="13" t="s">
        <v>6122</v>
      </c>
      <c r="C1089" s="13" t="s">
        <v>6140</v>
      </c>
      <c r="D1089" s="13" t="s">
        <v>6141</v>
      </c>
      <c r="E1089" s="13">
        <v>4</v>
      </c>
      <c r="F1089" s="13" t="s">
        <v>6142</v>
      </c>
      <c r="G1089" s="13">
        <v>6</v>
      </c>
      <c r="H1089" s="13">
        <v>6</v>
      </c>
      <c r="I1089" s="13"/>
      <c r="J1089" s="13" t="s">
        <v>6143</v>
      </c>
      <c r="K1089" s="13" t="s">
        <v>6144</v>
      </c>
    </row>
    <row r="1090" spans="1:11" x14ac:dyDescent="0.3">
      <c r="A1090" s="13" t="s">
        <v>1029</v>
      </c>
      <c r="B1090" s="13" t="s">
        <v>6122</v>
      </c>
      <c r="C1090" s="13" t="s">
        <v>6140</v>
      </c>
      <c r="D1090" s="13" t="s">
        <v>6145</v>
      </c>
      <c r="E1090" s="13">
        <v>4</v>
      </c>
      <c r="F1090" s="13" t="s">
        <v>6146</v>
      </c>
      <c r="G1090" s="13">
        <v>52</v>
      </c>
      <c r="H1090" s="13">
        <v>51</v>
      </c>
      <c r="I1090" s="13"/>
      <c r="J1090" s="13" t="s">
        <v>6147</v>
      </c>
      <c r="K1090" s="13" t="s">
        <v>6148</v>
      </c>
    </row>
    <row r="1091" spans="1:11" x14ac:dyDescent="0.3">
      <c r="A1091" s="13" t="s">
        <v>1029</v>
      </c>
      <c r="B1091" s="13" t="s">
        <v>6122</v>
      </c>
      <c r="C1091" s="13" t="s">
        <v>6140</v>
      </c>
      <c r="D1091" s="13" t="s">
        <v>6149</v>
      </c>
      <c r="E1091" s="13">
        <v>4</v>
      </c>
      <c r="F1091" s="13" t="s">
        <v>6150</v>
      </c>
      <c r="G1091" s="13">
        <v>82</v>
      </c>
      <c r="H1091" s="13">
        <v>84</v>
      </c>
      <c r="I1091" s="13"/>
      <c r="J1091" s="13" t="s">
        <v>6151</v>
      </c>
      <c r="K1091" s="13" t="s">
        <v>6152</v>
      </c>
    </row>
    <row r="1092" spans="1:11" x14ac:dyDescent="0.3">
      <c r="A1092" s="13" t="s">
        <v>1029</v>
      </c>
      <c r="B1092" s="13" t="s">
        <v>6122</v>
      </c>
      <c r="C1092" s="13" t="s">
        <v>6140</v>
      </c>
      <c r="D1092" s="13" t="s">
        <v>6153</v>
      </c>
      <c r="E1092" s="13">
        <v>4</v>
      </c>
      <c r="F1092" s="13" t="s">
        <v>6154</v>
      </c>
      <c r="G1092" s="13">
        <v>12</v>
      </c>
      <c r="H1092" s="13">
        <v>12</v>
      </c>
      <c r="I1092" s="13"/>
      <c r="J1092" s="13" t="s">
        <v>6155</v>
      </c>
      <c r="K1092" s="13" t="s">
        <v>6156</v>
      </c>
    </row>
    <row r="1093" spans="1:11" x14ac:dyDescent="0.3">
      <c r="A1093" s="13" t="s">
        <v>1029</v>
      </c>
      <c r="B1093" s="13" t="s">
        <v>6122</v>
      </c>
      <c r="C1093" s="13" t="s">
        <v>6140</v>
      </c>
      <c r="D1093" s="13" t="s">
        <v>6157</v>
      </c>
      <c r="E1093" s="13">
        <v>4</v>
      </c>
      <c r="F1093" s="13" t="s">
        <v>6158</v>
      </c>
      <c r="G1093" s="13">
        <v>27</v>
      </c>
      <c r="H1093" s="13">
        <v>27</v>
      </c>
      <c r="I1093" s="13"/>
      <c r="J1093" s="13" t="s">
        <v>6159</v>
      </c>
      <c r="K1093" s="13" t="s">
        <v>6160</v>
      </c>
    </row>
    <row r="1094" spans="1:11" x14ac:dyDescent="0.3">
      <c r="A1094" s="13" t="s">
        <v>1029</v>
      </c>
      <c r="B1094" s="13" t="s">
        <v>6122</v>
      </c>
      <c r="C1094" s="13" t="s">
        <v>6140</v>
      </c>
      <c r="D1094" s="13" t="s">
        <v>6161</v>
      </c>
      <c r="E1094" s="13">
        <v>4</v>
      </c>
      <c r="F1094" s="13" t="s">
        <v>6162</v>
      </c>
      <c r="G1094" s="13">
        <v>91</v>
      </c>
      <c r="H1094" s="13">
        <v>91</v>
      </c>
      <c r="I1094" s="13"/>
      <c r="J1094" s="13" t="s">
        <v>6163</v>
      </c>
      <c r="K1094" s="13" t="s">
        <v>6164</v>
      </c>
    </row>
    <row r="1095" spans="1:11" x14ac:dyDescent="0.3">
      <c r="A1095" s="13" t="s">
        <v>1029</v>
      </c>
      <c r="B1095" s="13" t="s">
        <v>6122</v>
      </c>
      <c r="C1095" s="13" t="s">
        <v>6140</v>
      </c>
      <c r="D1095" s="13" t="s">
        <v>6165</v>
      </c>
      <c r="E1095" s="13">
        <v>4</v>
      </c>
      <c r="F1095" s="13" t="s">
        <v>6166</v>
      </c>
      <c r="G1095" s="13">
        <v>32</v>
      </c>
      <c r="H1095" s="13">
        <v>31</v>
      </c>
      <c r="I1095" s="13"/>
      <c r="J1095" s="13" t="s">
        <v>6167</v>
      </c>
      <c r="K1095" s="13" t="s">
        <v>6168</v>
      </c>
    </row>
    <row r="1096" spans="1:11" x14ac:dyDescent="0.3">
      <c r="A1096" s="13" t="s">
        <v>1029</v>
      </c>
      <c r="B1096" s="13" t="s">
        <v>6122</v>
      </c>
      <c r="C1096" s="13" t="s">
        <v>6169</v>
      </c>
      <c r="D1096" s="13" t="s">
        <v>6170</v>
      </c>
      <c r="E1096" s="13">
        <v>4</v>
      </c>
      <c r="F1096" s="13" t="s">
        <v>6171</v>
      </c>
      <c r="G1096" s="13">
        <v>4</v>
      </c>
      <c r="H1096" s="13">
        <v>4</v>
      </c>
      <c r="I1096" s="13"/>
      <c r="J1096" s="13" t="s">
        <v>6172</v>
      </c>
      <c r="K1096" s="13" t="s">
        <v>6173</v>
      </c>
    </row>
    <row r="1097" spans="1:11" x14ac:dyDescent="0.3">
      <c r="A1097" s="13" t="s">
        <v>1029</v>
      </c>
      <c r="B1097" s="13" t="s">
        <v>6122</v>
      </c>
      <c r="C1097" s="13" t="s">
        <v>6169</v>
      </c>
      <c r="D1097" s="13" t="s">
        <v>6174</v>
      </c>
      <c r="E1097" s="13">
        <v>4</v>
      </c>
      <c r="F1097" s="13" t="s">
        <v>6175</v>
      </c>
      <c r="G1097" s="13">
        <v>33</v>
      </c>
      <c r="H1097" s="13">
        <v>33</v>
      </c>
      <c r="I1097" s="13"/>
      <c r="J1097" s="13" t="s">
        <v>6176</v>
      </c>
      <c r="K1097" s="13" t="s">
        <v>6177</v>
      </c>
    </row>
    <row r="1098" spans="1:11" x14ac:dyDescent="0.3">
      <c r="A1098" s="13" t="s">
        <v>1029</v>
      </c>
      <c r="B1098" s="13" t="s">
        <v>6122</v>
      </c>
      <c r="C1098" s="13" t="s">
        <v>6178</v>
      </c>
      <c r="D1098" s="13"/>
      <c r="E1098" s="13">
        <v>3</v>
      </c>
      <c r="F1098" s="13" t="s">
        <v>6179</v>
      </c>
      <c r="G1098" s="13">
        <v>61</v>
      </c>
      <c r="H1098" s="13">
        <v>58</v>
      </c>
      <c r="I1098" s="13"/>
      <c r="J1098" s="13" t="s">
        <v>6180</v>
      </c>
      <c r="K1098" s="13" t="s">
        <v>6181</v>
      </c>
    </row>
    <row r="1099" spans="1:11" x14ac:dyDescent="0.3">
      <c r="A1099" s="13" t="s">
        <v>1029</v>
      </c>
      <c r="B1099" s="13" t="s">
        <v>6122</v>
      </c>
      <c r="C1099" s="13" t="s">
        <v>6182</v>
      </c>
      <c r="D1099" s="13" t="s">
        <v>6183</v>
      </c>
      <c r="E1099" s="13">
        <v>4</v>
      </c>
      <c r="F1099" s="13" t="s">
        <v>6184</v>
      </c>
      <c r="G1099" s="13">
        <v>3</v>
      </c>
      <c r="H1099" s="13">
        <v>3</v>
      </c>
      <c r="I1099" s="13"/>
      <c r="J1099" s="13" t="s">
        <v>6185</v>
      </c>
      <c r="K1099" s="13" t="s">
        <v>6186</v>
      </c>
    </row>
    <row r="1100" spans="1:11" x14ac:dyDescent="0.3">
      <c r="A1100" s="13" t="s">
        <v>1029</v>
      </c>
      <c r="B1100" s="13" t="s">
        <v>6122</v>
      </c>
      <c r="C1100" s="13" t="s">
        <v>6182</v>
      </c>
      <c r="D1100" s="13" t="s">
        <v>6187</v>
      </c>
      <c r="E1100" s="13">
        <v>4</v>
      </c>
      <c r="F1100" s="13" t="s">
        <v>6188</v>
      </c>
      <c r="G1100" s="13">
        <v>113</v>
      </c>
      <c r="H1100" s="13">
        <v>110</v>
      </c>
      <c r="I1100" s="13"/>
      <c r="J1100" s="13" t="s">
        <v>6189</v>
      </c>
      <c r="K1100" s="13" t="s">
        <v>6190</v>
      </c>
    </row>
    <row r="1101" spans="1:11" x14ac:dyDescent="0.3">
      <c r="A1101" s="13" t="s">
        <v>1029</v>
      </c>
      <c r="B1101" s="13" t="s">
        <v>6122</v>
      </c>
      <c r="C1101" s="13" t="s">
        <v>6182</v>
      </c>
      <c r="D1101" s="13" t="s">
        <v>6191</v>
      </c>
      <c r="E1101" s="13">
        <v>4</v>
      </c>
      <c r="F1101" s="13" t="s">
        <v>6192</v>
      </c>
      <c r="G1101" s="13">
        <v>271</v>
      </c>
      <c r="H1101" s="13">
        <v>266</v>
      </c>
      <c r="I1101" s="13"/>
      <c r="J1101" s="13" t="s">
        <v>6193</v>
      </c>
      <c r="K1101" s="13" t="s">
        <v>6194</v>
      </c>
    </row>
    <row r="1102" spans="1:11" x14ac:dyDescent="0.3">
      <c r="A1102" s="13" t="s">
        <v>1029</v>
      </c>
      <c r="B1102" s="13" t="s">
        <v>6122</v>
      </c>
      <c r="C1102" s="13" t="s">
        <v>6195</v>
      </c>
      <c r="D1102" s="13"/>
      <c r="E1102" s="13">
        <v>3</v>
      </c>
      <c r="F1102" s="13" t="s">
        <v>6196</v>
      </c>
      <c r="G1102" s="13">
        <v>4</v>
      </c>
      <c r="H1102" s="13">
        <v>4</v>
      </c>
      <c r="I1102" s="13"/>
      <c r="J1102" s="13" t="s">
        <v>6197</v>
      </c>
      <c r="K1102" s="13" t="s">
        <v>6198</v>
      </c>
    </row>
    <row r="1103" spans="1:11" x14ac:dyDescent="0.3">
      <c r="A1103" s="13" t="s">
        <v>1029</v>
      </c>
      <c r="B1103" s="13" t="s">
        <v>6122</v>
      </c>
      <c r="C1103" s="13" t="s">
        <v>6199</v>
      </c>
      <c r="D1103" s="13" t="s">
        <v>6200</v>
      </c>
      <c r="E1103" s="13">
        <v>4</v>
      </c>
      <c r="F1103" s="13" t="s">
        <v>6201</v>
      </c>
      <c r="G1103" s="13">
        <v>47</v>
      </c>
      <c r="H1103" s="13">
        <v>45</v>
      </c>
      <c r="I1103" s="13"/>
      <c r="J1103" s="13" t="s">
        <v>6202</v>
      </c>
      <c r="K1103" s="13" t="s">
        <v>6203</v>
      </c>
    </row>
    <row r="1104" spans="1:11" x14ac:dyDescent="0.3">
      <c r="A1104" s="13" t="s">
        <v>1029</v>
      </c>
      <c r="B1104" s="13" t="s">
        <v>6122</v>
      </c>
      <c r="C1104" s="13" t="s">
        <v>6204</v>
      </c>
      <c r="D1104" s="13" t="s">
        <v>6205</v>
      </c>
      <c r="E1104" s="13">
        <v>4</v>
      </c>
      <c r="F1104" s="13" t="s">
        <v>6206</v>
      </c>
      <c r="G1104" s="13">
        <v>16</v>
      </c>
      <c r="H1104" s="13">
        <v>16</v>
      </c>
      <c r="I1104" s="13"/>
      <c r="J1104" s="13" t="s">
        <v>6207</v>
      </c>
      <c r="K1104" s="13" t="s">
        <v>6208</v>
      </c>
    </row>
    <row r="1105" spans="1:11" x14ac:dyDescent="0.3">
      <c r="A1105" s="13" t="s">
        <v>1029</v>
      </c>
      <c r="B1105" s="13" t="s">
        <v>6122</v>
      </c>
      <c r="C1105" s="13" t="s">
        <v>6204</v>
      </c>
      <c r="D1105" s="13" t="s">
        <v>6209</v>
      </c>
      <c r="E1105" s="13">
        <v>4</v>
      </c>
      <c r="F1105" s="13" t="s">
        <v>6210</v>
      </c>
      <c r="G1105" s="13">
        <v>81</v>
      </c>
      <c r="H1105" s="13">
        <v>81</v>
      </c>
      <c r="I1105" s="13"/>
      <c r="J1105" s="13" t="s">
        <v>6211</v>
      </c>
      <c r="K1105" s="13" t="s">
        <v>6212</v>
      </c>
    </row>
    <row r="1106" spans="1:11" x14ac:dyDescent="0.3">
      <c r="A1106" s="13" t="s">
        <v>1029</v>
      </c>
      <c r="B1106" s="13" t="s">
        <v>6122</v>
      </c>
      <c r="C1106" s="13" t="s">
        <v>6204</v>
      </c>
      <c r="D1106" s="13" t="s">
        <v>6213</v>
      </c>
      <c r="E1106" s="13">
        <v>4</v>
      </c>
      <c r="F1106" s="13" t="s">
        <v>6214</v>
      </c>
      <c r="G1106" s="13">
        <v>1301</v>
      </c>
      <c r="H1106" s="13">
        <v>1300</v>
      </c>
      <c r="I1106" s="13"/>
      <c r="J1106" s="13" t="s">
        <v>6215</v>
      </c>
      <c r="K1106" s="13" t="s">
        <v>6216</v>
      </c>
    </row>
    <row r="1107" spans="1:11" x14ac:dyDescent="0.3">
      <c r="A1107" s="13" t="s">
        <v>1029</v>
      </c>
      <c r="B1107" s="13" t="s">
        <v>6122</v>
      </c>
      <c r="C1107" s="13" t="s">
        <v>6204</v>
      </c>
      <c r="D1107" s="13" t="s">
        <v>6217</v>
      </c>
      <c r="E1107" s="13">
        <v>4</v>
      </c>
      <c r="F1107" s="13" t="s">
        <v>6218</v>
      </c>
      <c r="G1107" s="13">
        <v>72</v>
      </c>
      <c r="H1107" s="13">
        <v>72</v>
      </c>
      <c r="I1107" s="13"/>
      <c r="J1107" s="13" t="s">
        <v>6219</v>
      </c>
      <c r="K1107" s="13" t="s">
        <v>6220</v>
      </c>
    </row>
    <row r="1108" spans="1:11" x14ac:dyDescent="0.3">
      <c r="A1108" s="13" t="s">
        <v>1029</v>
      </c>
      <c r="B1108" s="13" t="s">
        <v>6122</v>
      </c>
      <c r="C1108" s="13" t="s">
        <v>6204</v>
      </c>
      <c r="D1108" s="13" t="s">
        <v>6221</v>
      </c>
      <c r="E1108" s="13">
        <v>4</v>
      </c>
      <c r="F1108" s="13" t="s">
        <v>6222</v>
      </c>
      <c r="G1108" s="13">
        <v>53</v>
      </c>
      <c r="H1108" s="13">
        <v>52</v>
      </c>
      <c r="I1108" s="13"/>
      <c r="J1108" s="13" t="s">
        <v>6223</v>
      </c>
      <c r="K1108" s="13" t="s">
        <v>6224</v>
      </c>
    </row>
    <row r="1109" spans="1:11" x14ac:dyDescent="0.3">
      <c r="A1109" s="13" t="s">
        <v>1029</v>
      </c>
      <c r="B1109" s="13" t="s">
        <v>6122</v>
      </c>
      <c r="C1109" s="13" t="s">
        <v>6225</v>
      </c>
      <c r="D1109" s="13"/>
      <c r="E1109" s="13">
        <v>3</v>
      </c>
      <c r="F1109" s="13" t="s">
        <v>6226</v>
      </c>
      <c r="G1109" s="13">
        <v>24</v>
      </c>
      <c r="H1109" s="13">
        <v>24</v>
      </c>
      <c r="I1109" s="13"/>
      <c r="J1109" s="13" t="s">
        <v>6227</v>
      </c>
      <c r="K1109" s="13" t="s">
        <v>6228</v>
      </c>
    </row>
    <row r="1110" spans="1:11" x14ac:dyDescent="0.3">
      <c r="A1110" s="13" t="s">
        <v>1029</v>
      </c>
      <c r="B1110" s="13" t="s">
        <v>6122</v>
      </c>
      <c r="C1110" s="13" t="s">
        <v>6229</v>
      </c>
      <c r="D1110" s="13" t="s">
        <v>6230</v>
      </c>
      <c r="E1110" s="13">
        <v>4</v>
      </c>
      <c r="F1110" s="13" t="s">
        <v>6231</v>
      </c>
      <c r="G1110" s="13">
        <v>49</v>
      </c>
      <c r="H1110" s="13">
        <v>49</v>
      </c>
      <c r="I1110" s="13"/>
      <c r="J1110" s="13" t="s">
        <v>6232</v>
      </c>
      <c r="K1110" s="13" t="s">
        <v>6233</v>
      </c>
    </row>
    <row r="1111" spans="1:11" x14ac:dyDescent="0.3">
      <c r="A1111" s="13" t="s">
        <v>1029</v>
      </c>
      <c r="B1111" s="13" t="s">
        <v>6122</v>
      </c>
      <c r="C1111" s="13" t="s">
        <v>6229</v>
      </c>
      <c r="D1111" s="13" t="s">
        <v>6234</v>
      </c>
      <c r="E1111" s="13">
        <v>4</v>
      </c>
      <c r="F1111" s="13" t="s">
        <v>6235</v>
      </c>
      <c r="G1111" s="13">
        <v>45</v>
      </c>
      <c r="H1111" s="13">
        <v>44</v>
      </c>
      <c r="I1111" s="13"/>
      <c r="J1111" s="13" t="s">
        <v>6236</v>
      </c>
      <c r="K1111" s="13" t="s">
        <v>6237</v>
      </c>
    </row>
    <row r="1112" spans="1:11" x14ac:dyDescent="0.3">
      <c r="A1112" s="13" t="s">
        <v>1029</v>
      </c>
      <c r="B1112" s="13" t="s">
        <v>6122</v>
      </c>
      <c r="C1112" s="13" t="s">
        <v>6229</v>
      </c>
      <c r="D1112" s="13" t="s">
        <v>6238</v>
      </c>
      <c r="E1112" s="13">
        <v>4</v>
      </c>
      <c r="F1112" s="13" t="s">
        <v>6239</v>
      </c>
      <c r="G1112" s="13">
        <v>10</v>
      </c>
      <c r="H1112" s="13">
        <v>10</v>
      </c>
      <c r="I1112" s="13"/>
      <c r="J1112" s="13" t="s">
        <v>6240</v>
      </c>
      <c r="K1112" s="13" t="s">
        <v>6241</v>
      </c>
    </row>
    <row r="1113" spans="1:11" x14ac:dyDescent="0.3">
      <c r="A1113" s="13" t="s">
        <v>1029</v>
      </c>
      <c r="B1113" s="13" t="s">
        <v>6122</v>
      </c>
      <c r="C1113" s="13" t="s">
        <v>6229</v>
      </c>
      <c r="D1113" s="13" t="s">
        <v>6242</v>
      </c>
      <c r="E1113" s="13">
        <v>4</v>
      </c>
      <c r="F1113" s="13" t="s">
        <v>6243</v>
      </c>
      <c r="G1113" s="13">
        <v>30</v>
      </c>
      <c r="H1113" s="13">
        <v>30</v>
      </c>
      <c r="I1113" s="13"/>
      <c r="J1113" s="13" t="s">
        <v>6244</v>
      </c>
      <c r="K1113" s="13" t="s">
        <v>6245</v>
      </c>
    </row>
    <row r="1114" spans="1:11" x14ac:dyDescent="0.3">
      <c r="A1114" s="13" t="s">
        <v>1029</v>
      </c>
      <c r="B1114" s="13" t="s">
        <v>6122</v>
      </c>
      <c r="C1114" s="13" t="s">
        <v>6229</v>
      </c>
      <c r="D1114" s="13" t="s">
        <v>6246</v>
      </c>
      <c r="E1114" s="13">
        <v>4</v>
      </c>
      <c r="F1114" s="13" t="s">
        <v>6247</v>
      </c>
      <c r="G1114" s="13">
        <v>10</v>
      </c>
      <c r="H1114" s="13">
        <v>10</v>
      </c>
      <c r="I1114" s="13"/>
      <c r="J1114" s="13" t="s">
        <v>6248</v>
      </c>
      <c r="K1114" s="13" t="s">
        <v>6249</v>
      </c>
    </row>
    <row r="1115" spans="1:11" x14ac:dyDescent="0.3">
      <c r="A1115" s="13" t="s">
        <v>1029</v>
      </c>
      <c r="B1115" s="13" t="s">
        <v>6122</v>
      </c>
      <c r="C1115" s="13" t="s">
        <v>6250</v>
      </c>
      <c r="D1115" s="13" t="s">
        <v>6251</v>
      </c>
      <c r="E1115" s="13">
        <v>4</v>
      </c>
      <c r="F1115" s="13" t="s">
        <v>6252</v>
      </c>
      <c r="G1115" s="13">
        <v>9</v>
      </c>
      <c r="H1115" s="13">
        <v>9</v>
      </c>
      <c r="I1115" s="13"/>
      <c r="J1115" s="13" t="s">
        <v>6253</v>
      </c>
      <c r="K1115" s="13" t="s">
        <v>6254</v>
      </c>
    </row>
    <row r="1116" spans="1:11" x14ac:dyDescent="0.3">
      <c r="A1116" s="13" t="s">
        <v>1029</v>
      </c>
      <c r="B1116" s="13" t="s">
        <v>6122</v>
      </c>
      <c r="C1116" s="13" t="s">
        <v>6250</v>
      </c>
      <c r="D1116" s="13" t="s">
        <v>6255</v>
      </c>
      <c r="E1116" s="13">
        <v>4</v>
      </c>
      <c r="F1116" s="13" t="s">
        <v>6256</v>
      </c>
      <c r="G1116" s="13">
        <v>92</v>
      </c>
      <c r="H1116" s="13">
        <v>92</v>
      </c>
      <c r="I1116" s="13"/>
      <c r="J1116" s="13" t="s">
        <v>6257</v>
      </c>
      <c r="K1116" s="13" t="s">
        <v>6258</v>
      </c>
    </row>
    <row r="1117" spans="1:11" x14ac:dyDescent="0.3">
      <c r="A1117" s="13" t="s">
        <v>6259</v>
      </c>
      <c r="B1117" s="13" t="s">
        <v>6260</v>
      </c>
      <c r="C1117" s="13" t="s">
        <v>6261</v>
      </c>
      <c r="D1117" s="13"/>
      <c r="E1117" s="13">
        <v>3</v>
      </c>
      <c r="F1117" s="13" t="s">
        <v>6262</v>
      </c>
      <c r="G1117" s="13">
        <v>58</v>
      </c>
      <c r="H1117" s="13">
        <v>0</v>
      </c>
      <c r="I1117" s="13"/>
      <c r="J1117" s="13" t="s">
        <v>6263</v>
      </c>
      <c r="K1117" s="13" t="s">
        <v>6264</v>
      </c>
    </row>
    <row r="1118" spans="1:11" x14ac:dyDescent="0.3">
      <c r="A1118" s="13" t="s">
        <v>6259</v>
      </c>
      <c r="B1118" s="13" t="s">
        <v>6260</v>
      </c>
      <c r="C1118" s="13" t="s">
        <v>6265</v>
      </c>
      <c r="D1118" s="13"/>
      <c r="E1118" s="13">
        <v>3</v>
      </c>
      <c r="F1118" s="13" t="s">
        <v>6266</v>
      </c>
      <c r="G1118" s="13">
        <v>59</v>
      </c>
      <c r="H1118" s="13">
        <v>0</v>
      </c>
      <c r="I1118" s="13"/>
      <c r="J1118" s="13" t="s">
        <v>6267</v>
      </c>
      <c r="K1118" s="13" t="s">
        <v>6268</v>
      </c>
    </row>
    <row r="1119" spans="1:11" x14ac:dyDescent="0.3">
      <c r="A1119" s="13" t="s">
        <v>6259</v>
      </c>
      <c r="B1119" s="13" t="s">
        <v>6260</v>
      </c>
      <c r="C1119" s="13" t="s">
        <v>6269</v>
      </c>
      <c r="D1119" s="13"/>
      <c r="E1119" s="13">
        <v>3</v>
      </c>
      <c r="F1119" s="13" t="s">
        <v>6270</v>
      </c>
      <c r="G1119" s="13">
        <v>23</v>
      </c>
      <c r="H1119" s="13">
        <v>0</v>
      </c>
      <c r="I1119" s="13"/>
      <c r="J1119" s="13" t="s">
        <v>6271</v>
      </c>
      <c r="K1119" s="13" t="s">
        <v>6272</v>
      </c>
    </row>
    <row r="1120" spans="1:11" x14ac:dyDescent="0.3">
      <c r="A1120" s="13" t="s">
        <v>6259</v>
      </c>
      <c r="B1120" s="13" t="s">
        <v>6273</v>
      </c>
      <c r="C1120" s="13" t="s">
        <v>6274</v>
      </c>
      <c r="D1120" s="13"/>
      <c r="E1120" s="13">
        <v>3</v>
      </c>
      <c r="F1120" s="13" t="s">
        <v>6275</v>
      </c>
      <c r="G1120" s="13">
        <v>81</v>
      </c>
      <c r="H1120" s="13">
        <v>0</v>
      </c>
      <c r="I1120" s="13"/>
      <c r="J1120" s="13" t="s">
        <v>6276</v>
      </c>
      <c r="K1120" s="13" t="s">
        <v>6277</v>
      </c>
    </row>
    <row r="1121" spans="1:11" x14ac:dyDescent="0.3">
      <c r="A1121" s="13" t="s">
        <v>6259</v>
      </c>
      <c r="B1121" s="13" t="s">
        <v>6273</v>
      </c>
      <c r="C1121" s="13" t="s">
        <v>6278</v>
      </c>
      <c r="D1121" s="13"/>
      <c r="E1121" s="13">
        <v>3</v>
      </c>
      <c r="F1121" s="13" t="s">
        <v>6279</v>
      </c>
      <c r="G1121" s="13">
        <v>29</v>
      </c>
      <c r="H1121" s="13">
        <v>0</v>
      </c>
      <c r="I1121" s="13"/>
      <c r="J1121" s="13" t="s">
        <v>6280</v>
      </c>
      <c r="K1121" s="13" t="s">
        <v>6281</v>
      </c>
    </row>
    <row r="1122" spans="1:11" x14ac:dyDescent="0.3">
      <c r="A1122" s="13" t="s">
        <v>6259</v>
      </c>
      <c r="B1122" s="13" t="s">
        <v>6273</v>
      </c>
      <c r="C1122" s="13" t="s">
        <v>6282</v>
      </c>
      <c r="D1122" s="13"/>
      <c r="E1122" s="13">
        <v>3</v>
      </c>
      <c r="F1122" s="13" t="s">
        <v>6283</v>
      </c>
      <c r="G1122" s="13">
        <v>8</v>
      </c>
      <c r="H1122" s="13">
        <v>0</v>
      </c>
      <c r="I1122" s="13"/>
      <c r="J1122" s="13" t="s">
        <v>6284</v>
      </c>
      <c r="K1122" s="13" t="s">
        <v>6285</v>
      </c>
    </row>
    <row r="1123" spans="1:11" x14ac:dyDescent="0.3">
      <c r="A1123" s="13" t="s">
        <v>6259</v>
      </c>
      <c r="B1123" s="13" t="s">
        <v>6273</v>
      </c>
      <c r="C1123" s="13" t="s">
        <v>6286</v>
      </c>
      <c r="D1123" s="13"/>
      <c r="E1123" s="13">
        <v>3</v>
      </c>
      <c r="F1123" s="13" t="s">
        <v>6287</v>
      </c>
      <c r="G1123" s="13">
        <v>29</v>
      </c>
      <c r="H1123" s="13">
        <v>0</v>
      </c>
      <c r="I1123" s="13"/>
      <c r="J1123" s="13" t="s">
        <v>6288</v>
      </c>
      <c r="K1123" s="13" t="s">
        <v>6289</v>
      </c>
    </row>
    <row r="1124" spans="1:11" x14ac:dyDescent="0.3">
      <c r="A1124" s="13" t="s">
        <v>6259</v>
      </c>
      <c r="B1124" s="13" t="s">
        <v>6273</v>
      </c>
      <c r="C1124" s="13" t="s">
        <v>6290</v>
      </c>
      <c r="D1124" s="13"/>
      <c r="E1124" s="13">
        <v>3</v>
      </c>
      <c r="F1124" s="13" t="s">
        <v>6291</v>
      </c>
      <c r="G1124" s="13">
        <v>7</v>
      </c>
      <c r="H1124" s="13">
        <v>0</v>
      </c>
      <c r="I1124" s="13"/>
      <c r="J1124" s="13" t="s">
        <v>6292</v>
      </c>
      <c r="K1124" s="13" t="s">
        <v>6293</v>
      </c>
    </row>
    <row r="1125" spans="1:11" x14ac:dyDescent="0.3">
      <c r="A1125" s="13" t="s">
        <v>6259</v>
      </c>
      <c r="B1125" s="13" t="s">
        <v>6273</v>
      </c>
      <c r="C1125" s="13" t="s">
        <v>6294</v>
      </c>
      <c r="D1125" s="13"/>
      <c r="E1125" s="13">
        <v>3</v>
      </c>
      <c r="F1125" s="13" t="s">
        <v>6295</v>
      </c>
      <c r="G1125" s="13">
        <v>34</v>
      </c>
      <c r="H1125" s="13">
        <v>0</v>
      </c>
      <c r="I1125" s="13"/>
      <c r="J1125" s="13" t="s">
        <v>6296</v>
      </c>
      <c r="K1125" s="13" t="s">
        <v>6297</v>
      </c>
    </row>
    <row r="1126" spans="1:11" x14ac:dyDescent="0.3">
      <c r="A1126" s="13" t="s">
        <v>6259</v>
      </c>
      <c r="B1126" s="13" t="s">
        <v>6273</v>
      </c>
      <c r="C1126" s="13" t="s">
        <v>6298</v>
      </c>
      <c r="D1126" s="13"/>
      <c r="E1126" s="13">
        <v>3</v>
      </c>
      <c r="F1126" s="13" t="s">
        <v>6299</v>
      </c>
      <c r="G1126" s="13">
        <v>32</v>
      </c>
      <c r="H1126" s="13">
        <v>0</v>
      </c>
      <c r="I1126" s="13"/>
      <c r="J1126" s="13" t="s">
        <v>6300</v>
      </c>
      <c r="K1126" s="13" t="s">
        <v>6301</v>
      </c>
    </row>
    <row r="1127" spans="1:11" x14ac:dyDescent="0.3">
      <c r="A1127" s="13" t="s">
        <v>6259</v>
      </c>
      <c r="B1127" s="13" t="s">
        <v>6302</v>
      </c>
      <c r="C1127" s="13"/>
      <c r="D1127" s="13"/>
      <c r="E1127" s="13">
        <v>2</v>
      </c>
      <c r="F1127" s="13" t="s">
        <v>6303</v>
      </c>
      <c r="G1127" s="13">
        <v>7</v>
      </c>
      <c r="H1127" s="13">
        <v>0</v>
      </c>
      <c r="I1127" s="13"/>
      <c r="J1127" s="13" t="s">
        <v>6304</v>
      </c>
      <c r="K1127" s="13" t="s">
        <v>6305</v>
      </c>
    </row>
    <row r="1128" spans="1:11" x14ac:dyDescent="0.3">
      <c r="A1128" s="13" t="s">
        <v>6259</v>
      </c>
      <c r="B1128" s="13" t="s">
        <v>6306</v>
      </c>
      <c r="C1128" s="13" t="s">
        <v>6307</v>
      </c>
      <c r="D1128" s="13"/>
      <c r="E1128" s="13">
        <v>3</v>
      </c>
      <c r="F1128" s="13" t="s">
        <v>6308</v>
      </c>
      <c r="G1128" s="13">
        <v>21</v>
      </c>
      <c r="H1128" s="13">
        <v>0</v>
      </c>
      <c r="I1128" s="13"/>
      <c r="J1128" s="13" t="s">
        <v>6309</v>
      </c>
      <c r="K1128" s="13" t="s">
        <v>6310</v>
      </c>
    </row>
    <row r="1129" spans="1:11" x14ac:dyDescent="0.3">
      <c r="A1129" s="13" t="s">
        <v>6259</v>
      </c>
      <c r="B1129" s="13" t="s">
        <v>6306</v>
      </c>
      <c r="C1129" s="13" t="s">
        <v>6311</v>
      </c>
      <c r="D1129" s="13"/>
      <c r="E1129" s="13">
        <v>3</v>
      </c>
      <c r="F1129" s="13" t="s">
        <v>6312</v>
      </c>
      <c r="G1129" s="13">
        <v>37</v>
      </c>
      <c r="H1129" s="13">
        <v>0</v>
      </c>
      <c r="I1129" s="13"/>
      <c r="J1129" s="13" t="s">
        <v>6313</v>
      </c>
      <c r="K1129" s="13" t="s">
        <v>6314</v>
      </c>
    </row>
    <row r="1130" spans="1:11" x14ac:dyDescent="0.3">
      <c r="A1130" s="13" t="s">
        <v>6259</v>
      </c>
      <c r="B1130" s="13" t="s">
        <v>6306</v>
      </c>
      <c r="C1130" s="13" t="s">
        <v>6315</v>
      </c>
      <c r="D1130" s="13"/>
      <c r="E1130" s="13">
        <v>3</v>
      </c>
      <c r="F1130" s="13" t="s">
        <v>6316</v>
      </c>
      <c r="G1130" s="13">
        <v>274</v>
      </c>
      <c r="H1130" s="13">
        <v>0</v>
      </c>
      <c r="I1130" s="13"/>
      <c r="J1130" s="13" t="s">
        <v>6317</v>
      </c>
      <c r="K1130" s="13" t="s">
        <v>6318</v>
      </c>
    </row>
    <row r="1131" spans="1:11" x14ac:dyDescent="0.3">
      <c r="A1131" s="13" t="s">
        <v>6259</v>
      </c>
      <c r="B1131" s="13" t="s">
        <v>6306</v>
      </c>
      <c r="C1131" s="13" t="s">
        <v>6319</v>
      </c>
      <c r="D1131" s="13"/>
      <c r="E1131" s="13">
        <v>3</v>
      </c>
      <c r="F1131" s="13" t="s">
        <v>6320</v>
      </c>
      <c r="G1131" s="13">
        <v>14</v>
      </c>
      <c r="H1131" s="13">
        <v>0</v>
      </c>
      <c r="I1131" s="13"/>
      <c r="J1131" s="13" t="s">
        <v>6321</v>
      </c>
      <c r="K1131" s="13" t="s">
        <v>6322</v>
      </c>
    </row>
    <row r="1132" spans="1:11" x14ac:dyDescent="0.3">
      <c r="A1132" s="13" t="s">
        <v>6259</v>
      </c>
      <c r="B1132" s="13" t="s">
        <v>6306</v>
      </c>
      <c r="C1132" s="13" t="s">
        <v>6323</v>
      </c>
      <c r="D1132" s="13"/>
      <c r="E1132" s="13">
        <v>3</v>
      </c>
      <c r="F1132" s="13" t="s">
        <v>6324</v>
      </c>
      <c r="G1132" s="13">
        <v>159</v>
      </c>
      <c r="H1132" s="13">
        <v>0</v>
      </c>
      <c r="I1132" s="13"/>
      <c r="J1132" s="13" t="s">
        <v>6325</v>
      </c>
      <c r="K1132" s="13" t="s">
        <v>6326</v>
      </c>
    </row>
    <row r="1133" spans="1:11" x14ac:dyDescent="0.3">
      <c r="A1133" s="13" t="s">
        <v>6259</v>
      </c>
      <c r="B1133" s="13" t="s">
        <v>6327</v>
      </c>
      <c r="C1133" s="13"/>
      <c r="D1133" s="13"/>
      <c r="E1133" s="13">
        <v>2</v>
      </c>
      <c r="F1133" s="13" t="s">
        <v>6328</v>
      </c>
      <c r="G1133" s="13">
        <v>26</v>
      </c>
      <c r="H1133" s="13">
        <v>0</v>
      </c>
      <c r="I1133" s="13"/>
      <c r="J1133" s="13" t="s">
        <v>6329</v>
      </c>
      <c r="K1133" s="13" t="s">
        <v>6330</v>
      </c>
    </row>
    <row r="1134" spans="1:11" x14ac:dyDescent="0.3">
      <c r="A1134" s="13" t="s">
        <v>6331</v>
      </c>
      <c r="B1134" s="13" t="s">
        <v>6332</v>
      </c>
      <c r="C1134" s="13"/>
      <c r="D1134" s="13"/>
      <c r="E1134" s="13">
        <v>2</v>
      </c>
      <c r="F1134" s="13" t="s">
        <v>6333</v>
      </c>
      <c r="G1134" s="13">
        <v>216</v>
      </c>
      <c r="H1134" s="13">
        <v>0</v>
      </c>
      <c r="I1134" s="13"/>
      <c r="J1134" s="13" t="s">
        <v>6334</v>
      </c>
      <c r="K1134" s="13" t="s">
        <v>6335</v>
      </c>
    </row>
    <row r="1135" spans="1:11" x14ac:dyDescent="0.3">
      <c r="A1135" s="13" t="s">
        <v>6331</v>
      </c>
      <c r="B1135" s="13" t="s">
        <v>6336</v>
      </c>
      <c r="C1135" s="13"/>
      <c r="D1135" s="13"/>
      <c r="E1135" s="13">
        <v>2</v>
      </c>
      <c r="F1135" s="13" t="s">
        <v>6337</v>
      </c>
      <c r="G1135" s="13">
        <v>106</v>
      </c>
      <c r="H1135" s="13">
        <v>0</v>
      </c>
      <c r="I1135" s="13"/>
      <c r="J1135" s="13" t="s">
        <v>6338</v>
      </c>
      <c r="K1135" s="13" t="s">
        <v>6339</v>
      </c>
    </row>
    <row r="1136" spans="1:11" x14ac:dyDescent="0.3">
      <c r="A1136" s="13" t="s">
        <v>6331</v>
      </c>
      <c r="B1136" s="13" t="s">
        <v>6340</v>
      </c>
      <c r="C1136" s="13"/>
      <c r="D1136" s="13"/>
      <c r="E1136" s="13">
        <v>2</v>
      </c>
      <c r="F1136" s="13" t="s">
        <v>6341</v>
      </c>
      <c r="G1136" s="13">
        <v>61</v>
      </c>
      <c r="H1136" s="13">
        <v>0</v>
      </c>
      <c r="I1136" s="13"/>
      <c r="J1136" s="13" t="s">
        <v>6342</v>
      </c>
      <c r="K1136" s="13" t="s">
        <v>6343</v>
      </c>
    </row>
    <row r="1137" spans="1:11" x14ac:dyDescent="0.3">
      <c r="A1137" s="13" t="s">
        <v>6331</v>
      </c>
      <c r="B1137" s="13" t="s">
        <v>6344</v>
      </c>
      <c r="C1137" s="13"/>
      <c r="D1137" s="13"/>
      <c r="E1137" s="13">
        <v>2</v>
      </c>
      <c r="F1137" s="13" t="s">
        <v>6345</v>
      </c>
      <c r="G1137" s="13">
        <v>31</v>
      </c>
      <c r="H1137" s="13">
        <v>0</v>
      </c>
      <c r="I1137" s="13"/>
      <c r="J1137" s="13" t="s">
        <v>6346</v>
      </c>
      <c r="K1137" s="13" t="s">
        <v>6347</v>
      </c>
    </row>
    <row r="1138" spans="1:11" x14ac:dyDescent="0.3">
      <c r="A1138" s="13" t="s">
        <v>6331</v>
      </c>
      <c r="B1138" s="13" t="s">
        <v>6348</v>
      </c>
      <c r="C1138" s="13"/>
      <c r="D1138" s="13"/>
      <c r="E1138" s="13">
        <v>2</v>
      </c>
      <c r="F1138" s="13" t="s">
        <v>6349</v>
      </c>
      <c r="G1138" s="13">
        <v>4</v>
      </c>
      <c r="H1138" s="13">
        <v>0</v>
      </c>
      <c r="I1138" s="13"/>
      <c r="J1138" s="13" t="s">
        <v>6350</v>
      </c>
      <c r="K1138" s="13" t="s">
        <v>6351</v>
      </c>
    </row>
    <row r="1139" spans="1:11" x14ac:dyDescent="0.3">
      <c r="A1139" s="13" t="s">
        <v>6331</v>
      </c>
      <c r="B1139" s="13" t="s">
        <v>6352</v>
      </c>
      <c r="C1139" s="13"/>
      <c r="D1139" s="13"/>
      <c r="E1139" s="13">
        <v>2</v>
      </c>
      <c r="F1139" s="13" t="s">
        <v>6353</v>
      </c>
      <c r="G1139" s="13">
        <v>4</v>
      </c>
      <c r="H1139" s="13">
        <v>0</v>
      </c>
      <c r="I1139" s="13"/>
      <c r="J1139" s="13" t="s">
        <v>6354</v>
      </c>
      <c r="K1139" s="13" t="s">
        <v>6355</v>
      </c>
    </row>
    <row r="1140" spans="1:11" x14ac:dyDescent="0.3">
      <c r="A1140" s="13" t="s">
        <v>6331</v>
      </c>
      <c r="B1140" s="13" t="s">
        <v>6356</v>
      </c>
      <c r="C1140" s="13"/>
      <c r="D1140" s="13"/>
      <c r="E1140" s="13">
        <v>2</v>
      </c>
      <c r="F1140" s="13" t="s">
        <v>6357</v>
      </c>
      <c r="G1140" s="13">
        <v>10</v>
      </c>
      <c r="H1140" s="13">
        <v>0</v>
      </c>
      <c r="I1140" s="13"/>
      <c r="J1140" s="13" t="s">
        <v>6358</v>
      </c>
      <c r="K1140" s="13" t="s">
        <v>6359</v>
      </c>
    </row>
    <row r="1141" spans="1:11" x14ac:dyDescent="0.3">
      <c r="A1141" s="13" t="s">
        <v>6331</v>
      </c>
      <c r="B1141" s="13" t="s">
        <v>6360</v>
      </c>
      <c r="C1141" s="13"/>
      <c r="D1141" s="13"/>
      <c r="E1141" s="13">
        <v>2</v>
      </c>
      <c r="F1141" s="13" t="s">
        <v>6361</v>
      </c>
      <c r="G1141" s="13">
        <v>10</v>
      </c>
      <c r="H1141" s="13">
        <v>0</v>
      </c>
      <c r="I1141" s="13"/>
      <c r="J1141" s="13" t="s">
        <v>6362</v>
      </c>
      <c r="K1141" s="13" t="s">
        <v>6363</v>
      </c>
    </row>
    <row r="1142" spans="1:11" x14ac:dyDescent="0.3">
      <c r="A1142" s="13" t="s">
        <v>6331</v>
      </c>
      <c r="B1142" s="13" t="s">
        <v>6364</v>
      </c>
      <c r="C1142" s="13"/>
      <c r="D1142" s="13"/>
      <c r="E1142" s="13">
        <v>2</v>
      </c>
      <c r="F1142" s="13" t="s">
        <v>6365</v>
      </c>
      <c r="G1142" s="13">
        <v>50</v>
      </c>
      <c r="H1142" s="13">
        <v>0</v>
      </c>
      <c r="I1142" s="13"/>
      <c r="J1142" s="13" t="s">
        <v>6366</v>
      </c>
      <c r="K1142" s="13" t="s">
        <v>6367</v>
      </c>
    </row>
    <row r="1143" spans="1:11" x14ac:dyDescent="0.3">
      <c r="A1143" s="13" t="s">
        <v>6331</v>
      </c>
      <c r="B1143" s="13" t="s">
        <v>6368</v>
      </c>
      <c r="C1143" s="13"/>
      <c r="D1143" s="13"/>
      <c r="E1143" s="13">
        <v>2</v>
      </c>
      <c r="F1143" s="13" t="s">
        <v>6369</v>
      </c>
      <c r="G1143" s="13">
        <v>9</v>
      </c>
      <c r="H1143" s="13">
        <v>0</v>
      </c>
      <c r="I1143" s="13"/>
      <c r="J1143" s="13" t="s">
        <v>6370</v>
      </c>
      <c r="K1143" s="13" t="s">
        <v>6371</v>
      </c>
    </row>
    <row r="1144" spans="1:11" x14ac:dyDescent="0.3">
      <c r="A1144" s="13" t="s">
        <v>6372</v>
      </c>
      <c r="B1144" s="13" t="s">
        <v>6373</v>
      </c>
      <c r="C1144" s="13" t="s">
        <v>6374</v>
      </c>
      <c r="D1144" s="13"/>
      <c r="E1144" s="13">
        <v>3</v>
      </c>
      <c r="F1144" s="13" t="s">
        <v>6375</v>
      </c>
      <c r="G1144" s="13">
        <v>5</v>
      </c>
      <c r="H1144" s="13">
        <v>0</v>
      </c>
      <c r="I1144" s="13"/>
      <c r="J1144" s="13" t="s">
        <v>6376</v>
      </c>
      <c r="K1144" s="13" t="s">
        <v>6377</v>
      </c>
    </row>
    <row r="1145" spans="1:11" x14ac:dyDescent="0.3">
      <c r="A1145" s="13" t="s">
        <v>6372</v>
      </c>
      <c r="B1145" s="13" t="s">
        <v>6373</v>
      </c>
      <c r="C1145" s="13" t="s">
        <v>6378</v>
      </c>
      <c r="D1145" s="13"/>
      <c r="E1145" s="13">
        <v>3</v>
      </c>
      <c r="F1145" s="13" t="s">
        <v>6379</v>
      </c>
      <c r="G1145" s="13">
        <v>9</v>
      </c>
      <c r="H1145" s="13">
        <v>0</v>
      </c>
      <c r="I1145" s="13"/>
      <c r="J1145" s="13" t="s">
        <v>6380</v>
      </c>
      <c r="K1145" s="13" t="s">
        <v>6381</v>
      </c>
    </row>
    <row r="1146" spans="1:11" x14ac:dyDescent="0.3">
      <c r="A1146" s="13" t="s">
        <v>6372</v>
      </c>
      <c r="B1146" s="13" t="s">
        <v>6373</v>
      </c>
      <c r="C1146" s="13" t="s">
        <v>6382</v>
      </c>
      <c r="D1146" s="13"/>
      <c r="E1146" s="13">
        <v>3</v>
      </c>
      <c r="F1146" s="13" t="s">
        <v>6383</v>
      </c>
      <c r="G1146" s="13">
        <v>11</v>
      </c>
      <c r="H1146" s="13">
        <v>0</v>
      </c>
      <c r="I1146" s="13"/>
      <c r="J1146" s="13" t="s">
        <v>6384</v>
      </c>
      <c r="K1146" s="13" t="s">
        <v>6385</v>
      </c>
    </row>
    <row r="1147" spans="1:11" x14ac:dyDescent="0.3">
      <c r="A1147" s="13" t="s">
        <v>6372</v>
      </c>
      <c r="B1147" s="13" t="s">
        <v>6373</v>
      </c>
      <c r="C1147" s="13" t="s">
        <v>6386</v>
      </c>
      <c r="D1147" s="13"/>
      <c r="E1147" s="13">
        <v>3</v>
      </c>
      <c r="F1147" s="13" t="s">
        <v>6387</v>
      </c>
      <c r="G1147" s="13">
        <v>79</v>
      </c>
      <c r="H1147" s="13">
        <v>0</v>
      </c>
      <c r="I1147" s="13"/>
      <c r="J1147" s="13" t="s">
        <v>6388</v>
      </c>
      <c r="K1147" s="13" t="s">
        <v>6389</v>
      </c>
    </row>
    <row r="1148" spans="1:11" x14ac:dyDescent="0.3">
      <c r="A1148" s="13" t="s">
        <v>6372</v>
      </c>
      <c r="B1148" s="13" t="s">
        <v>6390</v>
      </c>
      <c r="C1148" s="13" t="s">
        <v>6390</v>
      </c>
      <c r="D1148" s="13"/>
      <c r="E1148" s="13">
        <v>3</v>
      </c>
      <c r="F1148" s="13" t="s">
        <v>6391</v>
      </c>
      <c r="G1148" s="13">
        <v>39</v>
      </c>
      <c r="H1148" s="13">
        <v>0</v>
      </c>
      <c r="I1148" s="13"/>
      <c r="J1148" s="13" t="s">
        <v>6392</v>
      </c>
      <c r="K1148" s="13" t="s">
        <v>6393</v>
      </c>
    </row>
    <row r="1149" spans="1:11" x14ac:dyDescent="0.3">
      <c r="A1149" s="13" t="s">
        <v>6372</v>
      </c>
      <c r="B1149" s="13" t="s">
        <v>6394</v>
      </c>
      <c r="C1149" s="13" t="s">
        <v>6395</v>
      </c>
      <c r="D1149" s="13"/>
      <c r="E1149" s="13">
        <v>3</v>
      </c>
      <c r="F1149" s="13" t="s">
        <v>6396</v>
      </c>
      <c r="G1149" s="13">
        <v>5</v>
      </c>
      <c r="H1149" s="13">
        <v>0</v>
      </c>
      <c r="I1149" s="13"/>
      <c r="J1149" s="13" t="s">
        <v>6397</v>
      </c>
      <c r="K1149" s="13" t="s">
        <v>6398</v>
      </c>
    </row>
    <row r="1150" spans="1:11" x14ac:dyDescent="0.3">
      <c r="A1150" s="13" t="s">
        <v>6372</v>
      </c>
      <c r="B1150" s="13" t="s">
        <v>6394</v>
      </c>
      <c r="C1150" s="13" t="s">
        <v>6399</v>
      </c>
      <c r="D1150" s="13"/>
      <c r="E1150" s="13">
        <v>3</v>
      </c>
      <c r="F1150" s="13" t="s">
        <v>6400</v>
      </c>
      <c r="G1150" s="13">
        <v>14</v>
      </c>
      <c r="H1150" s="13">
        <v>0</v>
      </c>
      <c r="I1150" s="13"/>
      <c r="J1150" s="13" t="s">
        <v>6401</v>
      </c>
      <c r="K1150" s="13" t="s">
        <v>6402</v>
      </c>
    </row>
    <row r="1151" spans="1:11" x14ac:dyDescent="0.3">
      <c r="A1151" s="13" t="s">
        <v>6372</v>
      </c>
      <c r="B1151" s="13" t="s">
        <v>6394</v>
      </c>
      <c r="C1151" s="13" t="s">
        <v>6403</v>
      </c>
      <c r="D1151" s="13"/>
      <c r="E1151" s="13">
        <v>3</v>
      </c>
      <c r="F1151" s="13" t="s">
        <v>6404</v>
      </c>
      <c r="G1151" s="13">
        <v>233</v>
      </c>
      <c r="H1151" s="13">
        <v>0</v>
      </c>
      <c r="I1151" s="13"/>
      <c r="J1151" s="13" t="s">
        <v>6405</v>
      </c>
      <c r="K1151" s="13" t="s">
        <v>6406</v>
      </c>
    </row>
    <row r="1152" spans="1:11" x14ac:dyDescent="0.3">
      <c r="A1152" s="13" t="s">
        <v>6372</v>
      </c>
      <c r="B1152" s="13" t="s">
        <v>6394</v>
      </c>
      <c r="C1152" s="13" t="s">
        <v>6407</v>
      </c>
      <c r="D1152" s="13"/>
      <c r="E1152" s="13">
        <v>3</v>
      </c>
      <c r="F1152" s="13" t="s">
        <v>6408</v>
      </c>
      <c r="G1152" s="13">
        <v>27</v>
      </c>
      <c r="H1152" s="13">
        <v>0</v>
      </c>
      <c r="I1152" s="13"/>
      <c r="J1152" s="13" t="s">
        <v>6409</v>
      </c>
      <c r="K1152" s="13" t="s">
        <v>6410</v>
      </c>
    </row>
    <row r="1153" spans="1:11" x14ac:dyDescent="0.3">
      <c r="A1153" s="13" t="s">
        <v>6372</v>
      </c>
      <c r="B1153" s="13" t="s">
        <v>6394</v>
      </c>
      <c r="C1153" s="13" t="s">
        <v>6411</v>
      </c>
      <c r="D1153" s="13"/>
      <c r="E1153" s="13">
        <v>3</v>
      </c>
      <c r="F1153" s="13" t="s">
        <v>6412</v>
      </c>
      <c r="G1153" s="13">
        <v>152</v>
      </c>
      <c r="H1153" s="13">
        <v>0</v>
      </c>
      <c r="I1153" s="13"/>
      <c r="J1153" s="13" t="s">
        <v>6413</v>
      </c>
      <c r="K1153" s="13" t="s">
        <v>6414</v>
      </c>
    </row>
    <row r="1154" spans="1:11" x14ac:dyDescent="0.3">
      <c r="A1154" s="13" t="s">
        <v>6372</v>
      </c>
      <c r="B1154" s="13" t="s">
        <v>6394</v>
      </c>
      <c r="C1154" s="13" t="s">
        <v>6415</v>
      </c>
      <c r="D1154" s="13"/>
      <c r="E1154" s="13">
        <v>3</v>
      </c>
      <c r="F1154" s="13" t="s">
        <v>6416</v>
      </c>
      <c r="G1154" s="13">
        <v>275</v>
      </c>
      <c r="H1154" s="13">
        <v>0</v>
      </c>
      <c r="I1154" s="13"/>
      <c r="J1154" s="13" t="s">
        <v>6417</v>
      </c>
      <c r="K1154" s="13" t="s">
        <v>6418</v>
      </c>
    </row>
    <row r="1155" spans="1:11" x14ac:dyDescent="0.3">
      <c r="A1155" s="13" t="s">
        <v>6372</v>
      </c>
      <c r="B1155" s="13" t="s">
        <v>6394</v>
      </c>
      <c r="C1155" s="13" t="s">
        <v>6419</v>
      </c>
      <c r="D1155" s="13"/>
      <c r="E1155" s="13">
        <v>3</v>
      </c>
      <c r="F1155" s="13" t="s">
        <v>6420</v>
      </c>
      <c r="G1155" s="13">
        <v>167</v>
      </c>
      <c r="H1155" s="13">
        <v>0</v>
      </c>
      <c r="I1155" s="13"/>
      <c r="J1155" s="13" t="s">
        <v>6421</v>
      </c>
      <c r="K1155" s="13" t="s">
        <v>6422</v>
      </c>
    </row>
    <row r="1156" spans="1:11" x14ac:dyDescent="0.3">
      <c r="A1156" s="13" t="s">
        <v>6423</v>
      </c>
      <c r="B1156" s="13" t="s">
        <v>6424</v>
      </c>
      <c r="C1156" s="13"/>
      <c r="D1156" s="13"/>
      <c r="E1156" s="13">
        <v>2</v>
      </c>
      <c r="F1156" s="13" t="s">
        <v>6425</v>
      </c>
      <c r="G1156" s="13">
        <v>45</v>
      </c>
      <c r="H1156" s="13">
        <v>0</v>
      </c>
      <c r="I1156" s="13"/>
      <c r="J1156" s="13" t="s">
        <v>6426</v>
      </c>
      <c r="K1156" s="13" t="s">
        <v>6427</v>
      </c>
    </row>
    <row r="1157" spans="1:11" x14ac:dyDescent="0.3">
      <c r="A1157" s="13" t="s">
        <v>6423</v>
      </c>
      <c r="B1157" s="13" t="s">
        <v>6428</v>
      </c>
      <c r="C1157" s="13"/>
      <c r="D1157" s="13"/>
      <c r="E1157" s="13">
        <v>2</v>
      </c>
      <c r="F1157" s="13" t="s">
        <v>6429</v>
      </c>
      <c r="G1157" s="13">
        <v>12</v>
      </c>
      <c r="H1157" s="13">
        <v>0</v>
      </c>
      <c r="I1157" s="13"/>
      <c r="J1157" s="13" t="s">
        <v>6430</v>
      </c>
      <c r="K1157" s="13" t="s">
        <v>6431</v>
      </c>
    </row>
    <row r="1158" spans="1:11" x14ac:dyDescent="0.3">
      <c r="A1158" s="13" t="s">
        <v>6423</v>
      </c>
      <c r="B1158" s="13" t="s">
        <v>6432</v>
      </c>
      <c r="C1158" s="13"/>
      <c r="D1158" s="13"/>
      <c r="E1158" s="13">
        <v>2</v>
      </c>
      <c r="F1158" s="13" t="s">
        <v>6433</v>
      </c>
      <c r="G1158" s="13">
        <v>768</v>
      </c>
      <c r="H1158" s="13">
        <v>0</v>
      </c>
      <c r="I1158" s="13"/>
      <c r="J1158" s="13" t="s">
        <v>6434</v>
      </c>
      <c r="K1158" s="13" t="s">
        <v>6435</v>
      </c>
    </row>
    <row r="1159" spans="1:11" x14ac:dyDescent="0.3">
      <c r="A1159" s="13" t="s">
        <v>6423</v>
      </c>
      <c r="B1159" s="13" t="s">
        <v>6436</v>
      </c>
      <c r="C1159" s="13"/>
      <c r="D1159" s="13"/>
      <c r="E1159" s="13">
        <v>2</v>
      </c>
      <c r="F1159" s="13" t="s">
        <v>6437</v>
      </c>
      <c r="G1159" s="13">
        <v>103</v>
      </c>
      <c r="H1159" s="13">
        <v>0</v>
      </c>
      <c r="I1159" s="13"/>
      <c r="J1159" s="13" t="s">
        <v>6438</v>
      </c>
      <c r="K1159" s="13" t="s">
        <v>6439</v>
      </c>
    </row>
    <row r="1160" spans="1:11" x14ac:dyDescent="0.3">
      <c r="A1160" s="13" t="s">
        <v>6423</v>
      </c>
      <c r="B1160" s="13" t="s">
        <v>6440</v>
      </c>
      <c r="C1160" s="13"/>
      <c r="D1160" s="13"/>
      <c r="E1160" s="13">
        <v>2</v>
      </c>
      <c r="F1160" s="13" t="s">
        <v>6441</v>
      </c>
      <c r="G1160" s="13">
        <v>130</v>
      </c>
      <c r="H1160" s="13">
        <v>0</v>
      </c>
      <c r="I1160" s="13"/>
      <c r="J1160" s="13" t="s">
        <v>6442</v>
      </c>
      <c r="K1160" s="13" t="s">
        <v>6443</v>
      </c>
    </row>
    <row r="1161" spans="1:11" x14ac:dyDescent="0.3">
      <c r="A1161" s="13" t="s">
        <v>6423</v>
      </c>
      <c r="B1161" s="13" t="s">
        <v>6423</v>
      </c>
      <c r="C1161" s="13"/>
      <c r="D1161" s="13"/>
      <c r="E1161" s="13">
        <v>2</v>
      </c>
      <c r="F1161" s="13" t="s">
        <v>6444</v>
      </c>
      <c r="G1161" s="13">
        <v>402</v>
      </c>
      <c r="H1161" s="13">
        <v>0</v>
      </c>
      <c r="I1161" s="13"/>
      <c r="J1161" s="13" t="s">
        <v>6445</v>
      </c>
      <c r="K1161" s="13" t="s">
        <v>6446</v>
      </c>
    </row>
    <row r="1162" spans="1:11" x14ac:dyDescent="0.3">
      <c r="A1162" s="13" t="s">
        <v>6447</v>
      </c>
      <c r="B1162" s="13" t="s">
        <v>6448</v>
      </c>
      <c r="C1162" s="13"/>
      <c r="D1162" s="13"/>
      <c r="E1162" s="13">
        <v>2</v>
      </c>
      <c r="F1162" s="13" t="s">
        <v>6449</v>
      </c>
      <c r="G1162" s="13">
        <v>1</v>
      </c>
      <c r="H1162" s="13">
        <v>0</v>
      </c>
      <c r="I1162" s="13"/>
      <c r="J1162" s="13" t="s">
        <v>6450</v>
      </c>
      <c r="K1162" s="13" t="s">
        <v>6451</v>
      </c>
    </row>
    <row r="1163" spans="1:11" x14ac:dyDescent="0.3">
      <c r="A1163" s="13" t="s">
        <v>6447</v>
      </c>
      <c r="B1163" s="13" t="s">
        <v>6452</v>
      </c>
      <c r="C1163" s="13"/>
      <c r="D1163" s="13"/>
      <c r="E1163" s="13">
        <v>2</v>
      </c>
      <c r="F1163" s="13" t="s">
        <v>6453</v>
      </c>
      <c r="G1163" s="13">
        <v>1</v>
      </c>
      <c r="H1163" s="13">
        <v>0</v>
      </c>
      <c r="I1163" s="13"/>
      <c r="J1163" s="13" t="s">
        <v>6454</v>
      </c>
      <c r="K1163" s="13" t="s">
        <v>6455</v>
      </c>
    </row>
    <row r="1164" spans="1:11" x14ac:dyDescent="0.3">
      <c r="A1164" s="13" t="s">
        <v>6447</v>
      </c>
      <c r="B1164" s="13" t="s">
        <v>6456</v>
      </c>
      <c r="C1164" s="13"/>
      <c r="D1164" s="13"/>
      <c r="E1164" s="13">
        <v>2</v>
      </c>
      <c r="F1164" s="13" t="s">
        <v>6457</v>
      </c>
      <c r="G1164" s="13">
        <v>10</v>
      </c>
      <c r="H1164" s="13">
        <v>0</v>
      </c>
      <c r="I1164" s="13"/>
      <c r="J1164" s="13" t="s">
        <v>6458</v>
      </c>
      <c r="K1164" s="13" t="s">
        <v>6459</v>
      </c>
    </row>
    <row r="1165" spans="1:11" x14ac:dyDescent="0.3">
      <c r="A1165" s="13" t="s">
        <v>6447</v>
      </c>
      <c r="B1165" s="13" t="s">
        <v>6460</v>
      </c>
      <c r="C1165" s="13"/>
      <c r="D1165" s="13"/>
      <c r="E1165" s="13">
        <v>2</v>
      </c>
      <c r="F1165" s="13" t="s">
        <v>6461</v>
      </c>
      <c r="G1165" s="13">
        <v>1</v>
      </c>
      <c r="H1165" s="13">
        <v>0</v>
      </c>
      <c r="I1165" s="13"/>
      <c r="J1165" s="13" t="s">
        <v>6462</v>
      </c>
      <c r="K1165" s="13" t="s">
        <v>6463</v>
      </c>
    </row>
    <row r="1166" spans="1:11" x14ac:dyDescent="0.3">
      <c r="A1166" s="13" t="s">
        <v>6447</v>
      </c>
      <c r="B1166" s="13" t="s">
        <v>6464</v>
      </c>
      <c r="C1166" s="13"/>
      <c r="D1166" s="13"/>
      <c r="E1166" s="13">
        <v>2</v>
      </c>
      <c r="F1166" s="13" t="s">
        <v>6465</v>
      </c>
      <c r="G1166" s="13">
        <v>1</v>
      </c>
      <c r="H1166" s="13">
        <v>0</v>
      </c>
      <c r="I1166" s="13"/>
      <c r="J1166" s="13" t="s">
        <v>6466</v>
      </c>
      <c r="K1166" s="13" t="s">
        <v>6467</v>
      </c>
    </row>
    <row r="1167" spans="1:11" x14ac:dyDescent="0.3">
      <c r="A1167" s="13" t="s">
        <v>6447</v>
      </c>
      <c r="B1167" s="13" t="s">
        <v>6468</v>
      </c>
      <c r="C1167" s="13"/>
      <c r="D1167" s="13"/>
      <c r="E1167" s="13">
        <v>2</v>
      </c>
      <c r="F1167" s="13" t="s">
        <v>6469</v>
      </c>
      <c r="G1167" s="13">
        <v>2</v>
      </c>
      <c r="H1167" s="13">
        <v>0</v>
      </c>
      <c r="I1167" s="13"/>
      <c r="J1167" s="13" t="s">
        <v>6470</v>
      </c>
      <c r="K1167" s="13" t="s">
        <v>6471</v>
      </c>
    </row>
    <row r="1168" spans="1:11" x14ac:dyDescent="0.3">
      <c r="A1168" s="13" t="s">
        <v>6447</v>
      </c>
      <c r="B1168" s="13" t="s">
        <v>6472</v>
      </c>
      <c r="C1168" s="13"/>
      <c r="D1168" s="13"/>
      <c r="E1168" s="13">
        <v>2</v>
      </c>
      <c r="F1168" s="13" t="s">
        <v>6473</v>
      </c>
      <c r="G1168" s="13">
        <v>2</v>
      </c>
      <c r="H1168" s="13">
        <v>0</v>
      </c>
      <c r="I1168" s="13"/>
      <c r="J1168" s="13" t="s">
        <v>6474</v>
      </c>
      <c r="K1168" s="13" t="s">
        <v>6475</v>
      </c>
    </row>
    <row r="1169" spans="1:11" x14ac:dyDescent="0.3">
      <c r="A1169" s="13" t="s">
        <v>6447</v>
      </c>
      <c r="B1169" s="13" t="s">
        <v>6476</v>
      </c>
      <c r="C1169" s="13"/>
      <c r="D1169" s="13"/>
      <c r="E1169" s="13">
        <v>2</v>
      </c>
      <c r="F1169" s="13" t="s">
        <v>6477</v>
      </c>
      <c r="G1169" s="13">
        <v>10</v>
      </c>
      <c r="H1169" s="13">
        <v>0</v>
      </c>
      <c r="I1169" s="13"/>
      <c r="J1169" s="13" t="s">
        <v>6478</v>
      </c>
      <c r="K1169" s="13" t="s">
        <v>6479</v>
      </c>
    </row>
    <row r="1170" spans="1:11" x14ac:dyDescent="0.3">
      <c r="A1170" s="13" t="s">
        <v>6447</v>
      </c>
      <c r="B1170" s="13" t="s">
        <v>6480</v>
      </c>
      <c r="C1170" s="13"/>
      <c r="D1170" s="13"/>
      <c r="E1170" s="13">
        <v>2</v>
      </c>
      <c r="F1170" s="13" t="s">
        <v>6481</v>
      </c>
      <c r="G1170" s="13">
        <v>1</v>
      </c>
      <c r="H1170" s="13">
        <v>0</v>
      </c>
      <c r="I1170" s="13"/>
      <c r="J1170" s="13" t="s">
        <v>6482</v>
      </c>
      <c r="K1170" s="13" t="s">
        <v>6483</v>
      </c>
    </row>
    <row r="1171" spans="1:11" x14ac:dyDescent="0.3">
      <c r="A1171" s="13" t="s">
        <v>6447</v>
      </c>
      <c r="B1171" s="13" t="s">
        <v>6484</v>
      </c>
      <c r="C1171" s="13"/>
      <c r="D1171" s="13"/>
      <c r="E1171" s="13">
        <v>2</v>
      </c>
      <c r="F1171" s="13" t="s">
        <v>6485</v>
      </c>
      <c r="G1171" s="13">
        <v>1</v>
      </c>
      <c r="H1171" s="13">
        <v>0</v>
      </c>
      <c r="I1171" s="13"/>
      <c r="J1171" s="13" t="s">
        <v>6486</v>
      </c>
      <c r="K1171" s="13" t="s">
        <v>6487</v>
      </c>
    </row>
    <row r="1172" spans="1:11" x14ac:dyDescent="0.3">
      <c r="A1172" s="13" t="s">
        <v>6447</v>
      </c>
      <c r="B1172" s="13" t="s">
        <v>6488</v>
      </c>
      <c r="C1172" s="13"/>
      <c r="D1172" s="13"/>
      <c r="E1172" s="13">
        <v>2</v>
      </c>
      <c r="F1172" s="13" t="s">
        <v>6489</v>
      </c>
      <c r="G1172" s="13">
        <v>1</v>
      </c>
      <c r="H1172" s="13">
        <v>0</v>
      </c>
      <c r="I1172" s="13"/>
      <c r="J1172" s="13" t="s">
        <v>6490</v>
      </c>
      <c r="K1172" s="13" t="s">
        <v>6491</v>
      </c>
    </row>
    <row r="1173" spans="1:11" x14ac:dyDescent="0.3">
      <c r="A1173" s="13" t="s">
        <v>6492</v>
      </c>
      <c r="B1173" s="13" t="s">
        <v>6493</v>
      </c>
      <c r="C1173" s="13"/>
      <c r="D1173" s="13"/>
      <c r="E1173" s="13">
        <v>2</v>
      </c>
      <c r="F1173" s="13" t="s">
        <v>6494</v>
      </c>
      <c r="G1173" s="13">
        <v>1</v>
      </c>
      <c r="H1173" s="13">
        <v>0</v>
      </c>
      <c r="I1173" s="13"/>
      <c r="J1173" s="13" t="s">
        <v>6495</v>
      </c>
      <c r="K1173" s="13" t="s">
        <v>6496</v>
      </c>
    </row>
    <row r="1174" spans="1:11" x14ac:dyDescent="0.3">
      <c r="A1174" s="13" t="s">
        <v>6492</v>
      </c>
      <c r="B1174" s="13" t="s">
        <v>6497</v>
      </c>
      <c r="C1174" s="13" t="s">
        <v>6498</v>
      </c>
      <c r="D1174" s="13"/>
      <c r="E1174" s="13">
        <v>3</v>
      </c>
      <c r="F1174" s="13" t="s">
        <v>6499</v>
      </c>
      <c r="G1174" s="13">
        <v>7</v>
      </c>
      <c r="H1174" s="13">
        <v>0</v>
      </c>
      <c r="I1174" s="13"/>
      <c r="J1174" s="13" t="s">
        <v>6500</v>
      </c>
      <c r="K1174" s="13" t="s">
        <v>6501</v>
      </c>
    </row>
    <row r="1175" spans="1:11" x14ac:dyDescent="0.3">
      <c r="A1175" s="13" t="s">
        <v>6492</v>
      </c>
      <c r="B1175" s="13" t="s">
        <v>6497</v>
      </c>
      <c r="C1175" s="13" t="s">
        <v>6502</v>
      </c>
      <c r="D1175" s="13"/>
      <c r="E1175" s="13">
        <v>3</v>
      </c>
      <c r="F1175" s="13" t="s">
        <v>6503</v>
      </c>
      <c r="G1175" s="13">
        <v>111</v>
      </c>
      <c r="H1175" s="13">
        <v>0</v>
      </c>
      <c r="I1175" s="13"/>
      <c r="J1175" s="13" t="s">
        <v>6504</v>
      </c>
      <c r="K1175" s="13" t="s">
        <v>6505</v>
      </c>
    </row>
    <row r="1176" spans="1:11" x14ac:dyDescent="0.3">
      <c r="A1176" s="13" t="s">
        <v>6492</v>
      </c>
      <c r="B1176" s="13" t="s">
        <v>6497</v>
      </c>
      <c r="C1176" s="13" t="s">
        <v>6506</v>
      </c>
      <c r="D1176" s="13"/>
      <c r="E1176" s="13">
        <v>3</v>
      </c>
      <c r="F1176" s="13" t="s">
        <v>6507</v>
      </c>
      <c r="G1176" s="13">
        <v>40</v>
      </c>
      <c r="H1176" s="13">
        <v>0</v>
      </c>
      <c r="I1176" s="13"/>
      <c r="J1176" s="13" t="s">
        <v>6508</v>
      </c>
      <c r="K1176" s="13" t="s">
        <v>6509</v>
      </c>
    </row>
    <row r="1177" spans="1:11" x14ac:dyDescent="0.3">
      <c r="A1177" s="13" t="s">
        <v>6492</v>
      </c>
      <c r="B1177" s="13" t="s">
        <v>6497</v>
      </c>
      <c r="C1177" s="13" t="s">
        <v>6510</v>
      </c>
      <c r="D1177" s="13"/>
      <c r="E1177" s="13">
        <v>3</v>
      </c>
      <c r="F1177" s="13" t="s">
        <v>6511</v>
      </c>
      <c r="G1177" s="13">
        <v>1</v>
      </c>
      <c r="H1177" s="13">
        <v>0</v>
      </c>
      <c r="I1177" s="13"/>
      <c r="J1177" s="13" t="s">
        <v>6512</v>
      </c>
      <c r="K1177" s="13" t="s">
        <v>6513</v>
      </c>
    </row>
    <row r="1178" spans="1:11" x14ac:dyDescent="0.3">
      <c r="A1178" s="13" t="s">
        <v>6492</v>
      </c>
      <c r="B1178" s="13" t="s">
        <v>6497</v>
      </c>
      <c r="C1178" s="13" t="s">
        <v>6514</v>
      </c>
      <c r="D1178" s="13"/>
      <c r="E1178" s="13">
        <v>3</v>
      </c>
      <c r="F1178" s="13" t="s">
        <v>6515</v>
      </c>
      <c r="G1178" s="13">
        <v>8</v>
      </c>
      <c r="H1178" s="13">
        <v>0</v>
      </c>
      <c r="I1178" s="13"/>
      <c r="J1178" s="13" t="s">
        <v>6516</v>
      </c>
      <c r="K1178" s="13" t="s">
        <v>6517</v>
      </c>
    </row>
    <row r="1179" spans="1:11" x14ac:dyDescent="0.3">
      <c r="A1179" s="13" t="s">
        <v>6492</v>
      </c>
      <c r="B1179" s="13" t="s">
        <v>6497</v>
      </c>
      <c r="C1179" s="13" t="s">
        <v>6518</v>
      </c>
      <c r="D1179" s="13"/>
      <c r="E1179" s="13">
        <v>3</v>
      </c>
      <c r="F1179" s="13" t="s">
        <v>6519</v>
      </c>
      <c r="G1179" s="13">
        <v>17</v>
      </c>
      <c r="H1179" s="13">
        <v>0</v>
      </c>
      <c r="I1179" s="13"/>
      <c r="J1179" s="13" t="s">
        <v>6520</v>
      </c>
      <c r="K1179" s="13" t="s">
        <v>6521</v>
      </c>
    </row>
    <row r="1180" spans="1:11" x14ac:dyDescent="0.3">
      <c r="A1180" s="13" t="s">
        <v>6492</v>
      </c>
      <c r="B1180" s="13" t="s">
        <v>6497</v>
      </c>
      <c r="C1180" s="13" t="s">
        <v>6522</v>
      </c>
      <c r="D1180" s="13"/>
      <c r="E1180" s="13">
        <v>3</v>
      </c>
      <c r="F1180" s="13" t="s">
        <v>6523</v>
      </c>
      <c r="G1180" s="13">
        <v>3</v>
      </c>
      <c r="H1180" s="13">
        <v>0</v>
      </c>
      <c r="I1180" s="13"/>
      <c r="J1180" s="13" t="s">
        <v>6524</v>
      </c>
      <c r="K1180" s="13" t="s">
        <v>6525</v>
      </c>
    </row>
    <row r="1181" spans="1:11" x14ac:dyDescent="0.3">
      <c r="A1181" s="13" t="s">
        <v>6492</v>
      </c>
      <c r="B1181" s="13" t="s">
        <v>6526</v>
      </c>
      <c r="C1181" s="13"/>
      <c r="D1181" s="13"/>
      <c r="E1181" s="13">
        <v>2</v>
      </c>
      <c r="F1181" s="13" t="s">
        <v>6527</v>
      </c>
      <c r="G1181" s="13">
        <v>4</v>
      </c>
      <c r="H1181" s="13">
        <v>0</v>
      </c>
      <c r="I1181" s="13"/>
      <c r="J1181" s="13" t="s">
        <v>6528</v>
      </c>
      <c r="K1181" s="13" t="s">
        <v>6529</v>
      </c>
    </row>
    <row r="1182" spans="1:11" x14ac:dyDescent="0.3">
      <c r="A1182" s="13" t="s">
        <v>6492</v>
      </c>
      <c r="B1182" s="13" t="s">
        <v>6530</v>
      </c>
      <c r="C1182" s="13"/>
      <c r="D1182" s="13"/>
      <c r="E1182" s="13">
        <v>2</v>
      </c>
      <c r="F1182" s="13" t="s">
        <v>6531</v>
      </c>
      <c r="G1182" s="13">
        <v>157</v>
      </c>
      <c r="H1182" s="13">
        <v>0</v>
      </c>
      <c r="I1182" s="13"/>
      <c r="J1182" s="13" t="s">
        <v>6532</v>
      </c>
      <c r="K1182" s="13" t="s">
        <v>6533</v>
      </c>
    </row>
    <row r="1183" spans="1:11" x14ac:dyDescent="0.3">
      <c r="A1183" s="13" t="s">
        <v>6492</v>
      </c>
      <c r="B1183" s="13" t="s">
        <v>6534</v>
      </c>
      <c r="C1183" s="13" t="s">
        <v>6535</v>
      </c>
      <c r="D1183" s="13"/>
      <c r="E1183" s="13">
        <v>3</v>
      </c>
      <c r="F1183" s="13" t="s">
        <v>6536</v>
      </c>
      <c r="G1183" s="13">
        <v>3</v>
      </c>
      <c r="H1183" s="13">
        <v>0</v>
      </c>
      <c r="I1183" s="13"/>
      <c r="J1183" s="13" t="s">
        <v>6537</v>
      </c>
      <c r="K1183" s="13" t="s">
        <v>6538</v>
      </c>
    </row>
    <row r="1184" spans="1:11" x14ac:dyDescent="0.3">
      <c r="A1184" s="13" t="s">
        <v>6492</v>
      </c>
      <c r="B1184" s="13" t="s">
        <v>6534</v>
      </c>
      <c r="C1184" s="13" t="s">
        <v>6539</v>
      </c>
      <c r="D1184" s="13"/>
      <c r="E1184" s="13">
        <v>3</v>
      </c>
      <c r="F1184" s="13" t="s">
        <v>6540</v>
      </c>
      <c r="G1184" s="13">
        <v>6</v>
      </c>
      <c r="H1184" s="13">
        <v>0</v>
      </c>
      <c r="I1184" s="13"/>
      <c r="J1184" s="13" t="s">
        <v>6541</v>
      </c>
      <c r="K1184" s="13" t="s">
        <v>6542</v>
      </c>
    </row>
    <row r="1185" spans="1:11" x14ac:dyDescent="0.3">
      <c r="A1185" s="13" t="s">
        <v>6492</v>
      </c>
      <c r="B1185" s="13" t="s">
        <v>6534</v>
      </c>
      <c r="C1185" s="13" t="s">
        <v>6543</v>
      </c>
      <c r="D1185" s="13"/>
      <c r="E1185" s="13">
        <v>3</v>
      </c>
      <c r="F1185" s="13" t="s">
        <v>6544</v>
      </c>
      <c r="G1185" s="13">
        <v>1</v>
      </c>
      <c r="H1185" s="13">
        <v>0</v>
      </c>
      <c r="I1185" s="13"/>
      <c r="J1185" s="13" t="s">
        <v>6545</v>
      </c>
      <c r="K1185" s="13" t="s">
        <v>6546</v>
      </c>
    </row>
    <row r="1186" spans="1:11" x14ac:dyDescent="0.3">
      <c r="A1186" s="13" t="s">
        <v>6492</v>
      </c>
      <c r="B1186" s="13" t="s">
        <v>6534</v>
      </c>
      <c r="C1186" s="13" t="s">
        <v>6547</v>
      </c>
      <c r="D1186" s="13"/>
      <c r="E1186" s="13">
        <v>3</v>
      </c>
      <c r="F1186" s="13" t="s">
        <v>6548</v>
      </c>
      <c r="G1186" s="13">
        <v>4</v>
      </c>
      <c r="H1186" s="13">
        <v>0</v>
      </c>
      <c r="I1186" s="13"/>
      <c r="J1186" s="13" t="s">
        <v>6549</v>
      </c>
      <c r="K1186" s="13" t="s">
        <v>6550</v>
      </c>
    </row>
    <row r="1187" spans="1:11" x14ac:dyDescent="0.3">
      <c r="A1187" s="13" t="s">
        <v>6492</v>
      </c>
      <c r="B1187" s="13" t="s">
        <v>6534</v>
      </c>
      <c r="C1187" s="13" t="s">
        <v>6551</v>
      </c>
      <c r="D1187" s="13"/>
      <c r="E1187" s="13">
        <v>3</v>
      </c>
      <c r="F1187" s="13" t="s">
        <v>6552</v>
      </c>
      <c r="G1187" s="13">
        <v>3</v>
      </c>
      <c r="H1187" s="13">
        <v>0</v>
      </c>
      <c r="I1187" s="13"/>
      <c r="J1187" s="13" t="s">
        <v>6553</v>
      </c>
      <c r="K1187" s="13" t="s">
        <v>6554</v>
      </c>
    </row>
    <row r="1188" spans="1:11" x14ac:dyDescent="0.3">
      <c r="A1188" s="13" t="s">
        <v>6492</v>
      </c>
      <c r="B1188" s="13" t="s">
        <v>6534</v>
      </c>
      <c r="C1188" s="13" t="s">
        <v>6555</v>
      </c>
      <c r="D1188" s="13"/>
      <c r="E1188" s="13">
        <v>3</v>
      </c>
      <c r="F1188" s="13" t="s">
        <v>6556</v>
      </c>
      <c r="G1188" s="13">
        <v>4</v>
      </c>
      <c r="H1188" s="13">
        <v>0</v>
      </c>
      <c r="I1188" s="13"/>
      <c r="J1188" s="13" t="s">
        <v>6557</v>
      </c>
      <c r="K1188" s="13" t="s">
        <v>6558</v>
      </c>
    </row>
    <row r="1189" spans="1:11" x14ac:dyDescent="0.3">
      <c r="A1189" s="13" t="s">
        <v>6492</v>
      </c>
      <c r="B1189" s="13" t="s">
        <v>6534</v>
      </c>
      <c r="C1189" s="13" t="s">
        <v>6559</v>
      </c>
      <c r="D1189" s="13"/>
      <c r="E1189" s="13">
        <v>3</v>
      </c>
      <c r="F1189" s="13" t="s">
        <v>6560</v>
      </c>
      <c r="G1189" s="13">
        <v>5</v>
      </c>
      <c r="H1189" s="13">
        <v>0</v>
      </c>
      <c r="I1189" s="13"/>
      <c r="J1189" s="13" t="s">
        <v>6561</v>
      </c>
      <c r="K1189" s="13" t="s">
        <v>6562</v>
      </c>
    </row>
    <row r="1190" spans="1:11" x14ac:dyDescent="0.3">
      <c r="A1190" s="13" t="s">
        <v>6492</v>
      </c>
      <c r="B1190" s="13" t="s">
        <v>6563</v>
      </c>
      <c r="C1190" s="13" t="s">
        <v>6564</v>
      </c>
      <c r="D1190" s="13"/>
      <c r="E1190" s="13">
        <v>3</v>
      </c>
      <c r="F1190" s="13" t="s">
        <v>6565</v>
      </c>
      <c r="G1190" s="13">
        <v>6</v>
      </c>
      <c r="H1190" s="13">
        <v>0</v>
      </c>
      <c r="I1190" s="13"/>
      <c r="J1190" s="13" t="s">
        <v>6566</v>
      </c>
      <c r="K1190" s="13" t="s">
        <v>6567</v>
      </c>
    </row>
    <row r="1191" spans="1:11" x14ac:dyDescent="0.3">
      <c r="A1191" s="13" t="s">
        <v>6492</v>
      </c>
      <c r="B1191" s="13" t="s">
        <v>6563</v>
      </c>
      <c r="C1191" s="13" t="s">
        <v>6568</v>
      </c>
      <c r="D1191" s="13"/>
      <c r="E1191" s="13">
        <v>3</v>
      </c>
      <c r="F1191" s="13" t="s">
        <v>6569</v>
      </c>
      <c r="G1191" s="13">
        <v>18</v>
      </c>
      <c r="H1191" s="13">
        <v>0</v>
      </c>
      <c r="I1191" s="13"/>
      <c r="J1191" s="13" t="s">
        <v>6570</v>
      </c>
      <c r="K1191" s="13" t="s">
        <v>6571</v>
      </c>
    </row>
    <row r="1192" spans="1:11" x14ac:dyDescent="0.3">
      <c r="A1192" s="13" t="s">
        <v>6492</v>
      </c>
      <c r="B1192" s="13" t="s">
        <v>6572</v>
      </c>
      <c r="C1192" s="13"/>
      <c r="D1192" s="13"/>
      <c r="E1192" s="13">
        <v>2</v>
      </c>
      <c r="F1192" s="13" t="s">
        <v>6573</v>
      </c>
      <c r="G1192" s="13">
        <v>3</v>
      </c>
      <c r="H1192" s="13">
        <v>0</v>
      </c>
      <c r="I1192" s="13"/>
      <c r="J1192" s="13" t="s">
        <v>6574</v>
      </c>
      <c r="K1192" s="13" t="s">
        <v>6575</v>
      </c>
    </row>
    <row r="1193" spans="1:11" x14ac:dyDescent="0.3">
      <c r="A1193" s="13" t="s">
        <v>6492</v>
      </c>
      <c r="B1193" s="13" t="s">
        <v>6576</v>
      </c>
      <c r="C1193" s="13"/>
      <c r="D1193" s="13"/>
      <c r="E1193" s="13">
        <v>2</v>
      </c>
      <c r="F1193" s="13" t="s">
        <v>6577</v>
      </c>
      <c r="G1193" s="13">
        <v>3</v>
      </c>
      <c r="H1193" s="13">
        <v>0</v>
      </c>
      <c r="I1193" s="13"/>
      <c r="J1193" s="13" t="s">
        <v>6578</v>
      </c>
      <c r="K1193" s="13" t="s">
        <v>6579</v>
      </c>
    </row>
    <row r="1194" spans="1:11" x14ac:dyDescent="0.3">
      <c r="A1194" s="13" t="s">
        <v>6492</v>
      </c>
      <c r="B1194" s="13" t="s">
        <v>6580</v>
      </c>
      <c r="C1194" s="13"/>
      <c r="D1194" s="13"/>
      <c r="E1194" s="13">
        <v>2</v>
      </c>
      <c r="F1194" s="13" t="s">
        <v>6581</v>
      </c>
      <c r="G1194" s="13">
        <v>4</v>
      </c>
      <c r="H1194" s="13">
        <v>0</v>
      </c>
      <c r="I1194" s="13"/>
      <c r="J1194" s="13" t="s">
        <v>6582</v>
      </c>
      <c r="K1194" s="13" t="s">
        <v>6583</v>
      </c>
    </row>
    <row r="1195" spans="1:11" x14ac:dyDescent="0.3">
      <c r="A1195" s="13" t="s">
        <v>6492</v>
      </c>
      <c r="B1195" s="13" t="s">
        <v>6584</v>
      </c>
      <c r="C1195" s="13"/>
      <c r="D1195" s="13"/>
      <c r="E1195" s="13">
        <v>2</v>
      </c>
      <c r="F1195" s="13" t="s">
        <v>6585</v>
      </c>
      <c r="G1195" s="13">
        <v>1</v>
      </c>
      <c r="H1195" s="13">
        <v>0</v>
      </c>
      <c r="I1195" s="13"/>
      <c r="J1195" s="13" t="s">
        <v>6586</v>
      </c>
      <c r="K1195" s="13" t="s">
        <v>6587</v>
      </c>
    </row>
    <row r="1196" spans="1:11" x14ac:dyDescent="0.3">
      <c r="A1196" s="13" t="s">
        <v>6492</v>
      </c>
      <c r="B1196" s="13" t="s">
        <v>6588</v>
      </c>
      <c r="C1196" s="13"/>
      <c r="D1196" s="13"/>
      <c r="E1196" s="13">
        <v>2</v>
      </c>
      <c r="F1196" s="13" t="s">
        <v>6589</v>
      </c>
      <c r="G1196" s="13">
        <v>1</v>
      </c>
      <c r="H1196" s="13">
        <v>0</v>
      </c>
      <c r="I1196" s="13"/>
      <c r="J1196" s="13" t="s">
        <v>6590</v>
      </c>
      <c r="K1196" s="13" t="s">
        <v>6591</v>
      </c>
    </row>
    <row r="1197" spans="1:11" x14ac:dyDescent="0.3">
      <c r="A1197" s="13" t="s">
        <v>6492</v>
      </c>
      <c r="B1197" s="13" t="s">
        <v>6592</v>
      </c>
      <c r="C1197" s="13"/>
      <c r="D1197" s="13"/>
      <c r="E1197" s="13">
        <v>2</v>
      </c>
      <c r="F1197" s="13" t="s">
        <v>6593</v>
      </c>
      <c r="G1197" s="13">
        <v>4</v>
      </c>
      <c r="H1197" s="13">
        <v>0</v>
      </c>
      <c r="I1197" s="13"/>
      <c r="J1197" s="13" t="s">
        <v>6594</v>
      </c>
      <c r="K1197" s="13" t="s">
        <v>6595</v>
      </c>
    </row>
    <row r="1198" spans="1:11" x14ac:dyDescent="0.3">
      <c r="A1198" s="13" t="s">
        <v>6492</v>
      </c>
      <c r="B1198" s="13" t="s">
        <v>6596</v>
      </c>
      <c r="C1198" s="13"/>
      <c r="D1198" s="13"/>
      <c r="E1198" s="13">
        <v>2</v>
      </c>
      <c r="F1198" s="13" t="s">
        <v>6597</v>
      </c>
      <c r="G1198" s="13">
        <v>1</v>
      </c>
      <c r="H1198" s="13">
        <v>0</v>
      </c>
      <c r="I1198" s="13"/>
      <c r="J1198" s="13" t="s">
        <v>6598</v>
      </c>
      <c r="K1198" s="13" t="s">
        <v>6599</v>
      </c>
    </row>
    <row r="1199" spans="1:11" x14ac:dyDescent="0.3">
      <c r="A1199" s="13" t="s">
        <v>6492</v>
      </c>
      <c r="B1199" s="13" t="s">
        <v>3017</v>
      </c>
      <c r="C1199" s="13" t="s">
        <v>6600</v>
      </c>
      <c r="D1199" s="13"/>
      <c r="E1199" s="13">
        <v>3</v>
      </c>
      <c r="F1199" s="13" t="s">
        <v>6601</v>
      </c>
      <c r="G1199" s="13">
        <v>55</v>
      </c>
      <c r="H1199" s="13">
        <v>0</v>
      </c>
      <c r="I1199" s="13"/>
      <c r="J1199" s="13" t="s">
        <v>6602</v>
      </c>
      <c r="K1199" s="13" t="s">
        <v>6603</v>
      </c>
    </row>
    <row r="1200" spans="1:11" x14ac:dyDescent="0.3">
      <c r="A1200" s="13" t="s">
        <v>6492</v>
      </c>
      <c r="B1200" s="13" t="s">
        <v>3017</v>
      </c>
      <c r="C1200" s="13" t="s">
        <v>6604</v>
      </c>
      <c r="D1200" s="13"/>
      <c r="E1200" s="13">
        <v>3</v>
      </c>
      <c r="F1200" s="13" t="s">
        <v>6605</v>
      </c>
      <c r="G1200" s="13">
        <v>8</v>
      </c>
      <c r="H1200" s="13">
        <v>0</v>
      </c>
      <c r="I1200" s="13"/>
      <c r="J1200" s="13" t="s">
        <v>6606</v>
      </c>
      <c r="K1200" s="13" t="s">
        <v>6607</v>
      </c>
    </row>
    <row r="1201" spans="1:11" x14ac:dyDescent="0.3">
      <c r="A1201" s="13" t="s">
        <v>6492</v>
      </c>
      <c r="B1201" s="13" t="s">
        <v>3017</v>
      </c>
      <c r="C1201" s="13" t="s">
        <v>6608</v>
      </c>
      <c r="D1201" s="13"/>
      <c r="E1201" s="13">
        <v>3</v>
      </c>
      <c r="F1201" s="13" t="s">
        <v>6609</v>
      </c>
      <c r="G1201" s="13">
        <v>2</v>
      </c>
      <c r="H1201" s="13">
        <v>0</v>
      </c>
      <c r="I1201" s="13"/>
      <c r="J1201" s="13" t="s">
        <v>6610</v>
      </c>
      <c r="K1201" s="13" t="s">
        <v>6611</v>
      </c>
    </row>
    <row r="1202" spans="1:11" x14ac:dyDescent="0.3">
      <c r="A1202" s="13" t="s">
        <v>6492</v>
      </c>
      <c r="B1202" s="13" t="s">
        <v>3017</v>
      </c>
      <c r="C1202" s="13" t="s">
        <v>6612</v>
      </c>
      <c r="D1202" s="13"/>
      <c r="E1202" s="13">
        <v>3</v>
      </c>
      <c r="F1202" s="13" t="s">
        <v>6613</v>
      </c>
      <c r="G1202" s="13">
        <v>8</v>
      </c>
      <c r="H1202" s="13">
        <v>0</v>
      </c>
      <c r="I1202" s="13"/>
      <c r="J1202" s="13" t="s">
        <v>6614</v>
      </c>
      <c r="K1202" s="13" t="s">
        <v>6615</v>
      </c>
    </row>
    <row r="1203" spans="1:11" x14ac:dyDescent="0.3">
      <c r="A1203" s="13" t="s">
        <v>6492</v>
      </c>
      <c r="B1203" s="13" t="s">
        <v>3017</v>
      </c>
      <c r="C1203" s="13" t="s">
        <v>6616</v>
      </c>
      <c r="D1203" s="13"/>
      <c r="E1203" s="13">
        <v>3</v>
      </c>
      <c r="F1203" s="13" t="s">
        <v>6617</v>
      </c>
      <c r="G1203" s="13">
        <v>10</v>
      </c>
      <c r="H1203" s="13">
        <v>0</v>
      </c>
      <c r="I1203" s="13"/>
      <c r="J1203" s="13" t="s">
        <v>6618</v>
      </c>
      <c r="K1203" s="13" t="s">
        <v>6619</v>
      </c>
    </row>
    <row r="1204" spans="1:11" x14ac:dyDescent="0.3">
      <c r="A1204" s="13" t="s">
        <v>6492</v>
      </c>
      <c r="B1204" s="13" t="s">
        <v>3017</v>
      </c>
      <c r="C1204" s="13" t="s">
        <v>6620</v>
      </c>
      <c r="D1204" s="13"/>
      <c r="E1204" s="13">
        <v>3</v>
      </c>
      <c r="F1204" s="13" t="s">
        <v>6621</v>
      </c>
      <c r="G1204" s="13">
        <v>9</v>
      </c>
      <c r="H1204" s="13">
        <v>0</v>
      </c>
      <c r="I1204" s="13"/>
      <c r="J1204" s="13" t="s">
        <v>6622</v>
      </c>
      <c r="K1204" s="13" t="s">
        <v>6623</v>
      </c>
    </row>
    <row r="1205" spans="1:11" x14ac:dyDescent="0.3">
      <c r="A1205" s="13" t="s">
        <v>6492</v>
      </c>
      <c r="B1205" s="13" t="s">
        <v>3017</v>
      </c>
      <c r="C1205" s="13" t="s">
        <v>6624</v>
      </c>
      <c r="D1205" s="13"/>
      <c r="E1205" s="13">
        <v>3</v>
      </c>
      <c r="F1205" s="13" t="s">
        <v>6625</v>
      </c>
      <c r="G1205" s="13">
        <v>30</v>
      </c>
      <c r="H1205" s="13">
        <v>0</v>
      </c>
      <c r="I1205" s="13"/>
      <c r="J1205" s="13" t="s">
        <v>6626</v>
      </c>
      <c r="K1205" s="13" t="s">
        <v>6627</v>
      </c>
    </row>
    <row r="1206" spans="1:11" x14ac:dyDescent="0.3">
      <c r="A1206" s="13" t="s">
        <v>6492</v>
      </c>
      <c r="B1206" s="13" t="s">
        <v>3017</v>
      </c>
      <c r="C1206" s="13" t="s">
        <v>6628</v>
      </c>
      <c r="D1206" s="13"/>
      <c r="E1206" s="13">
        <v>3</v>
      </c>
      <c r="F1206" s="13" t="s">
        <v>6629</v>
      </c>
      <c r="G1206" s="13">
        <v>7</v>
      </c>
      <c r="H1206" s="13">
        <v>0</v>
      </c>
      <c r="I1206" s="13"/>
      <c r="J1206" s="13" t="s">
        <v>6630</v>
      </c>
      <c r="K1206" s="13" t="s">
        <v>6631</v>
      </c>
    </row>
    <row r="1207" spans="1:11" x14ac:dyDescent="0.3">
      <c r="A1207" s="13" t="s">
        <v>6492</v>
      </c>
      <c r="B1207" s="13" t="s">
        <v>3017</v>
      </c>
      <c r="C1207" s="13" t="s">
        <v>6632</v>
      </c>
      <c r="D1207" s="13"/>
      <c r="E1207" s="13">
        <v>3</v>
      </c>
      <c r="F1207" s="13" t="s">
        <v>6633</v>
      </c>
      <c r="G1207" s="13">
        <v>4</v>
      </c>
      <c r="H1207" s="13">
        <v>0</v>
      </c>
      <c r="I1207" s="13"/>
      <c r="J1207" s="13" t="s">
        <v>6634</v>
      </c>
      <c r="K1207" s="13" t="s">
        <v>6635</v>
      </c>
    </row>
    <row r="1208" spans="1:11" x14ac:dyDescent="0.3">
      <c r="A1208" s="13" t="s">
        <v>6492</v>
      </c>
      <c r="B1208" s="13" t="s">
        <v>3017</v>
      </c>
      <c r="C1208" s="13" t="s">
        <v>6636</v>
      </c>
      <c r="D1208" s="13"/>
      <c r="E1208" s="13">
        <v>3</v>
      </c>
      <c r="F1208" s="13" t="s">
        <v>6637</v>
      </c>
      <c r="G1208" s="13">
        <v>9</v>
      </c>
      <c r="H1208" s="13">
        <v>0</v>
      </c>
      <c r="I1208" s="13"/>
      <c r="J1208" s="13" t="s">
        <v>6638</v>
      </c>
      <c r="K1208" s="13" t="s">
        <v>6639</v>
      </c>
    </row>
    <row r="1209" spans="1:11" x14ac:dyDescent="0.3">
      <c r="A1209" s="13" t="s">
        <v>6492</v>
      </c>
      <c r="B1209" s="13" t="s">
        <v>3017</v>
      </c>
      <c r="C1209" s="13" t="s">
        <v>6640</v>
      </c>
      <c r="D1209" s="13"/>
      <c r="E1209" s="13">
        <v>3</v>
      </c>
      <c r="F1209" s="13" t="s">
        <v>6641</v>
      </c>
      <c r="G1209" s="13">
        <v>3</v>
      </c>
      <c r="H1209" s="13">
        <v>0</v>
      </c>
      <c r="I1209" s="13"/>
      <c r="J1209" s="13" t="s">
        <v>6642</v>
      </c>
      <c r="K1209" s="13" t="s">
        <v>6643</v>
      </c>
    </row>
    <row r="1210" spans="1:11" x14ac:dyDescent="0.3">
      <c r="A1210" s="13" t="s">
        <v>6492</v>
      </c>
      <c r="B1210" s="13" t="s">
        <v>3017</v>
      </c>
      <c r="C1210" s="13" t="s">
        <v>6644</v>
      </c>
      <c r="D1210" s="13"/>
      <c r="E1210" s="13">
        <v>3</v>
      </c>
      <c r="F1210" s="13" t="s">
        <v>6645</v>
      </c>
      <c r="G1210" s="13">
        <v>2</v>
      </c>
      <c r="H1210" s="13">
        <v>0</v>
      </c>
      <c r="I1210" s="13"/>
      <c r="J1210" s="13" t="s">
        <v>6646</v>
      </c>
      <c r="K1210" s="13" t="s">
        <v>6647</v>
      </c>
    </row>
    <row r="1211" spans="1:11" x14ac:dyDescent="0.3">
      <c r="A1211" s="13" t="s">
        <v>6492</v>
      </c>
      <c r="B1211" s="13" t="s">
        <v>3117</v>
      </c>
      <c r="C1211" s="13"/>
      <c r="D1211" s="13"/>
      <c r="E1211" s="13">
        <v>2</v>
      </c>
      <c r="F1211" s="13" t="s">
        <v>6648</v>
      </c>
      <c r="G1211" s="13">
        <v>2</v>
      </c>
      <c r="H1211" s="13">
        <v>0</v>
      </c>
      <c r="I1211" s="13"/>
      <c r="J1211" s="13" t="s">
        <v>6649</v>
      </c>
      <c r="K1211" s="13" t="s">
        <v>6650</v>
      </c>
    </row>
    <row r="1212" spans="1:11" x14ac:dyDescent="0.3">
      <c r="A1212" s="13" t="s">
        <v>6492</v>
      </c>
      <c r="B1212" s="13" t="s">
        <v>6651</v>
      </c>
      <c r="C1212" s="13"/>
      <c r="D1212" s="13"/>
      <c r="E1212" s="13">
        <v>2</v>
      </c>
      <c r="F1212" s="13" t="s">
        <v>6652</v>
      </c>
      <c r="G1212" s="13">
        <v>5</v>
      </c>
      <c r="H1212" s="13">
        <v>0</v>
      </c>
      <c r="I1212" s="13"/>
      <c r="J1212" s="13" t="s">
        <v>6653</v>
      </c>
      <c r="K1212" s="13" t="s">
        <v>6654</v>
      </c>
    </row>
    <row r="1213" spans="1:11" x14ac:dyDescent="0.3">
      <c r="A1213" s="13" t="s">
        <v>6492</v>
      </c>
      <c r="B1213" s="13" t="s">
        <v>6655</v>
      </c>
      <c r="C1213" s="13"/>
      <c r="D1213" s="13"/>
      <c r="E1213" s="13">
        <v>2</v>
      </c>
      <c r="F1213" s="13" t="s">
        <v>6656</v>
      </c>
      <c r="G1213" s="13">
        <v>8</v>
      </c>
      <c r="H1213" s="13">
        <v>0</v>
      </c>
      <c r="I1213" s="13"/>
      <c r="J1213" s="13" t="s">
        <v>6657</v>
      </c>
      <c r="K1213" s="13" t="s">
        <v>6658</v>
      </c>
    </row>
    <row r="1214" spans="1:11" x14ac:dyDescent="0.3">
      <c r="A1214" s="13" t="s">
        <v>6492</v>
      </c>
      <c r="B1214" s="13" t="s">
        <v>6659</v>
      </c>
      <c r="C1214" s="13" t="s">
        <v>6660</v>
      </c>
      <c r="D1214" s="13"/>
      <c r="E1214" s="13">
        <v>3</v>
      </c>
      <c r="F1214" s="13" t="s">
        <v>6661</v>
      </c>
      <c r="G1214" s="13">
        <v>11</v>
      </c>
      <c r="H1214" s="13">
        <v>0</v>
      </c>
      <c r="I1214" s="13"/>
      <c r="J1214" s="13" t="s">
        <v>6662</v>
      </c>
      <c r="K1214" s="13" t="s">
        <v>6663</v>
      </c>
    </row>
    <row r="1215" spans="1:11" x14ac:dyDescent="0.3">
      <c r="A1215" s="13" t="s">
        <v>6492</v>
      </c>
      <c r="B1215" s="13" t="s">
        <v>6659</v>
      </c>
      <c r="C1215" s="13" t="s">
        <v>6664</v>
      </c>
      <c r="D1215" s="13"/>
      <c r="E1215" s="13">
        <v>3</v>
      </c>
      <c r="F1215" s="13" t="s">
        <v>6665</v>
      </c>
      <c r="G1215" s="13">
        <v>1</v>
      </c>
      <c r="H1215" s="13">
        <v>0</v>
      </c>
      <c r="I1215" s="13"/>
      <c r="J1215" s="13" t="s">
        <v>6666</v>
      </c>
      <c r="K1215" s="13" t="s">
        <v>6667</v>
      </c>
    </row>
    <row r="1216" spans="1:11" x14ac:dyDescent="0.3">
      <c r="A1216" s="13" t="s">
        <v>6492</v>
      </c>
      <c r="B1216" s="13" t="s">
        <v>6659</v>
      </c>
      <c r="C1216" s="13" t="s">
        <v>6668</v>
      </c>
      <c r="D1216" s="13"/>
      <c r="E1216" s="13">
        <v>3</v>
      </c>
      <c r="F1216" s="13" t="s">
        <v>6669</v>
      </c>
      <c r="G1216" s="13">
        <v>2</v>
      </c>
      <c r="H1216" s="13">
        <v>0</v>
      </c>
      <c r="I1216" s="13"/>
      <c r="J1216" s="13" t="s">
        <v>6670</v>
      </c>
      <c r="K1216" s="13" t="s">
        <v>6671</v>
      </c>
    </row>
    <row r="1217" spans="1:11" x14ac:dyDescent="0.3">
      <c r="A1217" s="13" t="s">
        <v>6492</v>
      </c>
      <c r="B1217" s="13" t="s">
        <v>6659</v>
      </c>
      <c r="C1217" s="13" t="s">
        <v>6672</v>
      </c>
      <c r="D1217" s="13"/>
      <c r="E1217" s="13">
        <v>3</v>
      </c>
      <c r="F1217" s="13" t="s">
        <v>6673</v>
      </c>
      <c r="G1217" s="13">
        <v>2</v>
      </c>
      <c r="H1217" s="13">
        <v>0</v>
      </c>
      <c r="I1217" s="13"/>
      <c r="J1217" s="13" t="s">
        <v>6674</v>
      </c>
      <c r="K1217" s="13" t="s">
        <v>6675</v>
      </c>
    </row>
    <row r="1218" spans="1:11" x14ac:dyDescent="0.3">
      <c r="A1218" s="13" t="s">
        <v>6492</v>
      </c>
      <c r="B1218" s="13" t="s">
        <v>6659</v>
      </c>
      <c r="C1218" s="13" t="s">
        <v>6676</v>
      </c>
      <c r="D1218" s="13"/>
      <c r="E1218" s="13">
        <v>3</v>
      </c>
      <c r="F1218" s="13" t="s">
        <v>6677</v>
      </c>
      <c r="G1218" s="13">
        <v>32</v>
      </c>
      <c r="H1218" s="13">
        <v>0</v>
      </c>
      <c r="I1218" s="13"/>
      <c r="J1218" s="13" t="s">
        <v>6678</v>
      </c>
      <c r="K1218" s="13" t="s">
        <v>6679</v>
      </c>
    </row>
    <row r="1219" spans="1:11" x14ac:dyDescent="0.3">
      <c r="A1219" s="13" t="s">
        <v>6492</v>
      </c>
      <c r="B1219" s="13" t="s">
        <v>6659</v>
      </c>
      <c r="C1219" s="13" t="s">
        <v>6680</v>
      </c>
      <c r="D1219" s="13"/>
      <c r="E1219" s="13">
        <v>3</v>
      </c>
      <c r="F1219" s="13" t="s">
        <v>6681</v>
      </c>
      <c r="G1219" s="13">
        <v>7</v>
      </c>
      <c r="H1219" s="13">
        <v>0</v>
      </c>
      <c r="I1219" s="13"/>
      <c r="J1219" s="13" t="s">
        <v>6682</v>
      </c>
      <c r="K1219" s="13" t="s">
        <v>6683</v>
      </c>
    </row>
    <row r="1220" spans="1:11" x14ac:dyDescent="0.3">
      <c r="A1220" s="13" t="s">
        <v>6492</v>
      </c>
      <c r="B1220" s="13" t="s">
        <v>6684</v>
      </c>
      <c r="C1220" s="13"/>
      <c r="D1220" s="13"/>
      <c r="E1220" s="13">
        <v>2</v>
      </c>
      <c r="F1220" s="13" t="s">
        <v>6685</v>
      </c>
      <c r="G1220" s="13">
        <v>1</v>
      </c>
      <c r="H1220" s="13">
        <v>0</v>
      </c>
      <c r="I1220" s="13"/>
      <c r="J1220" s="13" t="s">
        <v>6686</v>
      </c>
      <c r="K1220" s="13" t="s">
        <v>6687</v>
      </c>
    </row>
    <row r="1221" spans="1:11" x14ac:dyDescent="0.3">
      <c r="A1221" s="13" t="s">
        <v>6492</v>
      </c>
      <c r="B1221" s="13" t="s">
        <v>6688</v>
      </c>
      <c r="C1221" s="13"/>
      <c r="D1221" s="13"/>
      <c r="E1221" s="13">
        <v>2</v>
      </c>
      <c r="F1221" s="13" t="s">
        <v>6689</v>
      </c>
      <c r="G1221" s="13">
        <v>1</v>
      </c>
      <c r="H1221" s="13">
        <v>0</v>
      </c>
      <c r="I1221" s="13"/>
      <c r="J1221" s="13" t="s">
        <v>6690</v>
      </c>
      <c r="K1221" s="13" t="s">
        <v>6691</v>
      </c>
    </row>
    <row r="1222" spans="1:11" x14ac:dyDescent="0.3">
      <c r="A1222" s="13" t="s">
        <v>6492</v>
      </c>
      <c r="B1222" s="13" t="s">
        <v>6692</v>
      </c>
      <c r="C1222" s="13"/>
      <c r="D1222" s="13"/>
      <c r="E1222" s="13">
        <v>2</v>
      </c>
      <c r="F1222" s="13" t="s">
        <v>6693</v>
      </c>
      <c r="G1222" s="13">
        <v>1</v>
      </c>
      <c r="H1222" s="13">
        <v>0</v>
      </c>
      <c r="I1222" s="13"/>
      <c r="J1222" s="13" t="s">
        <v>6694</v>
      </c>
      <c r="K1222" s="13" t="s">
        <v>6695</v>
      </c>
    </row>
    <row r="1223" spans="1:11" x14ac:dyDescent="0.3">
      <c r="A1223" s="13" t="s">
        <v>6492</v>
      </c>
      <c r="B1223" s="13" t="s">
        <v>3083</v>
      </c>
      <c r="C1223" s="13" t="s">
        <v>6696</v>
      </c>
      <c r="D1223" s="13"/>
      <c r="E1223" s="13">
        <v>3</v>
      </c>
      <c r="F1223" s="13" t="s">
        <v>6697</v>
      </c>
      <c r="G1223" s="13">
        <v>1</v>
      </c>
      <c r="H1223" s="13">
        <v>0</v>
      </c>
      <c r="I1223" s="13"/>
      <c r="J1223" s="13" t="s">
        <v>6698</v>
      </c>
      <c r="K1223" s="13" t="s">
        <v>6699</v>
      </c>
    </row>
    <row r="1224" spans="1:11" x14ac:dyDescent="0.3">
      <c r="A1224" s="13" t="s">
        <v>6492</v>
      </c>
      <c r="B1224" s="13" t="s">
        <v>3083</v>
      </c>
      <c r="C1224" s="13" t="s">
        <v>6700</v>
      </c>
      <c r="D1224" s="13"/>
      <c r="E1224" s="13">
        <v>3</v>
      </c>
      <c r="F1224" s="13" t="s">
        <v>6701</v>
      </c>
      <c r="G1224" s="13">
        <v>6</v>
      </c>
      <c r="H1224" s="13">
        <v>0</v>
      </c>
      <c r="I1224" s="13"/>
      <c r="J1224" s="13" t="s">
        <v>6702</v>
      </c>
      <c r="K1224" s="13" t="s">
        <v>6703</v>
      </c>
    </row>
    <row r="1225" spans="1:11" x14ac:dyDescent="0.3">
      <c r="A1225" s="13" t="s">
        <v>6492</v>
      </c>
      <c r="B1225" s="13" t="s">
        <v>3083</v>
      </c>
      <c r="C1225" s="13" t="s">
        <v>6704</v>
      </c>
      <c r="D1225" s="13"/>
      <c r="E1225" s="13">
        <v>3</v>
      </c>
      <c r="F1225" s="13" t="s">
        <v>6705</v>
      </c>
      <c r="G1225" s="13">
        <v>3</v>
      </c>
      <c r="H1225" s="13">
        <v>0</v>
      </c>
      <c r="I1225" s="13"/>
      <c r="J1225" s="13" t="s">
        <v>6706</v>
      </c>
      <c r="K1225" s="13" t="s">
        <v>6707</v>
      </c>
    </row>
    <row r="1226" spans="1:11" x14ac:dyDescent="0.3">
      <c r="A1226" s="13" t="s">
        <v>6492</v>
      </c>
      <c r="B1226" s="13" t="s">
        <v>3083</v>
      </c>
      <c r="C1226" s="13" t="s">
        <v>6708</v>
      </c>
      <c r="D1226" s="13"/>
      <c r="E1226" s="13">
        <v>3</v>
      </c>
      <c r="F1226" s="13" t="s">
        <v>6709</v>
      </c>
      <c r="G1226" s="13">
        <v>2</v>
      </c>
      <c r="H1226" s="13">
        <v>0</v>
      </c>
      <c r="I1226" s="13"/>
      <c r="J1226" s="13" t="s">
        <v>6710</v>
      </c>
      <c r="K1226" s="13" t="s">
        <v>6711</v>
      </c>
    </row>
    <row r="1227" spans="1:11" x14ac:dyDescent="0.3">
      <c r="A1227" s="13" t="s">
        <v>6492</v>
      </c>
      <c r="B1227" s="13" t="s">
        <v>6712</v>
      </c>
      <c r="C1227" s="13"/>
      <c r="D1227" s="13"/>
      <c r="E1227" s="13">
        <v>2</v>
      </c>
      <c r="F1227" s="13" t="s">
        <v>6713</v>
      </c>
      <c r="G1227" s="13">
        <v>4</v>
      </c>
      <c r="H1227" s="13">
        <v>0</v>
      </c>
      <c r="I1227" s="13"/>
      <c r="J1227" s="13" t="s">
        <v>6714</v>
      </c>
      <c r="K1227" s="13" t="s">
        <v>6715</v>
      </c>
    </row>
    <row r="1228" spans="1:11" x14ac:dyDescent="0.3">
      <c r="A1228" s="13" t="s">
        <v>6492</v>
      </c>
      <c r="B1228" s="13" t="s">
        <v>6716</v>
      </c>
      <c r="C1228" s="13"/>
      <c r="D1228" s="13"/>
      <c r="E1228" s="13">
        <v>2</v>
      </c>
      <c r="F1228" s="13" t="s">
        <v>6717</v>
      </c>
      <c r="G1228" s="13">
        <v>10</v>
      </c>
      <c r="H1228" s="13">
        <v>0</v>
      </c>
      <c r="I1228" s="13"/>
      <c r="J1228" s="13" t="s">
        <v>6718</v>
      </c>
      <c r="K1228" s="13" t="s">
        <v>6719</v>
      </c>
    </row>
    <row r="1229" spans="1:11" x14ac:dyDescent="0.3">
      <c r="A1229" s="13" t="s">
        <v>6492</v>
      </c>
      <c r="B1229" s="13" t="s">
        <v>6720</v>
      </c>
      <c r="C1229" s="13" t="s">
        <v>6721</v>
      </c>
      <c r="D1229" s="13"/>
      <c r="E1229" s="13">
        <v>3</v>
      </c>
      <c r="F1229" s="13" t="s">
        <v>6722</v>
      </c>
      <c r="G1229" s="13">
        <v>84</v>
      </c>
      <c r="H1229" s="13">
        <v>0</v>
      </c>
      <c r="I1229" s="13"/>
      <c r="J1229" s="13" t="s">
        <v>6723</v>
      </c>
      <c r="K1229" s="13" t="s">
        <v>6724</v>
      </c>
    </row>
    <row r="1230" spans="1:11" x14ac:dyDescent="0.3">
      <c r="A1230" s="13" t="s">
        <v>6492</v>
      </c>
      <c r="B1230" s="13" t="s">
        <v>6725</v>
      </c>
      <c r="C1230" s="13"/>
      <c r="D1230" s="13"/>
      <c r="E1230" s="13">
        <v>2</v>
      </c>
      <c r="F1230" s="13" t="s">
        <v>6726</v>
      </c>
      <c r="G1230" s="13">
        <v>5</v>
      </c>
      <c r="H1230" s="13">
        <v>0</v>
      </c>
      <c r="I1230" s="13"/>
      <c r="J1230" s="13" t="s">
        <v>6727</v>
      </c>
      <c r="K1230" s="13" t="s">
        <v>6728</v>
      </c>
    </row>
    <row r="1231" spans="1:11" x14ac:dyDescent="0.3">
      <c r="A1231" s="13" t="s">
        <v>6492</v>
      </c>
      <c r="B1231" s="13" t="s">
        <v>6729</v>
      </c>
      <c r="C1231" s="13"/>
      <c r="D1231" s="13"/>
      <c r="E1231" s="13">
        <v>2</v>
      </c>
      <c r="F1231" s="13" t="s">
        <v>6730</v>
      </c>
      <c r="G1231" s="13">
        <v>1</v>
      </c>
      <c r="H1231" s="13">
        <v>0</v>
      </c>
      <c r="I1231" s="13"/>
      <c r="J1231" s="13" t="s">
        <v>6731</v>
      </c>
      <c r="K1231" s="13" t="s">
        <v>6732</v>
      </c>
    </row>
    <row r="1232" spans="1:11" x14ac:dyDescent="0.3">
      <c r="A1232" s="13" t="s">
        <v>6492</v>
      </c>
      <c r="B1232" s="13" t="s">
        <v>6733</v>
      </c>
      <c r="C1232" s="13"/>
      <c r="D1232" s="13"/>
      <c r="E1232" s="13">
        <v>2</v>
      </c>
      <c r="F1232" s="13" t="s">
        <v>6734</v>
      </c>
      <c r="G1232" s="13">
        <v>4</v>
      </c>
      <c r="H1232" s="13">
        <v>0</v>
      </c>
      <c r="I1232" s="13"/>
      <c r="J1232" s="13" t="s">
        <v>6735</v>
      </c>
      <c r="K1232" s="13" t="s">
        <v>6736</v>
      </c>
    </row>
    <row r="1233" spans="1:11" x14ac:dyDescent="0.3">
      <c r="A1233" s="13" t="s">
        <v>6737</v>
      </c>
      <c r="B1233" s="13" t="s">
        <v>6738</v>
      </c>
      <c r="C1233" s="13"/>
      <c r="D1233" s="13"/>
      <c r="E1233" s="13">
        <v>2</v>
      </c>
      <c r="F1233" s="13" t="s">
        <v>6739</v>
      </c>
      <c r="G1233" s="13">
        <v>119</v>
      </c>
      <c r="H1233" s="13">
        <v>0</v>
      </c>
      <c r="I1233" s="13"/>
      <c r="J1233" s="13" t="s">
        <v>6740</v>
      </c>
      <c r="K1233" s="13" t="s">
        <v>6741</v>
      </c>
    </row>
    <row r="1234" spans="1:11" x14ac:dyDescent="0.3">
      <c r="A1234" s="13" t="s">
        <v>6742</v>
      </c>
      <c r="B1234" s="13" t="s">
        <v>6743</v>
      </c>
      <c r="C1234" s="13"/>
      <c r="D1234" s="13"/>
      <c r="E1234" s="13">
        <v>2</v>
      </c>
      <c r="F1234" s="13" t="s">
        <v>6744</v>
      </c>
      <c r="G1234" s="13">
        <v>7</v>
      </c>
      <c r="H1234" s="13">
        <v>0</v>
      </c>
      <c r="I1234" s="13"/>
      <c r="J1234" s="13" t="s">
        <v>6745</v>
      </c>
      <c r="K1234" s="13" t="s">
        <v>6746</v>
      </c>
    </row>
    <row r="1235" spans="1:11" x14ac:dyDescent="0.3">
      <c r="A1235" s="13" t="s">
        <v>6742</v>
      </c>
      <c r="B1235" s="13" t="s">
        <v>6747</v>
      </c>
      <c r="C1235" s="13"/>
      <c r="D1235" s="13"/>
      <c r="E1235" s="13">
        <v>2</v>
      </c>
      <c r="F1235" s="13" t="s">
        <v>6748</v>
      </c>
      <c r="G1235" s="13">
        <v>2</v>
      </c>
      <c r="H1235" s="13">
        <v>0</v>
      </c>
      <c r="I1235" s="13"/>
      <c r="J1235" s="13" t="s">
        <v>6749</v>
      </c>
      <c r="K1235" s="13" t="s">
        <v>6750</v>
      </c>
    </row>
    <row r="1236" spans="1:11" x14ac:dyDescent="0.3">
      <c r="A1236" s="13" t="s">
        <v>6742</v>
      </c>
      <c r="B1236" s="13" t="s">
        <v>6751</v>
      </c>
      <c r="C1236" s="13"/>
      <c r="D1236" s="13"/>
      <c r="E1236" s="13">
        <v>2</v>
      </c>
      <c r="F1236" s="13" t="s">
        <v>6752</v>
      </c>
      <c r="G1236" s="13">
        <v>2</v>
      </c>
      <c r="H1236" s="13">
        <v>0</v>
      </c>
      <c r="I1236" s="13"/>
      <c r="J1236" s="13" t="s">
        <v>6753</v>
      </c>
      <c r="K1236" s="13" t="s">
        <v>6754</v>
      </c>
    </row>
    <row r="1237" spans="1:11" x14ac:dyDescent="0.3">
      <c r="A1237" s="13" t="s">
        <v>6742</v>
      </c>
      <c r="B1237" s="13" t="s">
        <v>6755</v>
      </c>
      <c r="C1237" s="13"/>
      <c r="D1237" s="13"/>
      <c r="E1237" s="13">
        <v>2</v>
      </c>
      <c r="F1237" s="13" t="s">
        <v>6756</v>
      </c>
      <c r="G1237" s="13">
        <v>6</v>
      </c>
      <c r="H1237" s="13">
        <v>0</v>
      </c>
      <c r="I1237" s="13"/>
      <c r="J1237" s="13" t="s">
        <v>6757</v>
      </c>
      <c r="K1237" s="13" t="s">
        <v>6758</v>
      </c>
    </row>
    <row r="1238" spans="1:11" x14ac:dyDescent="0.3">
      <c r="A1238" s="13" t="s">
        <v>6742</v>
      </c>
      <c r="B1238" s="13" t="s">
        <v>6759</v>
      </c>
      <c r="C1238" s="13"/>
      <c r="D1238" s="13"/>
      <c r="E1238" s="13">
        <v>2</v>
      </c>
      <c r="F1238" s="13" t="s">
        <v>6760</v>
      </c>
      <c r="G1238" s="13">
        <v>71</v>
      </c>
      <c r="H1238" s="13">
        <v>0</v>
      </c>
      <c r="I1238" s="13"/>
      <c r="J1238" s="13" t="s">
        <v>6761</v>
      </c>
      <c r="K1238" s="13" t="s">
        <v>6762</v>
      </c>
    </row>
    <row r="1239" spans="1:11" x14ac:dyDescent="0.3">
      <c r="A1239" s="13" t="s">
        <v>6742</v>
      </c>
      <c r="B1239" s="13" t="s">
        <v>6763</v>
      </c>
      <c r="C1239" s="13"/>
      <c r="D1239" s="13"/>
      <c r="E1239" s="13">
        <v>2</v>
      </c>
      <c r="F1239" s="13" t="s">
        <v>6764</v>
      </c>
      <c r="G1239" s="13">
        <v>519</v>
      </c>
      <c r="H1239" s="13">
        <v>0</v>
      </c>
      <c r="I1239" s="13"/>
      <c r="J1239" s="13" t="s">
        <v>6765</v>
      </c>
      <c r="K1239" s="13" t="s">
        <v>6766</v>
      </c>
    </row>
    <row r="1240" spans="1:11" x14ac:dyDescent="0.3">
      <c r="A1240" s="13" t="s">
        <v>6742</v>
      </c>
      <c r="B1240" s="13" t="s">
        <v>6767</v>
      </c>
      <c r="C1240" s="13"/>
      <c r="D1240" s="13"/>
      <c r="E1240" s="13">
        <v>2</v>
      </c>
      <c r="F1240" s="13" t="s">
        <v>6768</v>
      </c>
      <c r="G1240" s="13">
        <v>10</v>
      </c>
      <c r="H1240" s="13">
        <v>0</v>
      </c>
      <c r="I1240" s="13"/>
      <c r="J1240" s="13" t="s">
        <v>6769</v>
      </c>
      <c r="K1240" s="13" t="s">
        <v>6770</v>
      </c>
    </row>
    <row r="1241" spans="1:11" x14ac:dyDescent="0.3">
      <c r="A1241" s="13" t="s">
        <v>6771</v>
      </c>
      <c r="B1241" s="13" t="s">
        <v>6772</v>
      </c>
      <c r="C1241" s="13" t="s">
        <v>6773</v>
      </c>
      <c r="D1241" s="13" t="s">
        <v>6774</v>
      </c>
      <c r="E1241" s="13">
        <v>4</v>
      </c>
      <c r="F1241" s="13" t="s">
        <v>6775</v>
      </c>
      <c r="G1241" s="13">
        <v>7</v>
      </c>
      <c r="H1241" s="13">
        <v>0</v>
      </c>
      <c r="I1241" s="13"/>
      <c r="J1241" s="13" t="s">
        <v>6776</v>
      </c>
      <c r="K1241" s="13" t="s">
        <v>6777</v>
      </c>
    </row>
    <row r="1242" spans="1:11" x14ac:dyDescent="0.3">
      <c r="A1242" s="13" t="s">
        <v>6771</v>
      </c>
      <c r="B1242" s="13" t="s">
        <v>6772</v>
      </c>
      <c r="C1242" s="13" t="s">
        <v>6773</v>
      </c>
      <c r="D1242" s="13" t="s">
        <v>6778</v>
      </c>
      <c r="E1242" s="13">
        <v>4</v>
      </c>
      <c r="F1242" s="13" t="s">
        <v>6779</v>
      </c>
      <c r="G1242" s="13">
        <v>21</v>
      </c>
      <c r="H1242" s="13">
        <v>0</v>
      </c>
      <c r="I1242" s="13"/>
      <c r="J1242" s="13" t="s">
        <v>6780</v>
      </c>
      <c r="K1242" s="13" t="s">
        <v>6781</v>
      </c>
    </row>
    <row r="1243" spans="1:11" x14ac:dyDescent="0.3">
      <c r="A1243" s="13" t="s">
        <v>6771</v>
      </c>
      <c r="B1243" s="13" t="s">
        <v>6772</v>
      </c>
      <c r="C1243" s="13" t="s">
        <v>6773</v>
      </c>
      <c r="D1243" s="13" t="s">
        <v>6782</v>
      </c>
      <c r="E1243" s="13">
        <v>4</v>
      </c>
      <c r="F1243" s="13" t="s">
        <v>6783</v>
      </c>
      <c r="G1243" s="13">
        <v>10</v>
      </c>
      <c r="H1243" s="13">
        <v>0</v>
      </c>
      <c r="I1243" s="13"/>
      <c r="J1243" s="13" t="s">
        <v>6784</v>
      </c>
      <c r="K1243" s="13" t="s">
        <v>6785</v>
      </c>
    </row>
    <row r="1244" spans="1:11" x14ac:dyDescent="0.3">
      <c r="A1244" s="13" t="s">
        <v>6771</v>
      </c>
      <c r="B1244" s="13" t="s">
        <v>6772</v>
      </c>
      <c r="C1244" s="13" t="s">
        <v>6773</v>
      </c>
      <c r="D1244" s="13" t="s">
        <v>6786</v>
      </c>
      <c r="E1244" s="13">
        <v>4</v>
      </c>
      <c r="F1244" s="13" t="s">
        <v>6787</v>
      </c>
      <c r="G1244" s="13">
        <v>176</v>
      </c>
      <c r="H1244" s="13">
        <v>0</v>
      </c>
      <c r="I1244" s="13"/>
      <c r="J1244" s="13" t="s">
        <v>6788</v>
      </c>
      <c r="K1244" s="13" t="s">
        <v>6789</v>
      </c>
    </row>
  </sheetData>
  <autoFilter ref="A4:K1244" xr:uid="{00000000-0009-0000-0000-00000E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FINAL</vt:lpstr>
      <vt:lpstr>Executive Summary</vt:lpstr>
      <vt:lpstr>Top 20 Recommendations</vt:lpstr>
      <vt:lpstr>Segment Map</vt:lpstr>
      <vt:lpstr>Hero Criteria</vt:lpstr>
      <vt:lpstr>Competitor Criteria</vt:lpstr>
      <vt:lpstr>Your List Review</vt:lpstr>
      <vt:lpstr>Selection Criteria</vt:lpstr>
      <vt:lpstr>Path Scorecard</vt:lpstr>
      <vt:lpstr>Hero Segmentation</vt:lpstr>
      <vt:lpstr>Primary Competitor Fit</vt:lpstr>
      <vt:lpstr>Secondary Competitor Fit</vt:lpstr>
      <vt:lpstr>Competitor Profiles</vt:lpstr>
      <vt:lpstr>Parked &amp; Excluded</vt:lpstr>
      <vt:lpstr>Evidence &amp; Sources</vt:lpstr>
      <vt:lpstr>Staples Tree 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DVN Sai Sandeep</cp:lastModifiedBy>
  <dcterms:created xsi:type="dcterms:W3CDTF">2026-09-29T07:36:14Z</dcterms:created>
  <dcterms:modified xsi:type="dcterms:W3CDTF">2026-09-29T07:48:46Z</dcterms:modified>
</cp:coreProperties>
</file>