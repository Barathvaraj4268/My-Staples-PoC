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atentview\Staples PoC\2. AL PoC\V1 - Categ from the scratch\outputs\research\"/>
    </mc:Choice>
  </mc:AlternateContent>
  <xr:revisionPtr revIDLastSave="0" documentId="13_ncr:1_{C4DC553B-83C9-4EB7-BAA7-60DC17483A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ve Summary" sheetId="1" r:id="rId1"/>
    <sheet name="Segment Map" sheetId="2" r:id="rId2"/>
    <sheet name="Your List Review" sheetId="3" r:id="rId3"/>
    <sheet name="Recommended Paths" sheetId="4" r:id="rId4"/>
    <sheet name="Selection Criteria" sheetId="5" r:id="rId5"/>
    <sheet name="Path Scorecard" sheetId="6" r:id="rId6"/>
    <sheet name="Hero Segmentation" sheetId="7" r:id="rId7"/>
    <sheet name="Competitor Fit" sheetId="8" r:id="rId8"/>
    <sheet name="Competitor Profiles" sheetId="9" r:id="rId9"/>
    <sheet name="Parked &amp; Excluded" sheetId="10" r:id="rId10"/>
    <sheet name="Evidence &amp; Sources" sheetId="11" r:id="rId11"/>
    <sheet name="Staples Tree Extract" sheetId="12" r:id="rId12"/>
  </sheets>
  <definedNames>
    <definedName name="_xlnm._FilterDatabase" localSheetId="7" hidden="1">'Competitor Fit'!$A$4:$L$103</definedName>
    <definedName name="_xlnm._FilterDatabase" localSheetId="6" hidden="1">'Hero Segmentation'!$A$4:$T$71</definedName>
    <definedName name="_xlnm._FilterDatabase" localSheetId="5" hidden="1">'Path Scorecard'!$A$4:$AG$71</definedName>
    <definedName name="_xlnm._FilterDatabase" localSheetId="3" hidden="1">'Recommended Paths'!$A$4:$T$37</definedName>
    <definedName name="_xlnm._FilterDatabase" localSheetId="11" hidden="1">'Staples Tree Extract'!$A$4:$K$1244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1" i="7" l="1"/>
  <c r="H71" i="7"/>
  <c r="G71" i="7"/>
  <c r="O70" i="7"/>
  <c r="H70" i="7"/>
  <c r="G70" i="7"/>
  <c r="O69" i="7"/>
  <c r="H69" i="7"/>
  <c r="G69" i="7"/>
  <c r="O68" i="7"/>
  <c r="H68" i="7"/>
  <c r="G68" i="7"/>
  <c r="O67" i="7"/>
  <c r="H67" i="7"/>
  <c r="G67" i="7"/>
  <c r="O66" i="7"/>
  <c r="H66" i="7"/>
  <c r="G66" i="7"/>
  <c r="O65" i="7"/>
  <c r="H65" i="7"/>
  <c r="G65" i="7"/>
  <c r="O64" i="7"/>
  <c r="H64" i="7"/>
  <c r="G64" i="7"/>
  <c r="O63" i="7"/>
  <c r="H63" i="7"/>
  <c r="G63" i="7"/>
  <c r="O62" i="7"/>
  <c r="H62" i="7"/>
  <c r="G62" i="7"/>
  <c r="O61" i="7"/>
  <c r="H61" i="7"/>
  <c r="G61" i="7"/>
  <c r="O60" i="7"/>
  <c r="H60" i="7"/>
  <c r="G60" i="7"/>
  <c r="O59" i="7"/>
  <c r="H59" i="7"/>
  <c r="G59" i="7"/>
  <c r="O58" i="7"/>
  <c r="H58" i="7"/>
  <c r="G58" i="7"/>
  <c r="O57" i="7"/>
  <c r="H57" i="7"/>
  <c r="G57" i="7"/>
  <c r="O56" i="7"/>
  <c r="H56" i="7"/>
  <c r="G56" i="7"/>
  <c r="O55" i="7"/>
  <c r="H55" i="7"/>
  <c r="G55" i="7"/>
  <c r="O54" i="7"/>
  <c r="H54" i="7"/>
  <c r="G54" i="7"/>
  <c r="O53" i="7"/>
  <c r="H53" i="7"/>
  <c r="G53" i="7"/>
  <c r="O52" i="7"/>
  <c r="H52" i="7"/>
  <c r="G52" i="7"/>
  <c r="O51" i="7"/>
  <c r="H51" i="7"/>
  <c r="G51" i="7"/>
  <c r="O50" i="7"/>
  <c r="H50" i="7"/>
  <c r="G50" i="7"/>
  <c r="O49" i="7"/>
  <c r="H49" i="7"/>
  <c r="G49" i="7"/>
  <c r="O48" i="7"/>
  <c r="H48" i="7"/>
  <c r="G48" i="7"/>
  <c r="O47" i="7"/>
  <c r="H47" i="7"/>
  <c r="G47" i="7"/>
  <c r="O46" i="7"/>
  <c r="H46" i="7"/>
  <c r="G46" i="7"/>
  <c r="O45" i="7"/>
  <c r="H45" i="7"/>
  <c r="G45" i="7"/>
  <c r="O44" i="7"/>
  <c r="H44" i="7"/>
  <c r="G44" i="7"/>
  <c r="O43" i="7"/>
  <c r="H43" i="7"/>
  <c r="G43" i="7"/>
  <c r="O42" i="7"/>
  <c r="H42" i="7"/>
  <c r="G42" i="7"/>
  <c r="O41" i="7"/>
  <c r="H41" i="7"/>
  <c r="G41" i="7"/>
  <c r="O40" i="7"/>
  <c r="H40" i="7"/>
  <c r="G40" i="7"/>
  <c r="O39" i="7"/>
  <c r="P39" i="7" s="1"/>
  <c r="H39" i="7"/>
  <c r="G39" i="7"/>
  <c r="O38" i="7"/>
  <c r="P38" i="7" s="1"/>
  <c r="H38" i="7"/>
  <c r="G38" i="7"/>
  <c r="O37" i="7"/>
  <c r="H37" i="7"/>
  <c r="G37" i="7"/>
  <c r="O36" i="7"/>
  <c r="H36" i="7"/>
  <c r="G36" i="7"/>
  <c r="O35" i="7"/>
  <c r="H35" i="7"/>
  <c r="G35" i="7"/>
  <c r="O34" i="7"/>
  <c r="H34" i="7"/>
  <c r="G34" i="7"/>
  <c r="O33" i="7"/>
  <c r="H33" i="7"/>
  <c r="G33" i="7"/>
  <c r="O32" i="7"/>
  <c r="H32" i="7"/>
  <c r="G32" i="7"/>
  <c r="O31" i="7"/>
  <c r="H31" i="7"/>
  <c r="G31" i="7"/>
  <c r="O30" i="7"/>
  <c r="H30" i="7"/>
  <c r="G30" i="7"/>
  <c r="O29" i="7"/>
  <c r="H29" i="7"/>
  <c r="G29" i="7"/>
  <c r="O28" i="7"/>
  <c r="H28" i="7"/>
  <c r="G28" i="7"/>
  <c r="O27" i="7"/>
  <c r="H27" i="7"/>
  <c r="G27" i="7"/>
  <c r="O26" i="7"/>
  <c r="H26" i="7"/>
  <c r="G26" i="7"/>
  <c r="O25" i="7"/>
  <c r="H25" i="7"/>
  <c r="G25" i="7"/>
  <c r="O24" i="7"/>
  <c r="H24" i="7"/>
  <c r="G24" i="7"/>
  <c r="O23" i="7"/>
  <c r="H23" i="7"/>
  <c r="G23" i="7"/>
  <c r="O22" i="7"/>
  <c r="H22" i="7"/>
  <c r="G22" i="7"/>
  <c r="O21" i="7"/>
  <c r="H21" i="7"/>
  <c r="G21" i="7"/>
  <c r="O20" i="7"/>
  <c r="H20" i="7"/>
  <c r="G20" i="7"/>
  <c r="O19" i="7"/>
  <c r="H19" i="7"/>
  <c r="G19" i="7"/>
  <c r="O18" i="7"/>
  <c r="H18" i="7"/>
  <c r="G18" i="7"/>
  <c r="O17" i="7"/>
  <c r="H17" i="7"/>
  <c r="G17" i="7"/>
  <c r="O16" i="7"/>
  <c r="H16" i="7"/>
  <c r="G16" i="7"/>
  <c r="O15" i="7"/>
  <c r="H15" i="7"/>
  <c r="G15" i="7"/>
  <c r="O14" i="7"/>
  <c r="H14" i="7"/>
  <c r="G14" i="7"/>
  <c r="O13" i="7"/>
  <c r="H13" i="7"/>
  <c r="G13" i="7"/>
  <c r="O12" i="7"/>
  <c r="H12" i="7"/>
  <c r="G12" i="7"/>
  <c r="O11" i="7"/>
  <c r="H11" i="7"/>
  <c r="G11" i="7"/>
  <c r="O10" i="7"/>
  <c r="H10" i="7"/>
  <c r="G10" i="7"/>
  <c r="O9" i="7"/>
  <c r="H9" i="7"/>
  <c r="G9" i="7"/>
  <c r="O8" i="7"/>
  <c r="H8" i="7"/>
  <c r="G8" i="7"/>
  <c r="O7" i="7"/>
  <c r="H7" i="7"/>
  <c r="G7" i="7"/>
  <c r="O6" i="7"/>
  <c r="H6" i="7"/>
  <c r="G6" i="7"/>
  <c r="O5" i="7"/>
  <c r="H5" i="7"/>
  <c r="G5" i="7"/>
  <c r="N71" i="6"/>
  <c r="L71" i="6"/>
  <c r="P71" i="6" s="1"/>
  <c r="N70" i="6"/>
  <c r="L70" i="6"/>
  <c r="N69" i="6"/>
  <c r="L69" i="6"/>
  <c r="P69" i="6" s="1"/>
  <c r="N68" i="6"/>
  <c r="L68" i="6"/>
  <c r="P68" i="6" s="1"/>
  <c r="N67" i="6"/>
  <c r="L67" i="6"/>
  <c r="P67" i="6" s="1"/>
  <c r="N66" i="6"/>
  <c r="L66" i="6"/>
  <c r="P66" i="6" s="1"/>
  <c r="N65" i="6"/>
  <c r="L65" i="6"/>
  <c r="P65" i="6" s="1"/>
  <c r="N64" i="6"/>
  <c r="L64" i="6"/>
  <c r="P64" i="6" s="1"/>
  <c r="N63" i="6"/>
  <c r="L63" i="6"/>
  <c r="P63" i="6" s="1"/>
  <c r="N62" i="6"/>
  <c r="L62" i="6"/>
  <c r="P62" i="6" s="1"/>
  <c r="N61" i="6"/>
  <c r="L61" i="6"/>
  <c r="P61" i="6" s="1"/>
  <c r="N60" i="6"/>
  <c r="L60" i="6"/>
  <c r="P60" i="6" s="1"/>
  <c r="N59" i="6"/>
  <c r="L59" i="6"/>
  <c r="P59" i="6" s="1"/>
  <c r="N58" i="6"/>
  <c r="L58" i="6"/>
  <c r="P58" i="6" s="1"/>
  <c r="N57" i="6"/>
  <c r="L57" i="6"/>
  <c r="P57" i="6" s="1"/>
  <c r="N56" i="6"/>
  <c r="L56" i="6"/>
  <c r="P56" i="6" s="1"/>
  <c r="N55" i="6"/>
  <c r="L55" i="6"/>
  <c r="P55" i="6" s="1"/>
  <c r="N54" i="6"/>
  <c r="L54" i="6"/>
  <c r="P54" i="6" s="1"/>
  <c r="N53" i="6"/>
  <c r="L53" i="6"/>
  <c r="P53" i="6" s="1"/>
  <c r="N52" i="6"/>
  <c r="L52" i="6"/>
  <c r="P52" i="6" s="1"/>
  <c r="N51" i="6"/>
  <c r="L51" i="6"/>
  <c r="P51" i="6" s="1"/>
  <c r="N50" i="6"/>
  <c r="L50" i="6"/>
  <c r="P50" i="6" s="1"/>
  <c r="N49" i="6"/>
  <c r="L49" i="6"/>
  <c r="P49" i="6" s="1"/>
  <c r="N48" i="6"/>
  <c r="L48" i="6"/>
  <c r="P48" i="6" s="1"/>
  <c r="N47" i="6"/>
  <c r="L47" i="6"/>
  <c r="P47" i="6" s="1"/>
  <c r="N46" i="6"/>
  <c r="L46" i="6"/>
  <c r="P46" i="6" s="1"/>
  <c r="N45" i="6"/>
  <c r="L45" i="6"/>
  <c r="P45" i="6" s="1"/>
  <c r="N44" i="6"/>
  <c r="L44" i="6"/>
  <c r="P44" i="6" s="1"/>
  <c r="N43" i="6"/>
  <c r="L43" i="6"/>
  <c r="P43" i="6" s="1"/>
  <c r="N42" i="6"/>
  <c r="L42" i="6"/>
  <c r="P42" i="6" s="1"/>
  <c r="N41" i="6"/>
  <c r="L41" i="6"/>
  <c r="P41" i="6" s="1"/>
  <c r="N40" i="6"/>
  <c r="L40" i="6"/>
  <c r="P40" i="6" s="1"/>
  <c r="N39" i="6"/>
  <c r="L39" i="6"/>
  <c r="P39" i="6" s="1"/>
  <c r="N38" i="6"/>
  <c r="L38" i="6"/>
  <c r="P38" i="6" s="1"/>
  <c r="N37" i="6"/>
  <c r="L37" i="6"/>
  <c r="P37" i="6" s="1"/>
  <c r="N36" i="6"/>
  <c r="L36" i="6"/>
  <c r="N35" i="6"/>
  <c r="L35" i="6"/>
  <c r="P35" i="6" s="1"/>
  <c r="N34" i="6"/>
  <c r="L34" i="6"/>
  <c r="P34" i="6" s="1"/>
  <c r="N33" i="6"/>
  <c r="L33" i="6"/>
  <c r="P33" i="6" s="1"/>
  <c r="N32" i="6"/>
  <c r="L32" i="6"/>
  <c r="P32" i="6" s="1"/>
  <c r="N31" i="6"/>
  <c r="L31" i="6"/>
  <c r="P31" i="6" s="1"/>
  <c r="N30" i="6"/>
  <c r="L30" i="6"/>
  <c r="P30" i="6" s="1"/>
  <c r="N29" i="6"/>
  <c r="L29" i="6"/>
  <c r="P29" i="6" s="1"/>
  <c r="N28" i="6"/>
  <c r="L28" i="6"/>
  <c r="P28" i="6" s="1"/>
  <c r="N27" i="6"/>
  <c r="L27" i="6"/>
  <c r="P27" i="6" s="1"/>
  <c r="N26" i="6"/>
  <c r="L26" i="6"/>
  <c r="P26" i="6" s="1"/>
  <c r="N25" i="6"/>
  <c r="L25" i="6"/>
  <c r="P25" i="6" s="1"/>
  <c r="N24" i="6"/>
  <c r="L24" i="6"/>
  <c r="P24" i="6" s="1"/>
  <c r="N23" i="6"/>
  <c r="L23" i="6"/>
  <c r="P23" i="6" s="1"/>
  <c r="N22" i="6"/>
  <c r="L22" i="6"/>
  <c r="P22" i="6" s="1"/>
  <c r="N21" i="6"/>
  <c r="L21" i="6"/>
  <c r="P21" i="6" s="1"/>
  <c r="N20" i="6"/>
  <c r="L20" i="6"/>
  <c r="P20" i="6" s="1"/>
  <c r="N19" i="6"/>
  <c r="L19" i="6"/>
  <c r="P19" i="6" s="1"/>
  <c r="N18" i="6"/>
  <c r="L18" i="6"/>
  <c r="P18" i="6" s="1"/>
  <c r="N17" i="6"/>
  <c r="L17" i="6"/>
  <c r="P17" i="6" s="1"/>
  <c r="N16" i="6"/>
  <c r="L16" i="6"/>
  <c r="P16" i="6" s="1"/>
  <c r="N15" i="6"/>
  <c r="L15" i="6"/>
  <c r="P15" i="6" s="1"/>
  <c r="N14" i="6"/>
  <c r="L14" i="6"/>
  <c r="P14" i="6" s="1"/>
  <c r="N13" i="6"/>
  <c r="L13" i="6"/>
  <c r="P13" i="6" s="1"/>
  <c r="N12" i="6"/>
  <c r="L12" i="6"/>
  <c r="P12" i="6" s="1"/>
  <c r="N11" i="6"/>
  <c r="L11" i="6"/>
  <c r="P11" i="6" s="1"/>
  <c r="N10" i="6"/>
  <c r="L10" i="6"/>
  <c r="P10" i="6" s="1"/>
  <c r="N9" i="6"/>
  <c r="L9" i="6"/>
  <c r="P9" i="6" s="1"/>
  <c r="N8" i="6"/>
  <c r="L8" i="6"/>
  <c r="P8" i="6" s="1"/>
  <c r="N7" i="6"/>
  <c r="L7" i="6"/>
  <c r="P7" i="6" s="1"/>
  <c r="N6" i="6"/>
  <c r="L6" i="6"/>
  <c r="N5" i="6"/>
  <c r="L5" i="6"/>
  <c r="P5" i="6" s="1"/>
  <c r="F59" i="5"/>
  <c r="F53" i="5"/>
  <c r="F37" i="5"/>
  <c r="F21" i="5"/>
  <c r="P71" i="7" l="1"/>
  <c r="K71" i="7"/>
  <c r="Q71" i="7" s="1"/>
  <c r="P70" i="7"/>
  <c r="K70" i="7"/>
  <c r="Q70" i="7" s="1"/>
  <c r="P69" i="7"/>
  <c r="K69" i="7"/>
  <c r="Q69" i="7" s="1"/>
  <c r="P68" i="7"/>
  <c r="K68" i="7"/>
  <c r="P67" i="7"/>
  <c r="K67" i="7"/>
  <c r="Q67" i="7" s="1"/>
  <c r="P66" i="7"/>
  <c r="K66" i="7"/>
  <c r="Q66" i="7" s="1"/>
  <c r="P65" i="7"/>
  <c r="K65" i="7"/>
  <c r="Q65" i="7" s="1"/>
  <c r="P64" i="7"/>
  <c r="K64" i="7"/>
  <c r="Q64" i="7" s="1"/>
  <c r="P63" i="7"/>
  <c r="K61" i="7"/>
  <c r="P60" i="7"/>
  <c r="K59" i="7"/>
  <c r="P58" i="7"/>
  <c r="P57" i="7"/>
  <c r="K56" i="7"/>
  <c r="Q56" i="7" s="1"/>
  <c r="P55" i="7"/>
  <c r="K47" i="7"/>
  <c r="Q47" i="7" s="1"/>
  <c r="K42" i="7"/>
  <c r="Q42" i="7" s="1"/>
  <c r="K41" i="7"/>
  <c r="P40" i="7"/>
  <c r="K38" i="7"/>
  <c r="Q38" i="7" s="1"/>
  <c r="K63" i="7"/>
  <c r="P62" i="7"/>
  <c r="K62" i="7"/>
  <c r="Q62" i="7" s="1"/>
  <c r="P61" i="7"/>
  <c r="K60" i="7"/>
  <c r="Q60" i="7" s="1"/>
  <c r="P59" i="7"/>
  <c r="K58" i="7"/>
  <c r="Q58" i="7" s="1"/>
  <c r="K57" i="7"/>
  <c r="Q57" i="7" s="1"/>
  <c r="P56" i="7"/>
  <c r="K55" i="7"/>
  <c r="Q55" i="7" s="1"/>
  <c r="P46" i="7"/>
  <c r="P54" i="7"/>
  <c r="K54" i="7"/>
  <c r="Q54" i="7" s="1"/>
  <c r="P53" i="7"/>
  <c r="K53" i="7"/>
  <c r="Q53" i="7" s="1"/>
  <c r="P52" i="7"/>
  <c r="K52" i="7"/>
  <c r="Q52" i="7" s="1"/>
  <c r="Q52" i="6" s="1"/>
  <c r="AB52" i="6" s="1"/>
  <c r="P51" i="7"/>
  <c r="K51" i="7"/>
  <c r="Q51" i="7" s="1"/>
  <c r="P50" i="7"/>
  <c r="K50" i="7"/>
  <c r="Q50" i="7" s="1"/>
  <c r="P49" i="7"/>
  <c r="K49" i="7"/>
  <c r="Q49" i="7" s="1"/>
  <c r="R49" i="7" s="1"/>
  <c r="AC49" i="6" s="1"/>
  <c r="F25" i="10" s="1"/>
  <c r="P48" i="7"/>
  <c r="K48" i="7"/>
  <c r="Q48" i="7" s="1"/>
  <c r="P47" i="7"/>
  <c r="P41" i="7"/>
  <c r="K46" i="7"/>
  <c r="Q46" i="7" s="1"/>
  <c r="P45" i="7"/>
  <c r="K45" i="7"/>
  <c r="Q45" i="7" s="1"/>
  <c r="P44" i="7"/>
  <c r="K44" i="7"/>
  <c r="Q44" i="7" s="1"/>
  <c r="P43" i="7"/>
  <c r="K43" i="7"/>
  <c r="Q43" i="7" s="1"/>
  <c r="P42" i="7"/>
  <c r="K40" i="7"/>
  <c r="K39" i="7"/>
  <c r="Q39" i="7" s="1"/>
  <c r="P37" i="7"/>
  <c r="K37" i="7"/>
  <c r="Q37" i="7" s="1"/>
  <c r="P36" i="7"/>
  <c r="K36" i="7"/>
  <c r="Q36" i="7" s="1"/>
  <c r="P35" i="7"/>
  <c r="K35" i="7"/>
  <c r="Q35" i="7" s="1"/>
  <c r="P34" i="7"/>
  <c r="K34" i="7"/>
  <c r="Q34" i="7" s="1"/>
  <c r="P33" i="7"/>
  <c r="K33" i="7"/>
  <c r="Q33" i="7" s="1"/>
  <c r="P32" i="7"/>
  <c r="K32" i="7"/>
  <c r="P31" i="7"/>
  <c r="K31" i="7"/>
  <c r="Q31" i="7" s="1"/>
  <c r="P30" i="7"/>
  <c r="K30" i="7"/>
  <c r="Q30" i="7" s="1"/>
  <c r="P29" i="7"/>
  <c r="P23" i="7"/>
  <c r="K22" i="7"/>
  <c r="K21" i="7"/>
  <c r="K29" i="7"/>
  <c r="Q29" i="7" s="1"/>
  <c r="P28" i="7"/>
  <c r="K28" i="7"/>
  <c r="Q28" i="7" s="1"/>
  <c r="P27" i="7"/>
  <c r="K27" i="7"/>
  <c r="Q27" i="7" s="1"/>
  <c r="P26" i="7"/>
  <c r="K26" i="7"/>
  <c r="Q26" i="7" s="1"/>
  <c r="P25" i="7"/>
  <c r="K25" i="7"/>
  <c r="Q25" i="7" s="1"/>
  <c r="P24" i="7"/>
  <c r="K24" i="7"/>
  <c r="Q24" i="7" s="1"/>
  <c r="K23" i="7"/>
  <c r="Q23" i="7" s="1"/>
  <c r="P22" i="7"/>
  <c r="P21" i="7"/>
  <c r="P20" i="7"/>
  <c r="K20" i="7"/>
  <c r="Q20" i="7" s="1"/>
  <c r="P19" i="7"/>
  <c r="K19" i="7"/>
  <c r="Q19" i="7" s="1"/>
  <c r="P18" i="7"/>
  <c r="K18" i="7"/>
  <c r="Q18" i="7" s="1"/>
  <c r="P17" i="7"/>
  <c r="K17" i="7"/>
  <c r="Q17" i="7" s="1"/>
  <c r="P16" i="7"/>
  <c r="K16" i="7"/>
  <c r="Q16" i="7" s="1"/>
  <c r="P15" i="7"/>
  <c r="K15" i="7"/>
  <c r="Q15" i="7" s="1"/>
  <c r="P14" i="7"/>
  <c r="K14" i="7"/>
  <c r="Q14" i="7" s="1"/>
  <c r="P13" i="7"/>
  <c r="K13" i="7"/>
  <c r="Q13" i="7" s="1"/>
  <c r="P12" i="7"/>
  <c r="K12" i="7"/>
  <c r="Q12" i="7" s="1"/>
  <c r="P11" i="7"/>
  <c r="K11" i="7"/>
  <c r="Q11" i="7" s="1"/>
  <c r="P10" i="7"/>
  <c r="K10" i="7"/>
  <c r="Q10" i="7" s="1"/>
  <c r="P9" i="7"/>
  <c r="K9" i="7"/>
  <c r="Q9" i="7" s="1"/>
  <c r="P8" i="7"/>
  <c r="K8" i="7"/>
  <c r="Q8" i="7" s="1"/>
  <c r="P7" i="7"/>
  <c r="K7" i="7"/>
  <c r="Q7" i="7" s="1"/>
  <c r="P6" i="7"/>
  <c r="K6" i="7"/>
  <c r="Q6" i="7" s="1"/>
  <c r="P5" i="7"/>
  <c r="K5" i="7"/>
  <c r="Q5" i="7" s="1"/>
  <c r="P70" i="6"/>
  <c r="P6" i="6"/>
  <c r="P36" i="6"/>
  <c r="E81" i="7"/>
  <c r="Q71" i="6"/>
  <c r="R71" i="7"/>
  <c r="AC71" i="6" s="1"/>
  <c r="C81" i="7"/>
  <c r="R70" i="7"/>
  <c r="AC70" i="6" s="1"/>
  <c r="F12" i="10" s="1"/>
  <c r="E101" i="7"/>
  <c r="C101" i="7"/>
  <c r="Q70" i="6"/>
  <c r="E12" i="10" s="1"/>
  <c r="R69" i="7"/>
  <c r="AC69" i="6" s="1"/>
  <c r="F11" i="10" s="1"/>
  <c r="C102" i="7"/>
  <c r="D102" i="7"/>
  <c r="Q69" i="6"/>
  <c r="E11" i="10" s="1"/>
  <c r="R67" i="7"/>
  <c r="AC67" i="6" s="1"/>
  <c r="Q67" i="6"/>
  <c r="R66" i="7"/>
  <c r="AC66" i="6" s="1"/>
  <c r="D111" i="7"/>
  <c r="E111" i="7"/>
  <c r="Q66" i="6"/>
  <c r="R65" i="7"/>
  <c r="AC65" i="6" s="1"/>
  <c r="D106" i="7"/>
  <c r="E106" i="7"/>
  <c r="Q65" i="6"/>
  <c r="R64" i="7"/>
  <c r="AC64" i="6" s="1"/>
  <c r="F6" i="10" s="1"/>
  <c r="E93" i="7"/>
  <c r="D93" i="7"/>
  <c r="Q64" i="6"/>
  <c r="E6" i="10" s="1"/>
  <c r="R62" i="7"/>
  <c r="AC62" i="6" s="1"/>
  <c r="Q62" i="6"/>
  <c r="R60" i="7"/>
  <c r="AC60" i="6" s="1"/>
  <c r="F36" i="10" s="1"/>
  <c r="D89" i="7"/>
  <c r="C89" i="7"/>
  <c r="Q60" i="6"/>
  <c r="E36" i="10" s="1"/>
  <c r="R58" i="7"/>
  <c r="AC58" i="6" s="1"/>
  <c r="F34" i="10" s="1"/>
  <c r="Q58" i="6"/>
  <c r="E34" i="10" s="1"/>
  <c r="R57" i="7"/>
  <c r="AC57" i="6" s="1"/>
  <c r="F33" i="10" s="1"/>
  <c r="Q57" i="6"/>
  <c r="E33" i="10" s="1"/>
  <c r="R56" i="7"/>
  <c r="AC56" i="6" s="1"/>
  <c r="F32" i="10" s="1"/>
  <c r="D90" i="7"/>
  <c r="E90" i="7"/>
  <c r="Q56" i="6"/>
  <c r="E32" i="10" s="1"/>
  <c r="R55" i="7"/>
  <c r="AC55" i="6" s="1"/>
  <c r="F31" i="10" s="1"/>
  <c r="C100" i="7"/>
  <c r="D100" i="7"/>
  <c r="Q55" i="6"/>
  <c r="E31" i="10" s="1"/>
  <c r="R54" i="7"/>
  <c r="AC54" i="6" s="1"/>
  <c r="C76" i="7"/>
  <c r="D76" i="7"/>
  <c r="Q54" i="6"/>
  <c r="AB54" i="6" s="1"/>
  <c r="R53" i="7"/>
  <c r="AC53" i="6" s="1"/>
  <c r="F29" i="10" s="1"/>
  <c r="C98" i="7"/>
  <c r="D98" i="7"/>
  <c r="Q53" i="6"/>
  <c r="R52" i="7"/>
  <c r="AC52" i="6" s="1"/>
  <c r="C84" i="7"/>
  <c r="Q49" i="6"/>
  <c r="R48" i="7"/>
  <c r="AC48" i="6" s="1"/>
  <c r="E91" i="7"/>
  <c r="C91" i="7"/>
  <c r="Q48" i="6"/>
  <c r="R47" i="7"/>
  <c r="AC47" i="6" s="1"/>
  <c r="F23" i="10" s="1"/>
  <c r="Q47" i="6"/>
  <c r="R46" i="7"/>
  <c r="AC46" i="6" s="1"/>
  <c r="F22" i="10" s="1"/>
  <c r="E83" i="7"/>
  <c r="D83" i="7"/>
  <c r="Q46" i="6"/>
  <c r="R45" i="7"/>
  <c r="AC45" i="6" s="1"/>
  <c r="F21" i="10" s="1"/>
  <c r="Q45" i="6"/>
  <c r="R44" i="7"/>
  <c r="AC44" i="6" s="1"/>
  <c r="F20" i="10" s="1"/>
  <c r="D87" i="7"/>
  <c r="E87" i="7"/>
  <c r="Q44" i="6"/>
  <c r="R43" i="7"/>
  <c r="AC43" i="6" s="1"/>
  <c r="F19" i="10" s="1"/>
  <c r="E78" i="7"/>
  <c r="C78" i="7"/>
  <c r="Q43" i="6"/>
  <c r="R42" i="7"/>
  <c r="AC42" i="6" s="1"/>
  <c r="F18" i="10" s="1"/>
  <c r="Q42" i="6"/>
  <c r="R39" i="7"/>
  <c r="AC39" i="6" s="1"/>
  <c r="Q39" i="6"/>
  <c r="AB39" i="6" s="1"/>
  <c r="R38" i="7"/>
  <c r="AC38" i="6" s="1"/>
  <c r="Q38" i="6"/>
  <c r="AB38" i="6" s="1"/>
  <c r="D114" i="7"/>
  <c r="E114" i="7"/>
  <c r="R37" i="7"/>
  <c r="AC37" i="6" s="1"/>
  <c r="Q37" i="6"/>
  <c r="AB37" i="6" s="1"/>
  <c r="R36" i="7"/>
  <c r="AC36" i="6" s="1"/>
  <c r="D105" i="7"/>
  <c r="E105" i="7"/>
  <c r="Q36" i="6"/>
  <c r="R35" i="7"/>
  <c r="AC35" i="6" s="1"/>
  <c r="Q35" i="6"/>
  <c r="R34" i="7"/>
  <c r="AC34" i="6" s="1"/>
  <c r="Q34" i="6"/>
  <c r="R33" i="7"/>
  <c r="AC33" i="6" s="1"/>
  <c r="Q33" i="6"/>
  <c r="Q31" i="6"/>
  <c r="R31" i="7"/>
  <c r="AC31" i="6" s="1"/>
  <c r="D29" i="4" s="1"/>
  <c r="R30" i="7"/>
  <c r="AC30" i="6" s="1"/>
  <c r="Q30" i="6"/>
  <c r="AB30" i="6" s="1"/>
  <c r="R29" i="7"/>
  <c r="AC29" i="6" s="1"/>
  <c r="Q29" i="6"/>
  <c r="AB29" i="6" s="1"/>
  <c r="Q28" i="6"/>
  <c r="R28" i="7"/>
  <c r="AC28" i="6" s="1"/>
  <c r="D26" i="4" s="1"/>
  <c r="R27" i="7"/>
  <c r="AC27" i="6" s="1"/>
  <c r="F15" i="10" s="1"/>
  <c r="Q27" i="6"/>
  <c r="C112" i="7"/>
  <c r="E112" i="7"/>
  <c r="R26" i="7"/>
  <c r="AC26" i="6" s="1"/>
  <c r="Q26" i="6"/>
  <c r="AB26" i="6" s="1"/>
  <c r="Q25" i="6"/>
  <c r="R25" i="7"/>
  <c r="AC25" i="6" s="1"/>
  <c r="D24" i="4" s="1"/>
  <c r="R24" i="7"/>
  <c r="AC24" i="6" s="1"/>
  <c r="F14" i="10" s="1"/>
  <c r="Q24" i="6"/>
  <c r="E92" i="7"/>
  <c r="R23" i="7"/>
  <c r="AC23" i="6" s="1"/>
  <c r="D23" i="4" s="1"/>
  <c r="Q23" i="6"/>
  <c r="C109" i="7"/>
  <c r="E109" i="7"/>
  <c r="R20" i="7"/>
  <c r="AC20" i="6" s="1"/>
  <c r="Q20" i="6"/>
  <c r="AB20" i="6" s="1"/>
  <c r="R19" i="7"/>
  <c r="AC19" i="6" s="1"/>
  <c r="D19" i="4" s="1"/>
  <c r="C96" i="7"/>
  <c r="Q19" i="6"/>
  <c r="R18" i="7"/>
  <c r="AC18" i="6" s="1"/>
  <c r="C107" i="7"/>
  <c r="E107" i="7"/>
  <c r="Q18" i="6"/>
  <c r="R17" i="7"/>
  <c r="AC17" i="6" s="1"/>
  <c r="Q17" i="6"/>
  <c r="R16" i="7"/>
  <c r="AC16" i="6" s="1"/>
  <c r="E80" i="7"/>
  <c r="C80" i="7"/>
  <c r="Q16" i="6"/>
  <c r="R15" i="7"/>
  <c r="AC15" i="6" s="1"/>
  <c r="Q15" i="6"/>
  <c r="R14" i="7"/>
  <c r="AC14" i="6" s="1"/>
  <c r="D14" i="4" s="1"/>
  <c r="E108" i="7"/>
  <c r="Q14" i="6"/>
  <c r="R13" i="7"/>
  <c r="AC13" i="6" s="1"/>
  <c r="D13" i="4" s="1"/>
  <c r="D113" i="7"/>
  <c r="E113" i="7"/>
  <c r="Q13" i="6"/>
  <c r="R12" i="7"/>
  <c r="AC12" i="6" s="1"/>
  <c r="C82" i="7"/>
  <c r="E82" i="7"/>
  <c r="Q12" i="6"/>
  <c r="AB12" i="6" s="1"/>
  <c r="R11" i="7"/>
  <c r="AC11" i="6" s="1"/>
  <c r="E79" i="7"/>
  <c r="Q11" i="6"/>
  <c r="AB11" i="6" s="1"/>
  <c r="R10" i="7"/>
  <c r="AC10" i="6" s="1"/>
  <c r="D10" i="4" s="1"/>
  <c r="E110" i="7"/>
  <c r="Q10" i="6"/>
  <c r="AB10" i="6" s="1"/>
  <c r="R9" i="7"/>
  <c r="AC9" i="6" s="1"/>
  <c r="E99" i="7"/>
  <c r="C99" i="7"/>
  <c r="Q9" i="6"/>
  <c r="AB9" i="6" s="1"/>
  <c r="R8" i="7"/>
  <c r="AC8" i="6" s="1"/>
  <c r="Q8" i="6"/>
  <c r="AB8" i="6" s="1"/>
  <c r="R7" i="7"/>
  <c r="AC7" i="6" s="1"/>
  <c r="C85" i="7"/>
  <c r="E85" i="7"/>
  <c r="Q7" i="6"/>
  <c r="AB7" i="6" s="1"/>
  <c r="R6" i="7"/>
  <c r="AC6" i="6" s="1"/>
  <c r="D6" i="4" s="1"/>
  <c r="D104" i="7"/>
  <c r="Q6" i="6"/>
  <c r="R5" i="7"/>
  <c r="AC5" i="6" s="1"/>
  <c r="E103" i="7"/>
  <c r="D103" i="7"/>
  <c r="Q5" i="6"/>
  <c r="Z71" i="6"/>
  <c r="J37" i="3" s="1"/>
  <c r="AA71" i="6"/>
  <c r="AB71" i="6"/>
  <c r="Z70" i="6"/>
  <c r="AA70" i="6"/>
  <c r="AB70" i="6"/>
  <c r="Z69" i="6"/>
  <c r="AA69" i="6"/>
  <c r="AB69" i="6"/>
  <c r="Z68" i="6"/>
  <c r="J39" i="3" s="1"/>
  <c r="AA68" i="6"/>
  <c r="AB68" i="6"/>
  <c r="Z67" i="6"/>
  <c r="J45" i="3" s="1"/>
  <c r="AA67" i="6"/>
  <c r="AB67" i="6"/>
  <c r="Z66" i="6"/>
  <c r="J44" i="3" s="1"/>
  <c r="AA66" i="6"/>
  <c r="AB66" i="6"/>
  <c r="Z65" i="6"/>
  <c r="J43" i="3" s="1"/>
  <c r="AA65" i="6"/>
  <c r="AB65" i="6"/>
  <c r="Z64" i="6"/>
  <c r="AA64" i="6"/>
  <c r="AB64" i="6"/>
  <c r="Z63" i="6"/>
  <c r="J31" i="3" s="1"/>
  <c r="AA63" i="6"/>
  <c r="AB63" i="6"/>
  <c r="Z62" i="6"/>
  <c r="AB62" i="6"/>
  <c r="Z61" i="6"/>
  <c r="J27" i="3" s="1"/>
  <c r="Z60" i="6"/>
  <c r="AB60" i="6"/>
  <c r="Z59" i="6"/>
  <c r="J23" i="3" s="1"/>
  <c r="Z58" i="6"/>
  <c r="AB58" i="6"/>
  <c r="Z57" i="6"/>
  <c r="AB57" i="6"/>
  <c r="Z56" i="6"/>
  <c r="Z55" i="6"/>
  <c r="AA55" i="6"/>
  <c r="AB55" i="6"/>
  <c r="Z54" i="6"/>
  <c r="Z53" i="6"/>
  <c r="Z52" i="6"/>
  <c r="J22" i="3" s="1"/>
  <c r="Z51" i="6"/>
  <c r="J26" i="3" s="1"/>
  <c r="Z50" i="6"/>
  <c r="Z49" i="6"/>
  <c r="Z48" i="6"/>
  <c r="J32" i="3" s="1"/>
  <c r="Z47" i="6"/>
  <c r="Z46" i="6"/>
  <c r="AA57" i="6" s="1"/>
  <c r="Z45" i="6"/>
  <c r="Z44" i="6"/>
  <c r="Z43" i="6"/>
  <c r="Z42" i="6"/>
  <c r="Z41" i="6"/>
  <c r="Z40" i="6"/>
  <c r="J21" i="3" s="1"/>
  <c r="Z39" i="6"/>
  <c r="Z38" i="6"/>
  <c r="Z37" i="6"/>
  <c r="Z36" i="6"/>
  <c r="Z35" i="6"/>
  <c r="Z34" i="6"/>
  <c r="Z33" i="6"/>
  <c r="Z32" i="6"/>
  <c r="Z31" i="6"/>
  <c r="E29" i="4" s="1"/>
  <c r="Z30" i="6"/>
  <c r="Z29" i="6"/>
  <c r="Z28" i="6"/>
  <c r="E26" i="4" s="1"/>
  <c r="Z27" i="6"/>
  <c r="Z26" i="6"/>
  <c r="Z25" i="6"/>
  <c r="E24" i="4" s="1"/>
  <c r="Z24" i="6"/>
  <c r="Z23" i="6"/>
  <c r="E23" i="4" s="1"/>
  <c r="Z22" i="6"/>
  <c r="E22" i="4" s="1"/>
  <c r="Z21" i="6"/>
  <c r="Z20" i="6"/>
  <c r="Z19" i="6"/>
  <c r="E19" i="4" s="1"/>
  <c r="Z18" i="6"/>
  <c r="AB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I75" i="8"/>
  <c r="I73" i="8"/>
  <c r="I70" i="8"/>
  <c r="I14" i="8"/>
  <c r="I13" i="8"/>
  <c r="I12" i="8"/>
  <c r="I11" i="8"/>
  <c r="I10" i="8"/>
  <c r="I9" i="8"/>
  <c r="J9" i="8" s="1"/>
  <c r="K9" i="8" s="1"/>
  <c r="L9" i="8" s="1"/>
  <c r="I8" i="8"/>
  <c r="I7" i="8"/>
  <c r="I6" i="8"/>
  <c r="I5" i="8"/>
  <c r="I33" i="8"/>
  <c r="I34" i="8"/>
  <c r="I35" i="8"/>
  <c r="I36" i="8"/>
  <c r="J36" i="8" s="1"/>
  <c r="K36" i="8" s="1"/>
  <c r="L36" i="8" s="1"/>
  <c r="I37" i="8"/>
  <c r="I38" i="8"/>
  <c r="I39" i="8"/>
  <c r="J39" i="8" s="1"/>
  <c r="K39" i="8" s="1"/>
  <c r="L39" i="8" s="1"/>
  <c r="I40" i="8"/>
  <c r="I41" i="8"/>
  <c r="I42" i="8"/>
  <c r="J42" i="8" s="1"/>
  <c r="K42" i="8" s="1"/>
  <c r="L42" i="8" s="1"/>
  <c r="I43" i="8"/>
  <c r="I15" i="8"/>
  <c r="I44" i="8"/>
  <c r="J44" i="8" s="1"/>
  <c r="K44" i="8" s="1"/>
  <c r="L44" i="8" s="1"/>
  <c r="I45" i="8"/>
  <c r="I46" i="8"/>
  <c r="J46" i="8" s="1"/>
  <c r="K46" i="8" s="1"/>
  <c r="L46" i="8" s="1"/>
  <c r="I48" i="8"/>
  <c r="I49" i="8"/>
  <c r="I50" i="8"/>
  <c r="I51" i="8"/>
  <c r="I52" i="8"/>
  <c r="I53" i="8"/>
  <c r="J53" i="8" s="1"/>
  <c r="K53" i="8" s="1"/>
  <c r="L53" i="8" s="1"/>
  <c r="I55" i="8"/>
  <c r="I56" i="8"/>
  <c r="I16" i="8"/>
  <c r="J16" i="8" s="1"/>
  <c r="K16" i="8" s="1"/>
  <c r="L16" i="8" s="1"/>
  <c r="I17" i="8"/>
  <c r="I57" i="8"/>
  <c r="I58" i="8"/>
  <c r="J58" i="8" s="1"/>
  <c r="K58" i="8" s="1"/>
  <c r="L58" i="8" s="1"/>
  <c r="I59" i="8"/>
  <c r="J59" i="8" s="1"/>
  <c r="K59" i="8" s="1"/>
  <c r="L59" i="8" s="1"/>
  <c r="I60" i="8"/>
  <c r="I61" i="8"/>
  <c r="I62" i="8"/>
  <c r="I63" i="8"/>
  <c r="J63" i="8" s="1"/>
  <c r="K63" i="8" s="1"/>
  <c r="L63" i="8" s="1"/>
  <c r="I64" i="8"/>
  <c r="I65" i="8"/>
  <c r="I66" i="8"/>
  <c r="J66" i="8" s="1"/>
  <c r="K66" i="8" s="1"/>
  <c r="L66" i="8" s="1"/>
  <c r="I67" i="8"/>
  <c r="I68" i="8"/>
  <c r="I69" i="8"/>
  <c r="J69" i="8" s="1"/>
  <c r="K69" i="8" s="1"/>
  <c r="L69" i="8" s="1"/>
  <c r="I101" i="8"/>
  <c r="I92" i="8"/>
  <c r="I89" i="8"/>
  <c r="I82" i="8"/>
  <c r="I81" i="8"/>
  <c r="I78" i="8"/>
  <c r="I18" i="8"/>
  <c r="I19" i="8"/>
  <c r="I20" i="8"/>
  <c r="I21" i="8"/>
  <c r="I47" i="8"/>
  <c r="J47" i="8" s="1"/>
  <c r="K47" i="8" s="1"/>
  <c r="L47" i="8" s="1"/>
  <c r="I103" i="8"/>
  <c r="I102" i="8"/>
  <c r="J102" i="8" s="1"/>
  <c r="K102" i="8" s="1"/>
  <c r="L102" i="8" s="1"/>
  <c r="I100" i="8"/>
  <c r="J100" i="8" s="1"/>
  <c r="K100" i="8" s="1"/>
  <c r="L100" i="8" s="1"/>
  <c r="I99" i="8"/>
  <c r="J99" i="8" s="1"/>
  <c r="K99" i="8" s="1"/>
  <c r="L99" i="8" s="1"/>
  <c r="I98" i="8"/>
  <c r="J98" i="8" s="1"/>
  <c r="K98" i="8" s="1"/>
  <c r="L98" i="8" s="1"/>
  <c r="I97" i="8"/>
  <c r="I96" i="8"/>
  <c r="J96" i="8" s="1"/>
  <c r="K96" i="8" s="1"/>
  <c r="L96" i="8" s="1"/>
  <c r="I95" i="8"/>
  <c r="J95" i="8" s="1"/>
  <c r="K95" i="8" s="1"/>
  <c r="L95" i="8" s="1"/>
  <c r="I94" i="8"/>
  <c r="J94" i="8" s="1"/>
  <c r="K94" i="8" s="1"/>
  <c r="L94" i="8" s="1"/>
  <c r="I93" i="8"/>
  <c r="I91" i="8"/>
  <c r="I90" i="8"/>
  <c r="I54" i="8"/>
  <c r="I87" i="8"/>
  <c r="I86" i="8"/>
  <c r="I85" i="8"/>
  <c r="I84" i="8"/>
  <c r="J84" i="8" s="1"/>
  <c r="K84" i="8" s="1"/>
  <c r="L84" i="8" s="1"/>
  <c r="I83" i="8"/>
  <c r="I80" i="8"/>
  <c r="I79" i="8"/>
  <c r="I77" i="8"/>
  <c r="I76" i="8"/>
  <c r="J76" i="8" s="1"/>
  <c r="K76" i="8" s="1"/>
  <c r="L76" i="8" s="1"/>
  <c r="I74" i="8"/>
  <c r="J74" i="8" s="1"/>
  <c r="K74" i="8" s="1"/>
  <c r="L74" i="8" s="1"/>
  <c r="I72" i="8"/>
  <c r="I71" i="8"/>
  <c r="J71" i="8" s="1"/>
  <c r="K71" i="8" s="1"/>
  <c r="L71" i="8" s="1"/>
  <c r="I22" i="8"/>
  <c r="I23" i="8"/>
  <c r="I24" i="8"/>
  <c r="I25" i="8"/>
  <c r="J25" i="8" s="1"/>
  <c r="K25" i="8" s="1"/>
  <c r="L25" i="8" s="1"/>
  <c r="I26" i="8"/>
  <c r="I27" i="8"/>
  <c r="I28" i="8"/>
  <c r="J28" i="8" s="1"/>
  <c r="K28" i="8" s="1"/>
  <c r="L28" i="8" s="1"/>
  <c r="I29" i="8"/>
  <c r="I30" i="8"/>
  <c r="I31" i="8"/>
  <c r="I32" i="8"/>
  <c r="J32" i="8" s="1"/>
  <c r="K32" i="8" s="1"/>
  <c r="L32" i="8" s="1"/>
  <c r="I88" i="8"/>
  <c r="J88" i="8" s="1"/>
  <c r="K88" i="8" s="1"/>
  <c r="L88" i="8" s="1"/>
  <c r="Q63" i="7"/>
  <c r="Q40" i="7"/>
  <c r="Q32" i="7"/>
  <c r="Q21" i="7"/>
  <c r="Q68" i="7"/>
  <c r="Q61" i="7" l="1"/>
  <c r="Q59" i="7"/>
  <c r="Q41" i="7"/>
  <c r="Q22" i="7"/>
  <c r="AB48" i="6"/>
  <c r="AB36" i="6"/>
  <c r="AB35" i="6"/>
  <c r="AB34" i="6"/>
  <c r="AB33" i="6"/>
  <c r="AB17" i="6"/>
  <c r="AB16" i="6"/>
  <c r="AB15" i="6"/>
  <c r="AB14" i="6"/>
  <c r="AB13" i="6"/>
  <c r="AB6" i="6"/>
  <c r="AB5" i="6"/>
  <c r="J10" i="8"/>
  <c r="K10" i="8" s="1"/>
  <c r="L10" i="8" s="1"/>
  <c r="J7" i="8"/>
  <c r="K7" i="8" s="1"/>
  <c r="L7" i="8" s="1"/>
  <c r="J52" i="8"/>
  <c r="K52" i="8" s="1"/>
  <c r="L52" i="8" s="1"/>
  <c r="J55" i="8"/>
  <c r="K55" i="8" s="1"/>
  <c r="L55" i="8" s="1"/>
  <c r="J57" i="8"/>
  <c r="K57" i="8" s="1"/>
  <c r="L57" i="8" s="1"/>
  <c r="J92" i="8"/>
  <c r="K92" i="8" s="1"/>
  <c r="L92" i="8" s="1"/>
  <c r="J89" i="8"/>
  <c r="K89" i="8" s="1"/>
  <c r="L89" i="8" s="1"/>
  <c r="J82" i="8"/>
  <c r="K82" i="8" s="1"/>
  <c r="L82" i="8" s="1"/>
  <c r="J81" i="8"/>
  <c r="K81" i="8" s="1"/>
  <c r="L81" i="8" s="1"/>
  <c r="J78" i="8"/>
  <c r="K78" i="8" s="1"/>
  <c r="L78" i="8" s="1"/>
  <c r="J19" i="8"/>
  <c r="K19" i="8" s="1"/>
  <c r="L19" i="8" s="1"/>
  <c r="J20" i="8"/>
  <c r="K20" i="8" s="1"/>
  <c r="L20" i="8" s="1"/>
  <c r="J21" i="8"/>
  <c r="K21" i="8" s="1"/>
  <c r="L21" i="8" s="1"/>
  <c r="J103" i="8"/>
  <c r="K103" i="8" s="1"/>
  <c r="L103" i="8" s="1"/>
  <c r="R51" i="7"/>
  <c r="AC51" i="6" s="1"/>
  <c r="Q51" i="6"/>
  <c r="AB51" i="6" s="1"/>
  <c r="R50" i="7"/>
  <c r="AC50" i="6" s="1"/>
  <c r="F26" i="10" s="1"/>
  <c r="Q50" i="6"/>
  <c r="E15" i="10"/>
  <c r="AB27" i="6"/>
  <c r="C24" i="4"/>
  <c r="AB25" i="6"/>
  <c r="E14" i="10"/>
  <c r="AB24" i="6"/>
  <c r="C23" i="4"/>
  <c r="AB23" i="6"/>
  <c r="E13" i="10"/>
  <c r="G37" i="3"/>
  <c r="F13" i="10"/>
  <c r="H37" i="3"/>
  <c r="F9" i="10"/>
  <c r="H45" i="3"/>
  <c r="E9" i="10"/>
  <c r="G45" i="3"/>
  <c r="F8" i="10"/>
  <c r="H44" i="3"/>
  <c r="E8" i="10"/>
  <c r="G44" i="3"/>
  <c r="F7" i="10"/>
  <c r="H43" i="3"/>
  <c r="E7" i="10"/>
  <c r="G43" i="3"/>
  <c r="F38" i="10"/>
  <c r="H24" i="3"/>
  <c r="E38" i="10"/>
  <c r="G24" i="3"/>
  <c r="F30" i="10"/>
  <c r="H52" i="3"/>
  <c r="E30" i="10"/>
  <c r="G52" i="3"/>
  <c r="F28" i="10"/>
  <c r="H22" i="3"/>
  <c r="E28" i="10"/>
  <c r="G22" i="3"/>
  <c r="F27" i="10"/>
  <c r="H26" i="3"/>
  <c r="E27" i="10"/>
  <c r="G26" i="3"/>
  <c r="F24" i="10"/>
  <c r="H32" i="3"/>
  <c r="E24" i="10"/>
  <c r="G32" i="3"/>
  <c r="H51" i="3"/>
  <c r="D37" i="4"/>
  <c r="G51" i="3"/>
  <c r="C37" i="4"/>
  <c r="H53" i="3"/>
  <c r="D36" i="4"/>
  <c r="G53" i="3"/>
  <c r="C36" i="4"/>
  <c r="H42" i="3"/>
  <c r="D35" i="4"/>
  <c r="G42" i="3"/>
  <c r="C35" i="4"/>
  <c r="H41" i="3"/>
  <c r="D34" i="4"/>
  <c r="G41" i="3"/>
  <c r="C34" i="4"/>
  <c r="H30" i="3"/>
  <c r="D33" i="4"/>
  <c r="G30" i="3"/>
  <c r="C33" i="4"/>
  <c r="H19" i="3"/>
  <c r="D32" i="4"/>
  <c r="G19" i="3"/>
  <c r="C32" i="4"/>
  <c r="H50" i="3"/>
  <c r="D31" i="4"/>
  <c r="G50" i="3"/>
  <c r="C31" i="4"/>
  <c r="H29" i="3"/>
  <c r="D28" i="4"/>
  <c r="G29" i="3"/>
  <c r="C28" i="4"/>
  <c r="H18" i="3"/>
  <c r="D27" i="4"/>
  <c r="G18" i="3"/>
  <c r="C27" i="4"/>
  <c r="H40" i="3"/>
  <c r="D25" i="4"/>
  <c r="G40" i="3"/>
  <c r="C25" i="4"/>
  <c r="H49" i="3"/>
  <c r="D20" i="4"/>
  <c r="G49" i="3"/>
  <c r="C20" i="4"/>
  <c r="H47" i="3"/>
  <c r="D18" i="4"/>
  <c r="G47" i="3"/>
  <c r="C18" i="4"/>
  <c r="H25" i="3"/>
  <c r="D17" i="4"/>
  <c r="G25" i="3"/>
  <c r="C17" i="4"/>
  <c r="H36" i="3"/>
  <c r="D16" i="4"/>
  <c r="G36" i="3"/>
  <c r="C16" i="4"/>
  <c r="H35" i="3"/>
  <c r="D15" i="4"/>
  <c r="G35" i="3"/>
  <c r="C15" i="4"/>
  <c r="E22" i="1"/>
  <c r="C14" i="4"/>
  <c r="E21" i="1"/>
  <c r="C13" i="4"/>
  <c r="H34" i="3"/>
  <c r="D12" i="4"/>
  <c r="E20" i="1"/>
  <c r="G34" i="3"/>
  <c r="C12" i="4"/>
  <c r="H33" i="3"/>
  <c r="D11" i="4"/>
  <c r="E19" i="1"/>
  <c r="G33" i="3"/>
  <c r="C11" i="4"/>
  <c r="C10" i="4"/>
  <c r="E18" i="1"/>
  <c r="H28" i="3"/>
  <c r="D9" i="4"/>
  <c r="E17" i="1"/>
  <c r="G28" i="3"/>
  <c r="C9" i="4"/>
  <c r="D8" i="4"/>
  <c r="H17" i="3"/>
  <c r="E16" i="1"/>
  <c r="G17" i="3"/>
  <c r="C8" i="4"/>
  <c r="H38" i="3"/>
  <c r="D7" i="4"/>
  <c r="C7" i="4"/>
  <c r="E15" i="1"/>
  <c r="G38" i="3"/>
  <c r="E14" i="1"/>
  <c r="C6" i="4"/>
  <c r="H46" i="3"/>
  <c r="D5" i="4"/>
  <c r="E13" i="1"/>
  <c r="G46" i="3"/>
  <c r="C5" i="4"/>
  <c r="AD71" i="6"/>
  <c r="S71" i="7"/>
  <c r="G13" i="10"/>
  <c r="I37" i="3"/>
  <c r="AD70" i="6"/>
  <c r="S70" i="7"/>
  <c r="G12" i="10"/>
  <c r="AD69" i="6"/>
  <c r="S69" i="7"/>
  <c r="G11" i="10"/>
  <c r="AD68" i="6"/>
  <c r="S68" i="7"/>
  <c r="G10" i="10"/>
  <c r="I39" i="3"/>
  <c r="AD67" i="6"/>
  <c r="S67" i="7"/>
  <c r="G9" i="10"/>
  <c r="I45" i="3"/>
  <c r="AD66" i="6"/>
  <c r="S66" i="7"/>
  <c r="G8" i="10"/>
  <c r="I44" i="3"/>
  <c r="AD65" i="6"/>
  <c r="S65" i="7"/>
  <c r="G7" i="10"/>
  <c r="I43" i="3"/>
  <c r="AD64" i="6"/>
  <c r="S64" i="7"/>
  <c r="G6" i="10"/>
  <c r="AD63" i="6"/>
  <c r="S63" i="7"/>
  <c r="G5" i="10"/>
  <c r="I31" i="3"/>
  <c r="AD62" i="6"/>
  <c r="S62" i="7"/>
  <c r="G38" i="10"/>
  <c r="I24" i="3"/>
  <c r="AD60" i="6"/>
  <c r="S60" i="7"/>
  <c r="G36" i="10"/>
  <c r="AD58" i="6"/>
  <c r="S58" i="7"/>
  <c r="G34" i="10"/>
  <c r="AD57" i="6"/>
  <c r="S57" i="7"/>
  <c r="G33" i="10"/>
  <c r="AD55" i="6"/>
  <c r="S55" i="7"/>
  <c r="G31" i="10"/>
  <c r="AD54" i="6"/>
  <c r="S54" i="7"/>
  <c r="G30" i="10"/>
  <c r="I52" i="3"/>
  <c r="AD52" i="6"/>
  <c r="S52" i="7"/>
  <c r="G28" i="10"/>
  <c r="I22" i="3"/>
  <c r="AD51" i="6"/>
  <c r="S51" i="7"/>
  <c r="G27" i="10"/>
  <c r="I26" i="3"/>
  <c r="AD48" i="6"/>
  <c r="S48" i="7"/>
  <c r="G24" i="10"/>
  <c r="I32" i="3"/>
  <c r="J51" i="3"/>
  <c r="E37" i="4"/>
  <c r="AD39" i="6"/>
  <c r="K37" i="4" s="1"/>
  <c r="S39" i="7"/>
  <c r="I51" i="3"/>
  <c r="B37" i="4"/>
  <c r="E36" i="4"/>
  <c r="J53" i="3"/>
  <c r="AD38" i="6"/>
  <c r="K36" i="4" s="1"/>
  <c r="S38" i="7"/>
  <c r="I53" i="3"/>
  <c r="B36" i="4"/>
  <c r="J42" i="3"/>
  <c r="E35" i="4"/>
  <c r="AD37" i="6"/>
  <c r="K35" i="4" s="1"/>
  <c r="S37" i="7"/>
  <c r="I42" i="3"/>
  <c r="B35" i="4"/>
  <c r="J41" i="3"/>
  <c r="E34" i="4"/>
  <c r="AD36" i="6"/>
  <c r="K34" i="4" s="1"/>
  <c r="S36" i="7"/>
  <c r="I41" i="3"/>
  <c r="B34" i="4"/>
  <c r="J30" i="3"/>
  <c r="E33" i="4"/>
  <c r="AD35" i="6"/>
  <c r="K33" i="4" s="1"/>
  <c r="S35" i="7"/>
  <c r="I30" i="3"/>
  <c r="B33" i="4"/>
  <c r="J19" i="3"/>
  <c r="E32" i="4"/>
  <c r="AD34" i="6"/>
  <c r="K32" i="4" s="1"/>
  <c r="S34" i="7"/>
  <c r="I19" i="3"/>
  <c r="B32" i="4"/>
  <c r="J50" i="3"/>
  <c r="E31" i="4"/>
  <c r="AD33" i="6"/>
  <c r="K31" i="4" s="1"/>
  <c r="S33" i="7"/>
  <c r="I50" i="3"/>
  <c r="B31" i="4"/>
  <c r="J20" i="3"/>
  <c r="E30" i="4"/>
  <c r="J29" i="3"/>
  <c r="E28" i="4"/>
  <c r="AD30" i="6"/>
  <c r="K28" i="4" s="1"/>
  <c r="S30" i="7"/>
  <c r="I29" i="3"/>
  <c r="B28" i="4"/>
  <c r="J18" i="3"/>
  <c r="E27" i="4"/>
  <c r="AD29" i="6"/>
  <c r="K27" i="4" s="1"/>
  <c r="I18" i="3"/>
  <c r="S29" i="7"/>
  <c r="B27" i="4"/>
  <c r="AD27" i="6"/>
  <c r="G15" i="10"/>
  <c r="S27" i="7"/>
  <c r="J40" i="3"/>
  <c r="E25" i="4"/>
  <c r="AD26" i="6"/>
  <c r="K25" i="4" s="1"/>
  <c r="I40" i="3"/>
  <c r="S26" i="7"/>
  <c r="B25" i="4"/>
  <c r="AD25" i="6"/>
  <c r="K24" i="4" s="1"/>
  <c r="S25" i="7"/>
  <c r="B24" i="4"/>
  <c r="AD24" i="6"/>
  <c r="S24" i="7"/>
  <c r="G14" i="10"/>
  <c r="AD23" i="6"/>
  <c r="K23" i="4" s="1"/>
  <c r="S23" i="7"/>
  <c r="B23" i="4"/>
  <c r="J48" i="3"/>
  <c r="E21" i="4"/>
  <c r="J49" i="3"/>
  <c r="E20" i="4"/>
  <c r="AD20" i="6"/>
  <c r="K20" i="4" s="1"/>
  <c r="S20" i="7"/>
  <c r="I49" i="3"/>
  <c r="B20" i="4"/>
  <c r="J47" i="3"/>
  <c r="E18" i="4"/>
  <c r="AD18" i="6"/>
  <c r="K18" i="4" s="1"/>
  <c r="S18" i="7"/>
  <c r="I47" i="3"/>
  <c r="B18" i="4"/>
  <c r="J25" i="3"/>
  <c r="E17" i="4"/>
  <c r="AD17" i="6"/>
  <c r="K17" i="4" s="1"/>
  <c r="S17" i="7"/>
  <c r="I25" i="3"/>
  <c r="B17" i="4"/>
  <c r="J36" i="3"/>
  <c r="E16" i="4"/>
  <c r="AD16" i="6"/>
  <c r="K16" i="4" s="1"/>
  <c r="S16" i="7"/>
  <c r="I36" i="3"/>
  <c r="B16" i="4"/>
  <c r="J35" i="3"/>
  <c r="E15" i="4"/>
  <c r="AD15" i="6"/>
  <c r="K15" i="4" s="1"/>
  <c r="S15" i="7"/>
  <c r="I35" i="3"/>
  <c r="B15" i="4"/>
  <c r="C22" i="1"/>
  <c r="E14" i="4"/>
  <c r="AD14" i="6"/>
  <c r="S14" i="7"/>
  <c r="B14" i="4"/>
  <c r="C21" i="1"/>
  <c r="E13" i="4"/>
  <c r="AD13" i="6"/>
  <c r="S13" i="7"/>
  <c r="B13" i="4"/>
  <c r="C20" i="1"/>
  <c r="J34" i="3"/>
  <c r="E12" i="4"/>
  <c r="AD12" i="6"/>
  <c r="S12" i="7"/>
  <c r="I34" i="3"/>
  <c r="B12" i="4"/>
  <c r="C19" i="1"/>
  <c r="J33" i="3"/>
  <c r="E11" i="4"/>
  <c r="AD11" i="6"/>
  <c r="S11" i="7"/>
  <c r="I33" i="3"/>
  <c r="B11" i="4"/>
  <c r="E10" i="4"/>
  <c r="C18" i="1"/>
  <c r="AD10" i="6"/>
  <c r="S10" i="7"/>
  <c r="B10" i="4"/>
  <c r="E9" i="4"/>
  <c r="C17" i="1"/>
  <c r="J28" i="3"/>
  <c r="AD9" i="6"/>
  <c r="B9" i="4"/>
  <c r="S9" i="7"/>
  <c r="I28" i="3"/>
  <c r="C16" i="1"/>
  <c r="J17" i="3"/>
  <c r="E8" i="4"/>
  <c r="AD8" i="6"/>
  <c r="S8" i="7"/>
  <c r="I17" i="3"/>
  <c r="B8" i="4"/>
  <c r="C15" i="1"/>
  <c r="J38" i="3"/>
  <c r="E7" i="4"/>
  <c r="AD7" i="6"/>
  <c r="S7" i="7"/>
  <c r="I38" i="3"/>
  <c r="B7" i="4"/>
  <c r="E6" i="4"/>
  <c r="C14" i="1"/>
  <c r="AD6" i="6"/>
  <c r="B6" i="4"/>
  <c r="S6" i="7"/>
  <c r="E5" i="4"/>
  <c r="C13" i="1"/>
  <c r="J46" i="3"/>
  <c r="AD5" i="6"/>
  <c r="B5" i="4"/>
  <c r="S5" i="7"/>
  <c r="I46" i="3"/>
  <c r="Q63" i="6"/>
  <c r="E88" i="7"/>
  <c r="C88" i="7"/>
  <c r="R63" i="7"/>
  <c r="AC63" i="6" s="1"/>
  <c r="Q40" i="6"/>
  <c r="R40" i="7"/>
  <c r="AC40" i="6" s="1"/>
  <c r="Q32" i="6"/>
  <c r="R32" i="7"/>
  <c r="AC32" i="6" s="1"/>
  <c r="C77" i="7"/>
  <c r="E77" i="7"/>
  <c r="Q21" i="6"/>
  <c r="R21" i="7"/>
  <c r="AC21" i="6" s="1"/>
  <c r="Q68" i="6"/>
  <c r="C75" i="7"/>
  <c r="E75" i="7"/>
  <c r="R68" i="7"/>
  <c r="AC68" i="6" s="1"/>
  <c r="J73" i="8"/>
  <c r="K73" i="8" s="1"/>
  <c r="L73" i="8" s="1"/>
  <c r="J70" i="8"/>
  <c r="K70" i="8" s="1"/>
  <c r="L70" i="8" s="1"/>
  <c r="J13" i="8"/>
  <c r="K13" i="8" s="1"/>
  <c r="L13" i="8" s="1"/>
  <c r="J11" i="8"/>
  <c r="K11" i="8" s="1"/>
  <c r="L11" i="8" s="1"/>
  <c r="J8" i="8"/>
  <c r="K8" i="8" s="1"/>
  <c r="L8" i="8" s="1"/>
  <c r="J51" i="8"/>
  <c r="K51" i="8" s="1"/>
  <c r="L51" i="8" s="1"/>
  <c r="J56" i="8"/>
  <c r="K56" i="8" s="1"/>
  <c r="L56" i="8" s="1"/>
  <c r="J97" i="8"/>
  <c r="K97" i="8" s="1"/>
  <c r="L97" i="8" s="1"/>
  <c r="J31" i="8"/>
  <c r="K31" i="8" s="1"/>
  <c r="L31" i="8" s="1"/>
  <c r="J75" i="8"/>
  <c r="K75" i="8" s="1"/>
  <c r="L75" i="8" s="1"/>
  <c r="J14" i="8"/>
  <c r="K14" i="8" s="1"/>
  <c r="L14" i="8" s="1"/>
  <c r="J12" i="8"/>
  <c r="K12" i="8" s="1"/>
  <c r="L12" i="8" s="1"/>
  <c r="J49" i="8"/>
  <c r="K49" i="8" s="1"/>
  <c r="L49" i="8" s="1"/>
  <c r="J17" i="8"/>
  <c r="K17" i="8" s="1"/>
  <c r="L17" i="8" s="1"/>
  <c r="J29" i="8"/>
  <c r="K29" i="8" s="1"/>
  <c r="L29" i="8" s="1"/>
  <c r="J6" i="8"/>
  <c r="K6" i="8" s="1"/>
  <c r="L6" i="8" s="1"/>
  <c r="J5" i="8"/>
  <c r="K5" i="8" s="1"/>
  <c r="L5" i="8" s="1"/>
  <c r="J33" i="8"/>
  <c r="K33" i="8" s="1"/>
  <c r="L33" i="8" s="1"/>
  <c r="J34" i="8"/>
  <c r="K34" i="8" s="1"/>
  <c r="L34" i="8" s="1"/>
  <c r="J35" i="8"/>
  <c r="K35" i="8" s="1"/>
  <c r="L35" i="8" s="1"/>
  <c r="J37" i="8"/>
  <c r="K37" i="8" s="1"/>
  <c r="L37" i="8" s="1"/>
  <c r="J38" i="8"/>
  <c r="K38" i="8" s="1"/>
  <c r="L38" i="8" s="1"/>
  <c r="J40" i="8"/>
  <c r="K40" i="8" s="1"/>
  <c r="L40" i="8" s="1"/>
  <c r="J41" i="8"/>
  <c r="K41" i="8" s="1"/>
  <c r="L41" i="8" s="1"/>
  <c r="J43" i="8"/>
  <c r="K43" i="8" s="1"/>
  <c r="L43" i="8" s="1"/>
  <c r="J15" i="8"/>
  <c r="K15" i="8" s="1"/>
  <c r="L15" i="8" s="1"/>
  <c r="J45" i="8"/>
  <c r="K45" i="8" s="1"/>
  <c r="L45" i="8" s="1"/>
  <c r="J48" i="8"/>
  <c r="K48" i="8" s="1"/>
  <c r="L48" i="8" s="1"/>
  <c r="J50" i="8"/>
  <c r="K50" i="8" s="1"/>
  <c r="L50" i="8" s="1"/>
  <c r="J60" i="8"/>
  <c r="K60" i="8" s="1"/>
  <c r="L60" i="8" s="1"/>
  <c r="J61" i="8"/>
  <c r="K61" i="8" s="1"/>
  <c r="L61" i="8" s="1"/>
  <c r="J62" i="8"/>
  <c r="K62" i="8" s="1"/>
  <c r="L62" i="8" s="1"/>
  <c r="J64" i="8"/>
  <c r="K64" i="8" s="1"/>
  <c r="L64" i="8" s="1"/>
  <c r="J65" i="8"/>
  <c r="K65" i="8" s="1"/>
  <c r="L65" i="8" s="1"/>
  <c r="J67" i="8"/>
  <c r="K67" i="8" s="1"/>
  <c r="L67" i="8" s="1"/>
  <c r="J68" i="8"/>
  <c r="K68" i="8" s="1"/>
  <c r="L68" i="8" s="1"/>
  <c r="J101" i="8"/>
  <c r="K101" i="8" s="1"/>
  <c r="L101" i="8" s="1"/>
  <c r="J18" i="8"/>
  <c r="K18" i="8" s="1"/>
  <c r="L18" i="8" s="1"/>
  <c r="J93" i="8"/>
  <c r="K93" i="8" s="1"/>
  <c r="L93" i="8" s="1"/>
  <c r="J91" i="8"/>
  <c r="K91" i="8" s="1"/>
  <c r="L91" i="8" s="1"/>
  <c r="J90" i="8"/>
  <c r="K90" i="8" s="1"/>
  <c r="L90" i="8" s="1"/>
  <c r="J54" i="8"/>
  <c r="K54" i="8" s="1"/>
  <c r="L54" i="8" s="1"/>
  <c r="J87" i="8"/>
  <c r="K87" i="8" s="1"/>
  <c r="L87" i="8" s="1"/>
  <c r="J86" i="8"/>
  <c r="K86" i="8" s="1"/>
  <c r="L86" i="8" s="1"/>
  <c r="J85" i="8"/>
  <c r="K85" i="8" s="1"/>
  <c r="L85" i="8" s="1"/>
  <c r="J83" i="8"/>
  <c r="K83" i="8" s="1"/>
  <c r="L83" i="8" s="1"/>
  <c r="J80" i="8"/>
  <c r="K80" i="8" s="1"/>
  <c r="L80" i="8" s="1"/>
  <c r="J79" i="8"/>
  <c r="K79" i="8" s="1"/>
  <c r="L79" i="8" s="1"/>
  <c r="J77" i="8"/>
  <c r="K77" i="8" s="1"/>
  <c r="L77" i="8" s="1"/>
  <c r="J72" i="8"/>
  <c r="K72" i="8" s="1"/>
  <c r="L72" i="8" s="1"/>
  <c r="J22" i="8"/>
  <c r="K22" i="8" s="1"/>
  <c r="L22" i="8" s="1"/>
  <c r="J23" i="8"/>
  <c r="K23" i="8" s="1"/>
  <c r="L23" i="8" s="1"/>
  <c r="J24" i="8"/>
  <c r="K24" i="8" s="1"/>
  <c r="L24" i="8" s="1"/>
  <c r="J26" i="8"/>
  <c r="K26" i="8" s="1"/>
  <c r="L26" i="8" s="1"/>
  <c r="J27" i="8"/>
  <c r="K27" i="8" s="1"/>
  <c r="L27" i="8" s="1"/>
  <c r="J30" i="8"/>
  <c r="K30" i="8" s="1"/>
  <c r="L30" i="8" s="1"/>
  <c r="E29" i="10"/>
  <c r="AB53" i="6"/>
  <c r="E25" i="10"/>
  <c r="AB49" i="6"/>
  <c r="E23" i="10"/>
  <c r="AB47" i="6"/>
  <c r="E22" i="10"/>
  <c r="AB46" i="6"/>
  <c r="E21" i="10"/>
  <c r="AB45" i="6"/>
  <c r="E20" i="10"/>
  <c r="AB44" i="6"/>
  <c r="E19" i="10"/>
  <c r="AB43" i="6"/>
  <c r="E18" i="10"/>
  <c r="AB42" i="6"/>
  <c r="C29" i="4"/>
  <c r="AB31" i="6"/>
  <c r="C26" i="4"/>
  <c r="AB28" i="6"/>
  <c r="C19" i="4"/>
  <c r="AB19" i="6"/>
  <c r="J24" i="3"/>
  <c r="AA62" i="6"/>
  <c r="AB56" i="6"/>
  <c r="AA56" i="6"/>
  <c r="J52" i="3"/>
  <c r="AA59" i="6"/>
  <c r="AA54" i="6"/>
  <c r="AA61" i="6"/>
  <c r="AA60" i="6"/>
  <c r="AA58" i="6"/>
  <c r="AA31" i="6"/>
  <c r="A29" i="4" s="1"/>
  <c r="AA7" i="6"/>
  <c r="A7" i="4" s="1"/>
  <c r="AA52" i="6"/>
  <c r="AA6" i="6"/>
  <c r="A6" i="4" s="1"/>
  <c r="AA53" i="6"/>
  <c r="AA32" i="6"/>
  <c r="A30" i="4" s="1"/>
  <c r="AA28" i="6"/>
  <c r="A26" i="4" s="1"/>
  <c r="AA33" i="6"/>
  <c r="A31" i="4" s="1"/>
  <c r="AA30" i="6"/>
  <c r="A28" i="4" s="1"/>
  <c r="AA34" i="6"/>
  <c r="A32" i="4" s="1"/>
  <c r="AA29" i="6"/>
  <c r="A27" i="4" s="1"/>
  <c r="AA35" i="6"/>
  <c r="A33" i="4" s="1"/>
  <c r="AA18" i="6"/>
  <c r="A18" i="4" s="1"/>
  <c r="AA36" i="6"/>
  <c r="A34" i="4" s="1"/>
  <c r="AA27" i="6"/>
  <c r="AA26" i="6"/>
  <c r="A25" i="4" s="1"/>
  <c r="AA25" i="6"/>
  <c r="A24" i="4" s="1"/>
  <c r="AA24" i="6"/>
  <c r="AA23" i="6"/>
  <c r="A23" i="4" s="1"/>
  <c r="AA5" i="6"/>
  <c r="A5" i="4" s="1"/>
  <c r="AA37" i="6"/>
  <c r="A35" i="4" s="1"/>
  <c r="AA22" i="6"/>
  <c r="A22" i="4" s="1"/>
  <c r="AA38" i="6"/>
  <c r="A36" i="4" s="1"/>
  <c r="AA21" i="6"/>
  <c r="A21" i="4" s="1"/>
  <c r="AA20" i="6"/>
  <c r="A20" i="4" s="1"/>
  <c r="AA39" i="6"/>
  <c r="A37" i="4" s="1"/>
  <c r="AA19" i="6"/>
  <c r="A19" i="4" s="1"/>
  <c r="AA41" i="6"/>
  <c r="AA42" i="6"/>
  <c r="AA17" i="6"/>
  <c r="A17" i="4" s="1"/>
  <c r="AA43" i="6"/>
  <c r="AA16" i="6"/>
  <c r="A16" i="4" s="1"/>
  <c r="AA44" i="6"/>
  <c r="AA15" i="6"/>
  <c r="A15" i="4" s="1"/>
  <c r="AA45" i="6"/>
  <c r="AA14" i="6"/>
  <c r="A14" i="4" s="1"/>
  <c r="AA46" i="6"/>
  <c r="AA13" i="6"/>
  <c r="A13" i="4" s="1"/>
  <c r="AA47" i="6"/>
  <c r="AA12" i="6"/>
  <c r="A12" i="4" s="1"/>
  <c r="AA40" i="6"/>
  <c r="AA11" i="6"/>
  <c r="A11" i="4" s="1"/>
  <c r="AA48" i="6"/>
  <c r="AA10" i="6"/>
  <c r="A10" i="4" s="1"/>
  <c r="AA49" i="6"/>
  <c r="AA9" i="6"/>
  <c r="A9" i="4" s="1"/>
  <c r="AA50" i="6"/>
  <c r="AA8" i="6"/>
  <c r="A8" i="4" s="1"/>
  <c r="AA51" i="6"/>
  <c r="C94" i="7"/>
  <c r="D97" i="7" l="1"/>
  <c r="Q61" i="6"/>
  <c r="R61" i="7"/>
  <c r="AC61" i="6" s="1"/>
  <c r="Q59" i="6"/>
  <c r="R59" i="7"/>
  <c r="AC59" i="6" s="1"/>
  <c r="Q41" i="6"/>
  <c r="D95" i="7"/>
  <c r="C95" i="7"/>
  <c r="R41" i="7"/>
  <c r="AC41" i="6" s="1"/>
  <c r="F17" i="10" s="1"/>
  <c r="E86" i="7"/>
  <c r="R22" i="7"/>
  <c r="AC22" i="6" s="1"/>
  <c r="D22" i="4" s="1"/>
  <c r="Q22" i="6"/>
  <c r="AB50" i="6"/>
  <c r="E26" i="10"/>
  <c r="AA71" i="7"/>
  <c r="Y71" i="7"/>
  <c r="W71" i="7"/>
  <c r="D81" i="7"/>
  <c r="G81" i="7" s="1"/>
  <c r="X71" i="7"/>
  <c r="Z71" i="7"/>
  <c r="V71" i="7"/>
  <c r="F81" i="7"/>
  <c r="D101" i="7"/>
  <c r="G101" i="7" s="1"/>
  <c r="AA70" i="7"/>
  <c r="Z70" i="7"/>
  <c r="Y70" i="7"/>
  <c r="X70" i="7"/>
  <c r="V70" i="7"/>
  <c r="W70" i="7"/>
  <c r="F101" i="7"/>
  <c r="E102" i="7"/>
  <c r="G102" i="7" s="1"/>
  <c r="AA69" i="7"/>
  <c r="Z69" i="7"/>
  <c r="Y69" i="7"/>
  <c r="X69" i="7"/>
  <c r="W69" i="7"/>
  <c r="V69" i="7"/>
  <c r="F102" i="7"/>
  <c r="AA67" i="7"/>
  <c r="Z67" i="7"/>
  <c r="Y67" i="7"/>
  <c r="X67" i="7"/>
  <c r="W67" i="7"/>
  <c r="V67" i="7"/>
  <c r="C111" i="7"/>
  <c r="G111" i="7" s="1"/>
  <c r="AA66" i="7"/>
  <c r="Z66" i="7"/>
  <c r="Y66" i="7"/>
  <c r="X66" i="7"/>
  <c r="W66" i="7"/>
  <c r="V66" i="7"/>
  <c r="F111" i="7"/>
  <c r="C106" i="7"/>
  <c r="G106" i="7" s="1"/>
  <c r="AA65" i="7"/>
  <c r="Z65" i="7"/>
  <c r="Y65" i="7"/>
  <c r="X65" i="7"/>
  <c r="W65" i="7"/>
  <c r="V65" i="7"/>
  <c r="F106" i="7"/>
  <c r="C93" i="7"/>
  <c r="G93" i="7" s="1"/>
  <c r="AA64" i="7"/>
  <c r="Z64" i="7"/>
  <c r="Y64" i="7"/>
  <c r="X64" i="7"/>
  <c r="W64" i="7"/>
  <c r="V64" i="7"/>
  <c r="F93" i="7"/>
  <c r="W62" i="7"/>
  <c r="AA62" i="7"/>
  <c r="V62" i="7"/>
  <c r="Z62" i="7"/>
  <c r="Y62" i="7"/>
  <c r="X62" i="7"/>
  <c r="Y60" i="7"/>
  <c r="X60" i="7"/>
  <c r="W60" i="7"/>
  <c r="V60" i="7"/>
  <c r="E89" i="7"/>
  <c r="G89" i="7" s="1"/>
  <c r="AA60" i="7"/>
  <c r="Z60" i="7"/>
  <c r="F89" i="7"/>
  <c r="AA58" i="7"/>
  <c r="W58" i="7"/>
  <c r="Z58" i="7"/>
  <c r="X58" i="7"/>
  <c r="V58" i="7"/>
  <c r="Y58" i="7"/>
  <c r="Z57" i="7"/>
  <c r="Y57" i="7"/>
  <c r="X57" i="7"/>
  <c r="W57" i="7"/>
  <c r="V57" i="7"/>
  <c r="D84" i="7"/>
  <c r="AA57" i="7"/>
  <c r="AA55" i="7"/>
  <c r="Z55" i="7"/>
  <c r="Y55" i="7"/>
  <c r="W55" i="7"/>
  <c r="V55" i="7"/>
  <c r="E100" i="7"/>
  <c r="G100" i="7" s="1"/>
  <c r="X55" i="7"/>
  <c r="F100" i="7"/>
  <c r="E76" i="7"/>
  <c r="G76" i="7" s="1"/>
  <c r="AA54" i="7"/>
  <c r="Z54" i="7"/>
  <c r="Y54" i="7"/>
  <c r="X54" i="7"/>
  <c r="W54" i="7"/>
  <c r="V54" i="7"/>
  <c r="F76" i="7"/>
  <c r="Z52" i="7"/>
  <c r="X52" i="7"/>
  <c r="V52" i="7"/>
  <c r="AA52" i="7"/>
  <c r="Y52" i="7"/>
  <c r="W52" i="7"/>
  <c r="AA51" i="7"/>
  <c r="Z51" i="7"/>
  <c r="Y51" i="7"/>
  <c r="X51" i="7"/>
  <c r="W51" i="7"/>
  <c r="V51" i="7"/>
  <c r="I9" i="3"/>
  <c r="D91" i="7"/>
  <c r="G91" i="7" s="1"/>
  <c r="AA48" i="7"/>
  <c r="Z48" i="7"/>
  <c r="Y48" i="7"/>
  <c r="X48" i="7"/>
  <c r="W48" i="7"/>
  <c r="V48" i="7"/>
  <c r="F91" i="7"/>
  <c r="D92" i="7"/>
  <c r="AA39" i="7"/>
  <c r="Z39" i="7"/>
  <c r="Y39" i="7"/>
  <c r="X39" i="7"/>
  <c r="W39" i="7"/>
  <c r="V39" i="7"/>
  <c r="C108" i="7"/>
  <c r="AA38" i="7"/>
  <c r="Z38" i="7"/>
  <c r="Y38" i="7"/>
  <c r="X38" i="7"/>
  <c r="W38" i="7"/>
  <c r="V38" i="7"/>
  <c r="C114" i="7"/>
  <c r="G114" i="7" s="1"/>
  <c r="AA37" i="7"/>
  <c r="Z37" i="7"/>
  <c r="Y37" i="7"/>
  <c r="X37" i="7"/>
  <c r="W37" i="7"/>
  <c r="V37" i="7"/>
  <c r="F114" i="7"/>
  <c r="I12" i="3"/>
  <c r="AA36" i="7"/>
  <c r="Z36" i="7"/>
  <c r="Y36" i="7"/>
  <c r="W36" i="7"/>
  <c r="C105" i="7"/>
  <c r="G105" i="7" s="1"/>
  <c r="X36" i="7"/>
  <c r="V36" i="7"/>
  <c r="F105" i="7"/>
  <c r="AA35" i="7"/>
  <c r="Z35" i="7"/>
  <c r="Y35" i="7"/>
  <c r="X35" i="7"/>
  <c r="W35" i="7"/>
  <c r="V35" i="7"/>
  <c r="AA34" i="7"/>
  <c r="Z34" i="7"/>
  <c r="Y34" i="7"/>
  <c r="X34" i="7"/>
  <c r="W34" i="7"/>
  <c r="V34" i="7"/>
  <c r="W33" i="7"/>
  <c r="X33" i="7"/>
  <c r="AA33" i="7"/>
  <c r="Z33" i="7"/>
  <c r="Y33" i="7"/>
  <c r="V33" i="7"/>
  <c r="Y30" i="7"/>
  <c r="X30" i="7"/>
  <c r="V30" i="7"/>
  <c r="AA30" i="7"/>
  <c r="Z30" i="7"/>
  <c r="W30" i="7"/>
  <c r="Z29" i="7"/>
  <c r="Y29" i="7"/>
  <c r="W29" i="7"/>
  <c r="AA29" i="7"/>
  <c r="X29" i="7"/>
  <c r="V29" i="7"/>
  <c r="E104" i="7"/>
  <c r="Z27" i="7"/>
  <c r="W27" i="7"/>
  <c r="AA27" i="7"/>
  <c r="Y27" i="7"/>
  <c r="X27" i="7"/>
  <c r="V27" i="7"/>
  <c r="X26" i="7"/>
  <c r="AA26" i="7"/>
  <c r="Z26" i="7"/>
  <c r="Y26" i="7"/>
  <c r="W26" i="7"/>
  <c r="V26" i="7"/>
  <c r="D112" i="7"/>
  <c r="G112" i="7" s="1"/>
  <c r="F112" i="7"/>
  <c r="Z25" i="7"/>
  <c r="X25" i="7"/>
  <c r="V25" i="7"/>
  <c r="Y25" i="7"/>
  <c r="AA25" i="7"/>
  <c r="W25" i="7"/>
  <c r="V24" i="7"/>
  <c r="Z24" i="7"/>
  <c r="X24" i="7"/>
  <c r="AA24" i="7"/>
  <c r="Y24" i="7"/>
  <c r="W24" i="7"/>
  <c r="AA23" i="7"/>
  <c r="Y23" i="7"/>
  <c r="V23" i="7"/>
  <c r="C92" i="7"/>
  <c r="G92" i="7" s="1"/>
  <c r="Z23" i="7"/>
  <c r="X23" i="7"/>
  <c r="W23" i="7"/>
  <c r="F92" i="7"/>
  <c r="Z20" i="7"/>
  <c r="V20" i="7"/>
  <c r="AA20" i="7"/>
  <c r="Y20" i="7"/>
  <c r="W20" i="7"/>
  <c r="D109" i="7"/>
  <c r="G109" i="7" s="1"/>
  <c r="X20" i="7"/>
  <c r="F109" i="7"/>
  <c r="D107" i="7"/>
  <c r="G107" i="7" s="1"/>
  <c r="AA18" i="7"/>
  <c r="Z18" i="7"/>
  <c r="Y18" i="7"/>
  <c r="X18" i="7"/>
  <c r="W18" i="7"/>
  <c r="V18" i="7"/>
  <c r="F107" i="7"/>
  <c r="C97" i="7"/>
  <c r="AA17" i="7"/>
  <c r="Z17" i="7"/>
  <c r="Y17" i="7"/>
  <c r="X17" i="7"/>
  <c r="W17" i="7"/>
  <c r="V17" i="7"/>
  <c r="D80" i="7"/>
  <c r="G80" i="7" s="1"/>
  <c r="AA16" i="7"/>
  <c r="Z16" i="7"/>
  <c r="Y16" i="7"/>
  <c r="X16" i="7"/>
  <c r="W16" i="7"/>
  <c r="V16" i="7"/>
  <c r="F80" i="7"/>
  <c r="D79" i="7"/>
  <c r="AA15" i="7"/>
  <c r="Z15" i="7"/>
  <c r="Y15" i="7"/>
  <c r="X15" i="7"/>
  <c r="W15" i="7"/>
  <c r="V15" i="7"/>
  <c r="J22" i="1"/>
  <c r="K14" i="4"/>
  <c r="D108" i="7"/>
  <c r="AA14" i="7"/>
  <c r="Z14" i="7"/>
  <c r="Y14" i="7"/>
  <c r="X14" i="7"/>
  <c r="W14" i="7"/>
  <c r="V14" i="7"/>
  <c r="F108" i="7"/>
  <c r="J21" i="1"/>
  <c r="K13" i="4"/>
  <c r="C113" i="7"/>
  <c r="G113" i="7" s="1"/>
  <c r="AA13" i="7"/>
  <c r="Z13" i="7"/>
  <c r="Y13" i="7"/>
  <c r="X13" i="7"/>
  <c r="W13" i="7"/>
  <c r="V13" i="7"/>
  <c r="F113" i="7"/>
  <c r="J20" i="1"/>
  <c r="K12" i="4"/>
  <c r="D82" i="7"/>
  <c r="G82" i="7" s="1"/>
  <c r="AA12" i="7"/>
  <c r="Z12" i="7"/>
  <c r="Y12" i="7"/>
  <c r="X12" i="7"/>
  <c r="W12" i="7"/>
  <c r="V12" i="7"/>
  <c r="F82" i="7"/>
  <c r="J19" i="1"/>
  <c r="K11" i="4"/>
  <c r="C79" i="7"/>
  <c r="G79" i="7" s="1"/>
  <c r="I10" i="3"/>
  <c r="AA11" i="7"/>
  <c r="Z11" i="7"/>
  <c r="Y11" i="7"/>
  <c r="X11" i="7"/>
  <c r="W11" i="7"/>
  <c r="V11" i="7"/>
  <c r="F79" i="7"/>
  <c r="J18" i="1"/>
  <c r="K10" i="4"/>
  <c r="AA10" i="7"/>
  <c r="Z10" i="7"/>
  <c r="Y10" i="7"/>
  <c r="X10" i="7"/>
  <c r="W10" i="7"/>
  <c r="V10" i="7"/>
  <c r="D110" i="7"/>
  <c r="J17" i="1"/>
  <c r="K9" i="4"/>
  <c r="D99" i="7"/>
  <c r="G99" i="7" s="1"/>
  <c r="AA9" i="7"/>
  <c r="X9" i="7"/>
  <c r="I7" i="3"/>
  <c r="Z9" i="7"/>
  <c r="Y9" i="7"/>
  <c r="W9" i="7"/>
  <c r="V9" i="7"/>
  <c r="F99" i="7"/>
  <c r="J16" i="1"/>
  <c r="K8" i="4"/>
  <c r="AA8" i="7"/>
  <c r="Z8" i="7"/>
  <c r="Y8" i="7"/>
  <c r="X8" i="7"/>
  <c r="W8" i="7"/>
  <c r="V8" i="7"/>
  <c r="K7" i="4"/>
  <c r="J15" i="1"/>
  <c r="I11" i="3"/>
  <c r="AA7" i="7"/>
  <c r="Z7" i="7"/>
  <c r="X7" i="7"/>
  <c r="D85" i="7"/>
  <c r="G85" i="7" s="1"/>
  <c r="W7" i="7"/>
  <c r="V7" i="7"/>
  <c r="Y7" i="7"/>
  <c r="F85" i="7"/>
  <c r="J14" i="1"/>
  <c r="K6" i="4"/>
  <c r="C104" i="7"/>
  <c r="AA6" i="7"/>
  <c r="Z6" i="7"/>
  <c r="Y6" i="7"/>
  <c r="X6" i="7"/>
  <c r="W6" i="7"/>
  <c r="V6" i="7"/>
  <c r="F104" i="7"/>
  <c r="J13" i="1"/>
  <c r="K5" i="4"/>
  <c r="AA5" i="7"/>
  <c r="Z5" i="7"/>
  <c r="Y5" i="7"/>
  <c r="X5" i="7"/>
  <c r="W5" i="7"/>
  <c r="V5" i="7"/>
  <c r="C103" i="7"/>
  <c r="G103" i="7" s="1"/>
  <c r="F103" i="7"/>
  <c r="E5" i="10"/>
  <c r="G31" i="3"/>
  <c r="F5" i="10"/>
  <c r="H31" i="3"/>
  <c r="AB40" i="6"/>
  <c r="E16" i="10"/>
  <c r="G21" i="3"/>
  <c r="F16" i="10"/>
  <c r="H21" i="3"/>
  <c r="AB32" i="6"/>
  <c r="G20" i="3"/>
  <c r="C30" i="4"/>
  <c r="H20" i="3"/>
  <c r="D30" i="4"/>
  <c r="AB21" i="6"/>
  <c r="G48" i="3"/>
  <c r="C21" i="4"/>
  <c r="H48" i="3"/>
  <c r="D21" i="4"/>
  <c r="E10" i="10"/>
  <c r="G39" i="3"/>
  <c r="F10" i="10"/>
  <c r="H39" i="3"/>
  <c r="AF71" i="6"/>
  <c r="AE71" i="6"/>
  <c r="K37" i="3" s="1"/>
  <c r="AF70" i="6"/>
  <c r="AE70" i="6"/>
  <c r="AF69" i="6"/>
  <c r="AE69" i="6"/>
  <c r="AF68" i="6"/>
  <c r="AE68" i="6"/>
  <c r="K39" i="3" s="1"/>
  <c r="AF67" i="6"/>
  <c r="AE67" i="6"/>
  <c r="K45" i="3" s="1"/>
  <c r="AF66" i="6"/>
  <c r="AE66" i="6"/>
  <c r="K44" i="3" s="1"/>
  <c r="AF65" i="6"/>
  <c r="AE65" i="6"/>
  <c r="K43" i="3" s="1"/>
  <c r="AF64" i="6"/>
  <c r="AE64" i="6"/>
  <c r="AF63" i="6"/>
  <c r="AE63" i="6"/>
  <c r="K31" i="3" s="1"/>
  <c r="AF62" i="6"/>
  <c r="AE62" i="6"/>
  <c r="K24" i="3" s="1"/>
  <c r="AF61" i="6"/>
  <c r="AE61" i="6"/>
  <c r="K27" i="3" s="1"/>
  <c r="AF60" i="6"/>
  <c r="AE60" i="6"/>
  <c r="AF59" i="6"/>
  <c r="AE59" i="6"/>
  <c r="K23" i="3" s="1"/>
  <c r="AF58" i="6"/>
  <c r="AE58" i="6"/>
  <c r="AF57" i="6"/>
  <c r="AE57" i="6"/>
  <c r="AF56" i="6"/>
  <c r="AE56" i="6"/>
  <c r="AF55" i="6"/>
  <c r="AE55" i="6"/>
  <c r="AF54" i="6"/>
  <c r="AE54" i="6"/>
  <c r="K52" i="3" s="1"/>
  <c r="AF53" i="6"/>
  <c r="AE53" i="6"/>
  <c r="AF52" i="6"/>
  <c r="AE52" i="6"/>
  <c r="AF51" i="6"/>
  <c r="AE51" i="6"/>
  <c r="K26" i="3" s="1"/>
  <c r="AF50" i="6"/>
  <c r="AE50" i="6"/>
  <c r="AF49" i="6"/>
  <c r="AE49" i="6"/>
  <c r="AF48" i="6"/>
  <c r="AE48" i="6"/>
  <c r="K32" i="3" s="1"/>
  <c r="AF47" i="6"/>
  <c r="AE47" i="6"/>
  <c r="AF46" i="6"/>
  <c r="AE46" i="6"/>
  <c r="AF45" i="6"/>
  <c r="AE45" i="6"/>
  <c r="AF44" i="6"/>
  <c r="AE44" i="6"/>
  <c r="AF43" i="6"/>
  <c r="AE43" i="6"/>
  <c r="AF42" i="6"/>
  <c r="AE42" i="6"/>
  <c r="AF41" i="6"/>
  <c r="AE41" i="6"/>
  <c r="AF40" i="6"/>
  <c r="AE40" i="6"/>
  <c r="K21" i="3" s="1"/>
  <c r="AF39" i="6"/>
  <c r="M37" i="4" s="1"/>
  <c r="AE39" i="6"/>
  <c r="AF38" i="6"/>
  <c r="M36" i="4" s="1"/>
  <c r="AE38" i="6"/>
  <c r="AF37" i="6"/>
  <c r="M35" i="4" s="1"/>
  <c r="AE37" i="6"/>
  <c r="AF36" i="6"/>
  <c r="M34" i="4" s="1"/>
  <c r="AE36" i="6"/>
  <c r="AF35" i="6"/>
  <c r="M33" i="4" s="1"/>
  <c r="AE35" i="6"/>
  <c r="AF34" i="6"/>
  <c r="M32" i="4" s="1"/>
  <c r="AE34" i="6"/>
  <c r="AF33" i="6"/>
  <c r="M31" i="4" s="1"/>
  <c r="AE33" i="6"/>
  <c r="AF32" i="6"/>
  <c r="M30" i="4" s="1"/>
  <c r="AE32" i="6"/>
  <c r="AF31" i="6"/>
  <c r="M29" i="4" s="1"/>
  <c r="AE31" i="6"/>
  <c r="L29" i="4" s="1"/>
  <c r="AF30" i="6"/>
  <c r="M28" i="4" s="1"/>
  <c r="AE30" i="6"/>
  <c r="AF29" i="6"/>
  <c r="M27" i="4" s="1"/>
  <c r="AE29" i="6"/>
  <c r="AF28" i="6"/>
  <c r="M26" i="4" s="1"/>
  <c r="AE28" i="6"/>
  <c r="L26" i="4" s="1"/>
  <c r="AF27" i="6"/>
  <c r="AE27" i="6"/>
  <c r="AF26" i="6"/>
  <c r="M25" i="4" s="1"/>
  <c r="AE26" i="6"/>
  <c r="AF25" i="6"/>
  <c r="M24" i="4" s="1"/>
  <c r="AE25" i="6"/>
  <c r="L24" i="4" s="1"/>
  <c r="AF24" i="6"/>
  <c r="AE24" i="6"/>
  <c r="AF23" i="6"/>
  <c r="M23" i="4" s="1"/>
  <c r="AE23" i="6"/>
  <c r="L23" i="4" s="1"/>
  <c r="AF22" i="6"/>
  <c r="M22" i="4" s="1"/>
  <c r="AE22" i="6"/>
  <c r="L22" i="4" s="1"/>
  <c r="AF21" i="6"/>
  <c r="M21" i="4" s="1"/>
  <c r="AE21" i="6"/>
  <c r="AF20" i="6"/>
  <c r="M20" i="4" s="1"/>
  <c r="AE20" i="6"/>
  <c r="AF19" i="6"/>
  <c r="M19" i="4" s="1"/>
  <c r="AE19" i="6"/>
  <c r="L19" i="4" s="1"/>
  <c r="AF18" i="6"/>
  <c r="M18" i="4" s="1"/>
  <c r="AE18" i="6"/>
  <c r="AF17" i="6"/>
  <c r="M17" i="4" s="1"/>
  <c r="AE17" i="6"/>
  <c r="AF16" i="6"/>
  <c r="M16" i="4" s="1"/>
  <c r="AE16" i="6"/>
  <c r="AF15" i="6"/>
  <c r="M15" i="4" s="1"/>
  <c r="AE15" i="6"/>
  <c r="AF14" i="6"/>
  <c r="AE14" i="6"/>
  <c r="AF13" i="6"/>
  <c r="AE13" i="6"/>
  <c r="AF12" i="6"/>
  <c r="AE12" i="6"/>
  <c r="AF11" i="6"/>
  <c r="AE11" i="6"/>
  <c r="AF10" i="6"/>
  <c r="AE10" i="6"/>
  <c r="AF9" i="6"/>
  <c r="AE9" i="6"/>
  <c r="AF8" i="6"/>
  <c r="AE8" i="6"/>
  <c r="AF7" i="6"/>
  <c r="AE7" i="6"/>
  <c r="AF6" i="6"/>
  <c r="AE6" i="6"/>
  <c r="AF5" i="6"/>
  <c r="AE5" i="6"/>
  <c r="G29" i="10"/>
  <c r="S53" i="7"/>
  <c r="AD53" i="6"/>
  <c r="G25" i="10"/>
  <c r="S49" i="7"/>
  <c r="AD49" i="6"/>
  <c r="G23" i="10"/>
  <c r="S47" i="7"/>
  <c r="AD47" i="6"/>
  <c r="G22" i="10"/>
  <c r="S46" i="7"/>
  <c r="AD46" i="6"/>
  <c r="G21" i="10"/>
  <c r="S45" i="7"/>
  <c r="AD45" i="6"/>
  <c r="G20" i="10"/>
  <c r="S44" i="7"/>
  <c r="AD44" i="6"/>
  <c r="G19" i="10"/>
  <c r="S43" i="7"/>
  <c r="AD43" i="6"/>
  <c r="G18" i="10"/>
  <c r="S42" i="7"/>
  <c r="F110" i="7" s="1"/>
  <c r="AD42" i="6"/>
  <c r="B29" i="4"/>
  <c r="S31" i="7"/>
  <c r="AD31" i="6"/>
  <c r="K29" i="4" s="1"/>
  <c r="B26" i="4"/>
  <c r="S28" i="7"/>
  <c r="AD28" i="6"/>
  <c r="K26" i="4" s="1"/>
  <c r="B19" i="4"/>
  <c r="S19" i="7"/>
  <c r="AD19" i="6"/>
  <c r="K19" i="4" s="1"/>
  <c r="G32" i="10"/>
  <c r="S56" i="7"/>
  <c r="AD56" i="6"/>
  <c r="F75" i="7"/>
  <c r="D75" i="7"/>
  <c r="G75" i="7" s="1"/>
  <c r="AA68" i="7"/>
  <c r="Z68" i="7"/>
  <c r="Y68" i="7"/>
  <c r="X68" i="7"/>
  <c r="W68" i="7"/>
  <c r="V68" i="7"/>
  <c r="F88" i="7"/>
  <c r="I8" i="3"/>
  <c r="D88" i="7"/>
  <c r="G88" i="7" s="1"/>
  <c r="AA63" i="7"/>
  <c r="Z63" i="7"/>
  <c r="Y63" i="7"/>
  <c r="X63" i="7"/>
  <c r="W63" i="7"/>
  <c r="V63" i="7"/>
  <c r="G27" i="3" l="1"/>
  <c r="E37" i="10"/>
  <c r="AB61" i="6"/>
  <c r="H27" i="3"/>
  <c r="F37" i="10"/>
  <c r="G23" i="3"/>
  <c r="E35" i="10"/>
  <c r="AB59" i="6"/>
  <c r="H23" i="3"/>
  <c r="F35" i="10"/>
  <c r="AB41" i="6"/>
  <c r="E17" i="10"/>
  <c r="AB22" i="6"/>
  <c r="C23" i="1" s="1"/>
  <c r="C22" i="4"/>
  <c r="G26" i="10"/>
  <c r="S50" i="7"/>
  <c r="F96" i="7" s="1"/>
  <c r="AD50" i="6"/>
  <c r="K22" i="3"/>
  <c r="I21" i="3"/>
  <c r="G16" i="10"/>
  <c r="S40" i="7"/>
  <c r="AD40" i="6"/>
  <c r="B30" i="4"/>
  <c r="I20" i="3"/>
  <c r="S32" i="7"/>
  <c r="AD32" i="6"/>
  <c r="K30" i="4" s="1"/>
  <c r="B21" i="4"/>
  <c r="I48" i="3"/>
  <c r="S21" i="7"/>
  <c r="AD21" i="6"/>
  <c r="K21" i="4" s="1"/>
  <c r="K51" i="3"/>
  <c r="L37" i="4"/>
  <c r="K53" i="3"/>
  <c r="L36" i="4"/>
  <c r="K42" i="3"/>
  <c r="L35" i="4"/>
  <c r="K41" i="3"/>
  <c r="L34" i="4"/>
  <c r="K30" i="3"/>
  <c r="L33" i="4"/>
  <c r="K19" i="3"/>
  <c r="L32" i="4"/>
  <c r="K50" i="3"/>
  <c r="L31" i="4"/>
  <c r="K20" i="3"/>
  <c r="L30" i="4"/>
  <c r="K29" i="3"/>
  <c r="L28" i="4"/>
  <c r="K18" i="3"/>
  <c r="L27" i="4"/>
  <c r="K40" i="3"/>
  <c r="L25" i="4"/>
  <c r="K48" i="3"/>
  <c r="L21" i="4"/>
  <c r="K49" i="3"/>
  <c r="L20" i="4"/>
  <c r="K47" i="3"/>
  <c r="L18" i="4"/>
  <c r="K25" i="3"/>
  <c r="L17" i="4"/>
  <c r="K36" i="3"/>
  <c r="L16" i="4"/>
  <c r="K35" i="3"/>
  <c r="L15" i="4"/>
  <c r="G22" i="1"/>
  <c r="M14" i="4"/>
  <c r="F22" i="1"/>
  <c r="L14" i="4"/>
  <c r="G21" i="1"/>
  <c r="M13" i="4"/>
  <c r="F21" i="1"/>
  <c r="L13" i="4"/>
  <c r="G20" i="1"/>
  <c r="M12" i="4"/>
  <c r="F20" i="1"/>
  <c r="K34" i="3"/>
  <c r="L12" i="4"/>
  <c r="G19" i="1"/>
  <c r="M11" i="4"/>
  <c r="F19" i="1"/>
  <c r="K33" i="3"/>
  <c r="L11" i="4"/>
  <c r="M10" i="4"/>
  <c r="G18" i="1"/>
  <c r="F18" i="1"/>
  <c r="L10" i="4"/>
  <c r="M9" i="4"/>
  <c r="G17" i="1"/>
  <c r="F17" i="1"/>
  <c r="K28" i="3"/>
  <c r="L9" i="4"/>
  <c r="G16" i="1"/>
  <c r="M8" i="4"/>
  <c r="L8" i="4"/>
  <c r="F16" i="1"/>
  <c r="K17" i="3"/>
  <c r="G15" i="1"/>
  <c r="M7" i="4"/>
  <c r="F15" i="1"/>
  <c r="K38" i="3"/>
  <c r="L7" i="4"/>
  <c r="M6" i="4"/>
  <c r="G14" i="1"/>
  <c r="F14" i="1"/>
  <c r="L6" i="4"/>
  <c r="G13" i="1"/>
  <c r="M5" i="4"/>
  <c r="L5" i="4"/>
  <c r="F13" i="1"/>
  <c r="K46" i="3"/>
  <c r="E98" i="7"/>
  <c r="G98" i="7" s="1"/>
  <c r="AA53" i="7"/>
  <c r="Z53" i="7"/>
  <c r="Y53" i="7"/>
  <c r="X53" i="7"/>
  <c r="W53" i="7"/>
  <c r="V53" i="7"/>
  <c r="F98" i="7"/>
  <c r="E84" i="7"/>
  <c r="G84" i="7" s="1"/>
  <c r="AA49" i="7"/>
  <c r="Z49" i="7"/>
  <c r="Y49" i="7"/>
  <c r="X49" i="7"/>
  <c r="W49" i="7"/>
  <c r="V49" i="7"/>
  <c r="F84" i="7"/>
  <c r="AA47" i="7"/>
  <c r="Z47" i="7"/>
  <c r="Y47" i="7"/>
  <c r="X47" i="7"/>
  <c r="W47" i="7"/>
  <c r="V47" i="7"/>
  <c r="C83" i="7"/>
  <c r="G83" i="7" s="1"/>
  <c r="AA46" i="7"/>
  <c r="Z46" i="7"/>
  <c r="Y46" i="7"/>
  <c r="X46" i="7"/>
  <c r="W46" i="7"/>
  <c r="V46" i="7"/>
  <c r="F83" i="7"/>
  <c r="AA45" i="7"/>
  <c r="Z45" i="7"/>
  <c r="Y45" i="7"/>
  <c r="X45" i="7"/>
  <c r="W45" i="7"/>
  <c r="V45" i="7"/>
  <c r="AA44" i="7"/>
  <c r="Y44" i="7"/>
  <c r="X44" i="7"/>
  <c r="V44" i="7"/>
  <c r="C87" i="7"/>
  <c r="G87" i="7" s="1"/>
  <c r="Z44" i="7"/>
  <c r="W44" i="7"/>
  <c r="F87" i="7"/>
  <c r="AA43" i="7"/>
  <c r="Y43" i="7"/>
  <c r="X43" i="7"/>
  <c r="D78" i="7"/>
  <c r="G78" i="7" s="1"/>
  <c r="Z43" i="7"/>
  <c r="V43" i="7"/>
  <c r="W43" i="7"/>
  <c r="F78" i="7"/>
  <c r="Y42" i="7"/>
  <c r="AA42" i="7"/>
  <c r="Z42" i="7"/>
  <c r="X42" i="7"/>
  <c r="W42" i="7"/>
  <c r="V42" i="7"/>
  <c r="C110" i="7"/>
  <c r="G110" i="7" s="1"/>
  <c r="C86" i="7"/>
  <c r="AA31" i="7"/>
  <c r="W31" i="7"/>
  <c r="X31" i="7"/>
  <c r="Y31" i="7"/>
  <c r="V31" i="7"/>
  <c r="Z31" i="7"/>
  <c r="X28" i="7"/>
  <c r="V28" i="7"/>
  <c r="AA28" i="7"/>
  <c r="Z28" i="7"/>
  <c r="Y28" i="7"/>
  <c r="W28" i="7"/>
  <c r="W19" i="7"/>
  <c r="AA19" i="7"/>
  <c r="X19" i="7"/>
  <c r="D96" i="7"/>
  <c r="Z19" i="7"/>
  <c r="Y19" i="7"/>
  <c r="V19" i="7"/>
  <c r="AA56" i="7"/>
  <c r="Z56" i="7"/>
  <c r="Y56" i="7"/>
  <c r="X56" i="7"/>
  <c r="W56" i="7"/>
  <c r="V56" i="7"/>
  <c r="C90" i="7"/>
  <c r="G90" i="7" s="1"/>
  <c r="F90" i="7"/>
  <c r="G108" i="7"/>
  <c r="G104" i="7"/>
  <c r="I27" i="3" l="1"/>
  <c r="G37" i="10"/>
  <c r="S61" i="7"/>
  <c r="AD61" i="6"/>
  <c r="I23" i="3"/>
  <c r="G35" i="10"/>
  <c r="S59" i="7"/>
  <c r="F94" i="7" s="1"/>
  <c r="AD59" i="6"/>
  <c r="G17" i="10"/>
  <c r="S41" i="7"/>
  <c r="AD41" i="6"/>
  <c r="AD22" i="6"/>
  <c r="K22" i="4" s="1"/>
  <c r="S22" i="7"/>
  <c r="B22" i="4"/>
  <c r="W50" i="7"/>
  <c r="X50" i="7"/>
  <c r="Y50" i="7"/>
  <c r="Z50" i="7"/>
  <c r="AA50" i="7"/>
  <c r="V50" i="7"/>
  <c r="E96" i="7"/>
  <c r="G96" i="7" s="1"/>
  <c r="V40" i="7"/>
  <c r="W40" i="7"/>
  <c r="X40" i="7"/>
  <c r="Y40" i="7"/>
  <c r="Z40" i="7"/>
  <c r="AA40" i="7"/>
  <c r="D94" i="7"/>
  <c r="V32" i="7"/>
  <c r="W32" i="7"/>
  <c r="X32" i="7"/>
  <c r="Y32" i="7"/>
  <c r="Z32" i="7"/>
  <c r="AA32" i="7"/>
  <c r="I5" i="3"/>
  <c r="I13" i="3"/>
  <c r="AA21" i="7"/>
  <c r="V21" i="7"/>
  <c r="W21" i="7"/>
  <c r="X21" i="7"/>
  <c r="Y21" i="7"/>
  <c r="Z21" i="7"/>
  <c r="D77" i="7"/>
  <c r="G77" i="7" s="1"/>
  <c r="F77" i="7"/>
  <c r="F97" i="7" l="1"/>
  <c r="I6" i="3"/>
  <c r="E97" i="7"/>
  <c r="G97" i="7" s="1"/>
  <c r="V61" i="7"/>
  <c r="W61" i="7"/>
  <c r="X61" i="7"/>
  <c r="Y61" i="7"/>
  <c r="Z61" i="7"/>
  <c r="AA61" i="7"/>
  <c r="V59" i="7"/>
  <c r="W59" i="7"/>
  <c r="Y59" i="7"/>
  <c r="X59" i="7"/>
  <c r="AA59" i="7"/>
  <c r="Z59" i="7"/>
  <c r="E94" i="7"/>
  <c r="G94" i="7" s="1"/>
  <c r="F95" i="7"/>
  <c r="X41" i="7"/>
  <c r="Y41" i="7"/>
  <c r="Z41" i="7"/>
  <c r="E95" i="7"/>
  <c r="G95" i="7" s="1"/>
  <c r="V41" i="7"/>
  <c r="W41" i="7"/>
  <c r="AA41" i="7"/>
  <c r="F86" i="7"/>
  <c r="W22" i="7"/>
  <c r="X22" i="7"/>
  <c r="AA22" i="7"/>
  <c r="V22" i="7"/>
  <c r="Y22" i="7"/>
  <c r="Z22" i="7"/>
  <c r="D86" i="7"/>
  <c r="G86" i="7" s="1"/>
</calcChain>
</file>

<file path=xl/sharedStrings.xml><?xml version="1.0" encoding="utf-8"?>
<sst xmlns="http://schemas.openxmlformats.org/spreadsheetml/2006/main" count="10689" uniqueCount="6339">
  <si>
    <t>Staples Marketplace PoC: which L3/L4 shelves to analyse, and against whom</t>
  </si>
  <si>
    <t>v2, prepared 29-Sep-2026 for Sai (LatentView). Paths are exact nodes from the Staples navigation tree (snapshot 21-Sep-2026).</t>
  </si>
  <si>
    <t>•</t>
  </si>
  <si>
    <t>Recommendation: run the PoC on 10 Tier-1 L3/L4 shelves across 5 Staples L1s, benchmarked against 6 competitors. A further 23 Tier-2 shelves are ready as swap-ins.</t>
  </si>
  <si>
    <t>Two lenses, one answer. Lens 1, Hero segmentation: is the shelf a Staples Hero (its own strength), a Probable Hero (a market favourite where Staples is not yet a destination) or a Non-Hero? Lens 2, a path score: 8 criteria led by Pat's 'White Chair' test, competitor depth and 1P protection.</t>
  </si>
  <si>
    <t>Tier 1 mixes both growth stories: 4 Heroes to EXTEND with style variants and 6 Probable Heroes to BUILD with marketplace sellers. Non-Heroes are capped at Tier 3, and Heroes where variants would substitute 1P (Office Chairs, Pens) are marked PROTECT.</t>
  </si>
  <si>
    <t>Every shelf first passed four hard gates: a true L3/L4 in the Staples tree, on Staples' work / school / small-business mission, 20+ Staples items as a baseline, and no clash with a Staples partner (Party City now supplies party décor and gift wrap on Staples.com).</t>
  </si>
  <si>
    <t>Six Tier-1 shelves already have Staples SKUs in hand ('Fast-start'). Competitors are picked per shelf; Amazon wins most secondaries because its sellers are the ones Staples can actually recruit.</t>
  </si>
  <si>
    <t>Caveats: no internal Staples sales or margin data exists, so 'Hero' uses external proxies (depth, header-nav visibility, merchandising investment, shopper association); swap in Staples' own sales rank when Pat shares it. Competitor depth is scored from desk research; confirm it when the listings are collected.</t>
  </si>
  <si>
    <t>Tier 1: PoC wave 1</t>
  </si>
  <si>
    <t>#</t>
  </si>
  <si>
    <t>Staples path (exact L3/L4)</t>
  </si>
  <si>
    <t>Score</t>
  </si>
  <si>
    <t>Level</t>
  </si>
  <si>
    <t>Hero segment · play</t>
  </si>
  <si>
    <t>Primary competitor</t>
  </si>
  <si>
    <t>Secondary competitor</t>
  </si>
  <si>
    <t>The story for the room</t>
  </si>
  <si>
    <t>Commercial moment</t>
  </si>
  <si>
    <t>Fast-start</t>
  </si>
  <si>
    <t>Office Supplies &gt; Calendars &amp; Planners &gt; Planners &amp; Personal Organizers</t>
  </si>
  <si>
    <t>L3</t>
  </si>
  <si>
    <t>Staples launched Sincerely Jules for Blue Sky in Jun-2026. This shows the next step beyond one influencer line.</t>
  </si>
  <si>
    <t>Jan-2027 New Year planning; Jul-Aug 2027 academic planners.</t>
  </si>
  <si>
    <t>Office Supplies &gt; Desk Organizers &amp; Accessories &gt; Desk Organizers</t>
  </si>
  <si>
    <t>Desk organization is a header-nav Staples staple and a low-ticket attach to every paper and pen basket.</t>
  </si>
  <si>
    <t>January 'get organized' season; BTS desk &amp; dorm refresh.</t>
  </si>
  <si>
    <t>Coffee, Water &amp; Snacks &gt; Water &amp; Beverages &gt; Water Bottles, Tumblers &amp; Travel Mugs</t>
  </si>
  <si>
    <t>Everyone in the room knows the Stanley / Owala craze.</t>
  </si>
  <si>
    <t>BTS-2027 (Jul-Sep); Q4 gifting; January hydration resolutions.</t>
  </si>
  <si>
    <t>Furniture &gt; Chairs &amp; Seating &gt; Accent &amp; Waiting Room Chairs</t>
  </si>
  <si>
    <t>Pat's own example: the thesis in one picture.</t>
  </si>
  <si>
    <t>Q1-2027 office refresh and return-to-office budgets.</t>
  </si>
  <si>
    <t>Furniture &gt; Lamps &amp; Lighting &gt; Desk Lamps</t>
  </si>
  <si>
    <t>2026 home-office trend reports all name better lighting and warm materials.</t>
  </si>
  <si>
    <t>Q1-2027 home-office refresh; BTS dorm.</t>
  </si>
  <si>
    <t>Office Supplies &gt; Writing Supplies &amp; Instruments &gt; Pencil Accessories &gt; Pencil Cases &amp; Pouches</t>
  </si>
  <si>
    <t>L4</t>
  </si>
  <si>
    <t>Staples' Recess Club / Jellygram exclusives (BTS 2026) already prove the demand.</t>
  </si>
  <si>
    <t>BTS-2027 (Jul-Sep).</t>
  </si>
  <si>
    <t>Bags, Backpacks &amp; Luggage &gt; Backpacks &amp; Laptop Bags &gt; Backpacks</t>
  </si>
  <si>
    <t>JanSport now sells on Target Plus, the curated-marketplace peer Pat can point to.</t>
  </si>
  <si>
    <t>BTS-2027.</t>
  </si>
  <si>
    <t>Bags, Backpacks &amp; Luggage &gt; Totes &amp; Handbags &gt; Lunch Bags &amp; Boxes</t>
  </si>
  <si>
    <t>BTS is Pat's named seasonal anchor and lunch is on every parent's list.</t>
  </si>
  <si>
    <t>BTS-2027; January 'bring lunch to the office' resolutions.</t>
  </si>
  <si>
    <t>School Supplies &gt; Teacher Supplies &gt; Classroom Decorations &gt; Decorative Accents &amp; Board Sets</t>
  </si>
  <si>
    <t>Teachers are a Staples loyalty segment (teacher coupon, teacher lists).</t>
  </si>
  <si>
    <t>BTS-2027 classroom set-up (Jul-Aug); Teacher Appreciation Week (May).</t>
  </si>
  <si>
    <t>Office Supplies &gt; Storage &amp; Organization &gt; Storage Baskets</t>
  </si>
  <si>
    <t>Organization is a January ritual every retailer promotes.</t>
  </si>
  <si>
    <t>January 'get organized' season.</t>
  </si>
  <si>
    <t>Tier-1 mix (live)</t>
  </si>
  <si>
    <t>What changed versus the initial 9-item list</t>
  </si>
  <si>
    <t>Kept and drilled down: Chairs &amp; Seating, Desks, Lamps &amp; Lighting (Wayfair stays primary), Hydration (now the exact L3 'Water Bottles, Tumblers &amp; Travel Mugs') and Planning (Planners is the #1 shelf overall).</t>
  </si>
  <si>
    <t>Hero segmentation moved from L2 to L3/L4. Most of the original L2s hold more than one segment: Chairs &amp; Seating has a Hero to protect (Office Chairs), Probable Heroes to build (Accent, Bar Stools, Benches, Breakroom, Ottomans) and Non-Heroes (Kids, Gaming). See 'Your List Review' column I and the roll-up in 'Hero Segmentation'.</t>
  </si>
  <si>
    <t>Competitor changed: Backpacks &amp; Bags moves from Scheels to Amazon + Target (Scheels skews technical / outdoor, away from Staples' student and commuter shopper); Hydration moves to Dick's + Target (same brands as Scheels, national reach).</t>
  </si>
  <si>
    <t>Parked: Rugs (no L3/L4 under 'Decor &gt; Rugs') and Labels (an L2 leaf of commodity labels, and a Staples Hero to protect). Reframed: 'Labels &amp; Packaging' becomes small-business packaging (Retail Boxes &amp; Bags, Mailers, Label Makers vs Amazon + Uline); gift wrap and gift bags are gated out because of the Party City partnership.</t>
  </si>
  <si>
    <t>Refocused: Fitness becomes an 'active workstation' idea (walking pads next to sit-stand desks); a Probable Hero, but Tier 3 on path score.</t>
  </si>
  <si>
    <t>New shelves the list missed: Desk Organizers, Pencil Cases &amp; Pouches, Classroom Decor, Storage Baskets (all Tier 1), plus desk-setup items and office decor in Tier 2.</t>
  </si>
  <si>
    <t>v2 vs v1: added the Hero lens. Clocks and Desk Pads drop from Tier 2 to Tier 3 because they are Non-Hero; Tier 2 now holds 23 shelves.</t>
  </si>
  <si>
    <t>Suggested sequencing</t>
  </si>
  <si>
    <t>1.</t>
  </si>
  <si>
    <t>Wave 1a (Staples data already in hand): Accent &amp; Waiting Room Chairs, Desk Lamps, Planners, Water Bottles, Backpacks, Lunch Bags &amp; Boxes: 2 Heroes (extend) and 4 Probable Heroes (build).</t>
  </si>
  <si>
    <t>2.</t>
  </si>
  <si>
    <t>Wave 1b (needs a Staples leaf scrape first): Desk Organizers, Pencil Cases &amp; Pouches, Classroom Decor, Storage Baskets.</t>
  </si>
  <si>
    <t>3.</t>
  </si>
  <si>
    <t>Keep Office Chairs as a control shelf (Hero, PROTECT): it shows the safety gate correctly rejecting look-alikes of core 1P chairs.</t>
  </si>
  <si>
    <t>4.</t>
  </si>
  <si>
    <t>Before the run: collect competitor listings per 'Competitor Fit' (primary first), confirm the depth scores, and ask Pat for a Staples sales / margin rank to replace the Hero proxies.</t>
  </si>
  <si>
    <t>How to read this workbook</t>
  </si>
  <si>
    <t>Segment Map</t>
  </si>
  <si>
    <t>One picture: every shelf placed as Hero, Probable Hero or Non-Hero.</t>
  </si>
  <si>
    <t>Your List Review</t>
  </si>
  <si>
    <t>Verdict on each of the 9 initial items, their segment mix, and exact L3/L4 drill-downs.</t>
  </si>
  <si>
    <t>Recommended Paths</t>
  </si>
  <si>
    <t>Tier 1 + Tier 2 shelves with segment, play, archetype hypotheses, 1P watch-outs, moments and where to look.</t>
  </si>
  <si>
    <t>Selection Criteria</t>
  </si>
  <si>
    <t>Gates, weights, segmentation proxies, cut-offs and plays (editable yellow cells).</t>
  </si>
  <si>
    <t>Path Scorecard</t>
  </si>
  <si>
    <t>All 67 candidate shelves with gates, segment, scores, rank, tier and play (formulas).</t>
  </si>
  <si>
    <t>Hero Segmentation</t>
  </si>
  <si>
    <t>The two indices behind each segment, plus an L2 roll-up.</t>
  </si>
  <si>
    <t>Competitor Fit / Competitor Profiles</t>
  </si>
  <si>
    <t>Why each primary and secondary competitor was chosen.</t>
  </si>
  <si>
    <t>Parked &amp; Excluded</t>
  </si>
  <si>
    <t>What was considered and dropped, and why.</t>
  </si>
  <si>
    <t>Evidence &amp; Sources</t>
  </si>
  <si>
    <t>Every fact with its source, date and reliability.</t>
  </si>
  <si>
    <t>Staples Tree Extract</t>
  </si>
  <si>
    <t>All terminal Staples nodes, for checking any path.</t>
  </si>
  <si>
    <t>Legend</t>
  </si>
  <si>
    <t>Blue text on yellow = editable input. Tiers: green Tier 1, amber Tier 2, grey Tier 3, red Parked. Segments: blue Hero, orange Probable Hero, grey Non-Hero.</t>
  </si>
  <si>
    <t>Segment map: Staples strength vs market attractiveness</t>
  </si>
  <si>
    <t>Picture = snapshot at default inputs (labelled). The Excel chart further down is live: it moves when you edit inputs or cut-offs.</t>
  </si>
  <si>
    <t>How to read it: right of the dashed line = Hero (Staples is already strong); top-left = Probable Hero (the market loves it, Staples is not yet a destination); bottom-left = Non-Hero.</t>
  </si>
  <si>
    <t>Plays: Hero shelves get EXTEND (add style extensions only) or PROTECT (keep the marketplace out, e.g. Office Chairs, Pens); Probable Heroes get BUILD (fill the gap with marketplace sellers); Non-Heroes are held.</t>
  </si>
  <si>
    <t>Tier 1 mixes both growth stories: Heroes to extend (Planners, Desk Organizers, Backpacks, Classroom Decor) and Probable Heroes to build (Water Bottles, Accent Chairs, Desk Lamps, Pencil Cases, Lunch, Storage Baskets).</t>
  </si>
  <si>
    <t>Review of the initial 9-item list, with exact L3/L4 drill-downs and their Hero segments</t>
  </si>
  <si>
    <t>Table 1 = verdict per item; column I shows that most L2s mix Hero, Probable Hero and Non-Hero shelves, which is why segmenting at L2 misleads. Table 2 = the drill-down paths.</t>
  </si>
  <si>
    <t>Your item</t>
  </si>
  <si>
    <t>Your competitor</t>
  </si>
  <si>
    <t>Exact Staples node(s)</t>
  </si>
  <si>
    <t>Verdict</t>
  </si>
  <si>
    <t>What the research says</t>
  </si>
  <si>
    <t>Competitor view</t>
  </si>
  <si>
    <t>Recommended primary / secondary</t>
  </si>
  <si>
    <t>Segment mix of its L3/L4 paths (live)</t>
  </si>
  <si>
    <t>1</t>
  </si>
  <si>
    <t>Chairs &amp; Seating</t>
  </si>
  <si>
    <t>Wayfair</t>
  </si>
  <si>
    <t>Furniture &gt; Chairs &amp; Seating</t>
  </si>
  <si>
    <t>KEEP: strongest item on the list</t>
  </si>
  <si>
    <t>Core-adjacent furniture with 14 leaves. The pilot already proved the method here (Accent &amp; Waiting Room, Benches, Bar Stools). The 2026 'resimercial' return-to-office trend supports design-led seating.</t>
  </si>
  <si>
    <t>Wayfair is the right primary (depth + aesthetic, already scraped). Add Amazon as secondary for the recruitable seller pool and the value tier.</t>
  </si>
  <si>
    <t>Wayfair / Amazon</t>
  </si>
  <si>
    <t>2</t>
  </si>
  <si>
    <t>Desks</t>
  </si>
  <si>
    <t>Furniture &gt; Desks</t>
  </si>
  <si>
    <t>KEEP, narrow to Office Desks</t>
  </si>
  <si>
    <t>Office Desks is the real shelf (1,501 items) and splits cleanly by Staples' own type facet. Sit &amp; Stand is spec-led (motors, frames), so design gaps are smaller and cannibalisation risk is higher.</t>
  </si>
  <si>
    <t>Wayfair primary for Office Desks. If Sit &amp; Stand is kept, Amazon should lead it (FlexiSpot / VIVO-type sellers).</t>
  </si>
  <si>
    <t>3</t>
  </si>
  <si>
    <t>Lamps &amp; Lighting</t>
  </si>
  <si>
    <t>Furniture &gt; Lamps &amp; Lighting</t>
  </si>
  <si>
    <t>KEEP</t>
  </si>
  <si>
    <t>The purest aesthetic category in the core catalogue, and Staples SKUs are already in hand for desk, table and floor lamps.</t>
  </si>
  <si>
    <t>Wayfair is right. Amazon as secondary for Desk Lamps; Target for Table and Floor Lamps.</t>
  </si>
  <si>
    <t>Wayfair / Amazon or Target</t>
  </si>
  <si>
    <t>4</t>
  </si>
  <si>
    <t>Rugs</t>
  </si>
  <si>
    <t>Decor &gt; Rugs (L2 leaf, no L3/L4 under it)</t>
  </si>
  <si>
    <t>PARK: fails the granularity gate</t>
  </si>
  <si>
    <t>There is nothing to drill into: 'Decor &gt; Rugs' is a single L2 leaf of 804 items. Rugs are also residential decor, the weakest link to Staples' work and school mission.</t>
  </si>
  <si>
    <t>Wayfair would be the right competitor if a rug story is ever needed. For a decor story at L3/L4, use Storage Baskets (Tier 1) or Faux Plants / Frames (Tier 2).</t>
  </si>
  <si>
    <t>n/a</t>
  </si>
  <si>
    <t>5</t>
  </si>
  <si>
    <t>Fitness Equipment</t>
  </si>
  <si>
    <t>Amazon</t>
  </si>
  <si>
    <t>Fitness &gt; Fitness Equipment &gt; Fitness Machines &gt; Fitness Machines (the only leaf)</t>
  </si>
  <si>
    <t>REFOCUS as 'active workstation': Tier 3</t>
  </si>
  <si>
    <t>Fitness is not a Staples destination: one leaf, 43 items, and not in the header nav. The only defensible angle is under-desk walking pads and desk bikes sold next to sit-stand desks. Bulky, low attach.</t>
  </si>
  <si>
    <t>Amazon is the right primary; Dick's Sporting Goods as secondary.</t>
  </si>
  <si>
    <t>Amazon / Dick's</t>
  </si>
  <si>
    <t>6</t>
  </si>
  <si>
    <t>Backpacks &amp; Bags</t>
  </si>
  <si>
    <t>Scheels</t>
  </si>
  <si>
    <t>Bags, Backpacks &amp; Luggage &gt; Backpacks &amp; Laptop Bags (+ Totes &amp; Handbags, Briefcases &amp; Padfolios)</t>
  </si>
  <si>
    <t>KEEP the category, CHANGE the competitor</t>
  </si>
  <si>
    <t>A strong BTS anchor (85% of parents buy a backpack, Circana). But Scheels' depth is technical, hunting and outdoor packs, far from Staples' student and commuter shopper, so the method would mostly return OFF-BRAND archetypes. Scheels is also regional and blocks scraping.</t>
  </si>
  <si>
    <t>Amazon primary (breadth, recruitable sellers), Target secondary (lifestyle styles; JanSport sells via Target Plus). Keep Scheels only as an outdoor style reference.</t>
  </si>
  <si>
    <t>Amazon / Target</t>
  </si>
  <si>
    <t>7</t>
  </si>
  <si>
    <t>Hydration &amp; Drinkware</t>
  </si>
  <si>
    <t>KEEP: a top-3 path</t>
  </si>
  <si>
    <t>The Staples node is an L3 under Coffee, Water &amp; Snacks (there is no 'Hydration' node). 463 items, already in the sample. The kitchen 'Drinkware &amp; Glassware' leaf has only 15 items and fails the baseline gate.</t>
  </si>
  <si>
    <t>Dick's primary (same brand depth as Scheels, but national); Target secondary (exclusive colourways, closest shopper). Scheels is an acceptable alternate.</t>
  </si>
  <si>
    <t>Dick's / Target</t>
  </si>
  <si>
    <t>8</t>
  </si>
  <si>
    <t>Labels &amp; Packaging Accessories</t>
  </si>
  <si>
    <t>Michaels</t>
  </si>
  <si>
    <t>Office Supplies &gt; Labels (L2 leaf) · Party Supplies &gt; Wrapping Supplies · Retail Store Supplies &gt; Retail Packaging</t>
  </si>
  <si>
    <t>REFRAME</t>
  </si>
  <si>
    <t>'Labels' is an L2 leaf of 11,493 Avery-type labels: no L3/L4, commodity, core 1P. Gift wrap and gift bags now overlap the Party City partner assortment on Staples.com (Apr-2026). Michaels has little depth in business labels or small-business packaging.</t>
  </si>
  <si>
    <t>Reframe as small-business packaging &amp; labelling: Amazon primary, Uline secondary. For Label Makers: Amazon + Michaels (Cricut).</t>
  </si>
  <si>
    <t>Amazon / Uline</t>
  </si>
  <si>
    <t>9</t>
  </si>
  <si>
    <t>Planning &amp; Craft Organization</t>
  </si>
  <si>
    <t>Office Supplies &gt; Calendars &amp; Planners · Arts &amp; Crafts &gt; Scrapbooking / Crafting · Office Supplies &gt; Storage &amp; Organization</t>
  </si>
  <si>
    <t>KEEP, split in two</t>
  </si>
  <si>
    <t>Two different shopper missions in one bucket. Planning is the #1 path overall (Michaels' Happy Planner ecosystem vs Staples' dated planners). Craft organization is thin at Staples (66 items) and works better as general organization.</t>
  </si>
  <si>
    <t>Planning: Amazon and Michaels are a near-tie (Amazon edges it on seller recruitability): run both, with Michaels as the enthusiast-format benchmark. Organization: Target + Amazon, with Container Store as the style benchmark.</t>
  </si>
  <si>
    <t>Amazon / Michaels; Target / Amazon</t>
  </si>
  <si>
    <t>Table 2. Drill-down L3/L4 paths for each item (exact nav-tree paths; tier, score and competitors are live)</t>
  </si>
  <si>
    <t>Path ID</t>
  </si>
  <si>
    <t>Staples path (exact)</t>
  </si>
  <si>
    <t>Category ID</t>
  </si>
  <si>
    <t>Staples items</t>
  </si>
  <si>
    <t>Hero segment</t>
  </si>
  <si>
    <t>Marketplace play</t>
  </si>
  <si>
    <t>Tier</t>
  </si>
  <si>
    <t>Primary / Secondary competitor</t>
  </si>
  <si>
    <t>Role in PoC</t>
  </si>
  <si>
    <t>P04</t>
  </si>
  <si>
    <t>CL70203</t>
  </si>
  <si>
    <t>PoC wave 1</t>
  </si>
  <si>
    <t>P25</t>
  </si>
  <si>
    <t>Furniture &gt; Chairs &amp; Seating &gt; Sofas &amp; Benches &gt; Benches &amp; Beam Seating</t>
  </si>
  <si>
    <t>CL163750</t>
  </si>
  <si>
    <t>Wave 2 / swap-in</t>
  </si>
  <si>
    <t>P30</t>
  </si>
  <si>
    <t>Furniture &gt; Chairs &amp; Seating &gt; Stools &amp; Ottomans &gt; Counter &amp; Bar Stools</t>
  </si>
  <si>
    <t>CL166182</t>
  </si>
  <si>
    <t>P28</t>
  </si>
  <si>
    <t>Furniture &gt; Chairs &amp; Seating &gt; Breakroom &amp; Dining Chairs</t>
  </si>
  <si>
    <t>CL166181</t>
  </si>
  <si>
    <t>P36</t>
  </si>
  <si>
    <t>Furniture &gt; Chairs &amp; Seating &gt; Stools &amp; Ottomans &gt; Ottomans</t>
  </si>
  <si>
    <t>CL161807</t>
  </si>
  <si>
    <t>Backlog</t>
  </si>
  <si>
    <t>P48</t>
  </si>
  <si>
    <t>Furniture &gt; Chairs &amp; Seating &gt; Office Chairs</t>
  </si>
  <si>
    <t>CL166253</t>
  </si>
  <si>
    <t>Control shelf (Hero, PROTECT): shows the safety gate rejecting core-1P look-alikes</t>
  </si>
  <si>
    <t>P55</t>
  </si>
  <si>
    <t>Furniture &gt; Chairs &amp; Seating &gt; Kids Seating</t>
  </si>
  <si>
    <t>CL210316</t>
  </si>
  <si>
    <t>P58</t>
  </si>
  <si>
    <t>Furniture &gt; Chairs &amp; Seating &gt; Gaming Chairs</t>
  </si>
  <si>
    <t>CL210317</t>
  </si>
  <si>
    <t>P13</t>
  </si>
  <si>
    <t>Furniture &gt; Desks &gt; Office Desks</t>
  </si>
  <si>
    <t>CL210795</t>
  </si>
  <si>
    <t>P47</t>
  </si>
  <si>
    <t>Furniture &gt; Desks &gt; Sit &amp; Stand Desks</t>
  </si>
  <si>
    <t>CL215523</t>
  </si>
  <si>
    <t>P57</t>
  </si>
  <si>
    <t>Furniture &gt; Desks &gt; Desk Components &amp; Hutches &gt; Hutches</t>
  </si>
  <si>
    <t>CL353865</t>
  </si>
  <si>
    <t>P05</t>
  </si>
  <si>
    <t>CL167867</t>
  </si>
  <si>
    <t>P26</t>
  </si>
  <si>
    <t>Furniture &gt; Lamps &amp; Lighting &gt; Table Lamps</t>
  </si>
  <si>
    <t>CL216712</t>
  </si>
  <si>
    <t>P31</t>
  </si>
  <si>
    <t>Furniture &gt; Lamps &amp; Lighting &gt; Floor Lamps</t>
  </si>
  <si>
    <t>CL216710</t>
  </si>
  <si>
    <t>X01</t>
  </si>
  <si>
    <t>Decor &gt; Rugs</t>
  </si>
  <si>
    <t>CL167008</t>
  </si>
  <si>
    <t>Parked: no L3/L4 exists</t>
  </si>
  <si>
    <t>P44</t>
  </si>
  <si>
    <t>Fitness &gt; Fitness Equipment &gt; Fitness Machines &gt; Fitness Machines</t>
  </si>
  <si>
    <t>CL205616</t>
  </si>
  <si>
    <t>P07</t>
  </si>
  <si>
    <t>CL142745</t>
  </si>
  <si>
    <t>P08</t>
  </si>
  <si>
    <t>CL165124</t>
  </si>
  <si>
    <t>P11</t>
  </si>
  <si>
    <t>Bags, Backpacks &amp; Luggage &gt; Backpacks &amp; Laptop Bags &gt; Laptop Sleeves &amp; Cases</t>
  </si>
  <si>
    <t>CL219256</t>
  </si>
  <si>
    <t>P12</t>
  </si>
  <si>
    <t>Bags, Backpacks &amp; Luggage &gt; Briefcases &amp; Padfolios &gt; Totes &amp; Handbags</t>
  </si>
  <si>
    <t>CL160451</t>
  </si>
  <si>
    <t>X09</t>
  </si>
  <si>
    <t>Bags, Backpacks &amp; Luggage &gt; Luggage &amp; Travel Accessories &gt; Luggage &amp; Duffel Bags &gt; Suitcases &amp; Luggage Sets</t>
  </si>
  <si>
    <t>CL140613</t>
  </si>
  <si>
    <t>Parked: leisure travel, off-mission</t>
  </si>
  <si>
    <t>P03</t>
  </si>
  <si>
    <t>CL354650</t>
  </si>
  <si>
    <t>X06</t>
  </si>
  <si>
    <t>Appliances &amp; Kitchenware &gt; Kitchenware &gt; Dining &amp; Tableware &gt; Drinkware &amp; Glassware</t>
  </si>
  <si>
    <t>CL212425</t>
  </si>
  <si>
    <t>Parked: 15 items, no baseline</t>
  </si>
  <si>
    <t>P22</t>
  </si>
  <si>
    <t>Retail Store Supplies &gt; Retail Packaging &gt; Retail Boxes &amp; Bags</t>
  </si>
  <si>
    <t>CL167951</t>
  </si>
  <si>
    <t>P32</t>
  </si>
  <si>
    <t>Office Supplies &gt; Label Makers &amp; Tapes &gt; Label Makers</t>
  </si>
  <si>
    <t>CL90400</t>
  </si>
  <si>
    <t>P33</t>
  </si>
  <si>
    <t>Shipping, Packing &amp; Mailing Supplies &gt; Mailing Supplies &gt; Mailers</t>
  </si>
  <si>
    <t>CL142648</t>
  </si>
  <si>
    <t>X03</t>
  </si>
  <si>
    <t>Office Supplies &gt; Labels</t>
  </si>
  <si>
    <t>CL142725</t>
  </si>
  <si>
    <t>Parked: L2 leaf, commodity</t>
  </si>
  <si>
    <t>X04</t>
  </si>
  <si>
    <t>Party Supplies &gt; Wrapping Supplies &gt; Gift Boxes &amp; Bags</t>
  </si>
  <si>
    <t>CL215556</t>
  </si>
  <si>
    <t>Parked: Party City partner overlap</t>
  </si>
  <si>
    <t>X05</t>
  </si>
  <si>
    <t>Party Supplies &gt; Wrapping Supplies &gt; Gift Wrap &amp; Wrapping Paper</t>
  </si>
  <si>
    <t>CL215563</t>
  </si>
  <si>
    <t>P01</t>
  </si>
  <si>
    <t>CL166388</t>
  </si>
  <si>
    <t>P14</t>
  </si>
  <si>
    <t>Office Supplies &gt; Notebooks &amp; Notepads &gt; Journals &amp; Diaries</t>
  </si>
  <si>
    <t>CL166390</t>
  </si>
  <si>
    <t>P17</t>
  </si>
  <si>
    <t>Arts &amp; Crafts &gt; Scrapbooking &gt; Stickers &amp; Embellishments</t>
  </si>
  <si>
    <t>CL167442</t>
  </si>
  <si>
    <t>P16</t>
  </si>
  <si>
    <t>Office Supplies &gt; Tape, Fasteners &amp; Adhesives &gt; Tape &gt; Arts &amp; Crafts Tape</t>
  </si>
  <si>
    <t>CL215702</t>
  </si>
  <si>
    <t>P29</t>
  </si>
  <si>
    <t>Office Supplies &gt; Calendars &amp; Planners &gt; Calendars</t>
  </si>
  <si>
    <t>CL166389</t>
  </si>
  <si>
    <t>P35</t>
  </si>
  <si>
    <t>Furniture &gt; Boards &amp; Easels &gt; Calendar &amp; In-Out Boards</t>
  </si>
  <si>
    <t>CL142105</t>
  </si>
  <si>
    <t>P50</t>
  </si>
  <si>
    <t>Arts &amp; Crafts &gt; Crafting &gt; Art Portfolios &amp; Craft Storage</t>
  </si>
  <si>
    <t>CL166121</t>
  </si>
  <si>
    <t>P34</t>
  </si>
  <si>
    <t>Office Supplies &gt; Storage &amp; Organization &gt; Storage Bins</t>
  </si>
  <si>
    <t>CL354710</t>
  </si>
  <si>
    <t>Recommended L3/L4 paths: Tier 1 (PoC wave 1) and Tier 2 (wave 2 / swap-ins)</t>
  </si>
  <si>
    <t>Rows are in default-score order. Segment, play, score, tier, rank and competitors are live lookups; the narrative reflects the research at default inputs.</t>
  </si>
  <si>
    <t>Rank</t>
  </si>
  <si>
    <t>SKUs in hand</t>
  </si>
  <si>
    <t>Why this path</t>
  </si>
  <si>
    <t>Archetypes we expect to find (hypotheses)</t>
  </si>
  <si>
    <t>1P watch-out (cannibalisation)</t>
  </si>
  <si>
    <t>Why the room will relate</t>
  </si>
  <si>
    <t>Where to look on the competitors</t>
  </si>
  <si>
    <t>Staples URL</t>
  </si>
  <si>
    <t>Staples' deepest stationery shelf (1,037 items) is dated-planner led (Blue Sky, At-A-Glance). Enthusiast formats (disc-bound, undated, sticker-ready, wellness) live at Michaels and Amazon.</t>
  </si>
  <si>
    <t>Disc-bound customisable planners; undated goal &amp; wellness planners; pastel/floral teacher &amp; student planners; vegan-leather premium planners ($30-60).</t>
  </si>
  <si>
    <t>Dated 12-month planners incl. the Sincerely Jules exclusive: add other formats, not look-alikes.</t>
  </si>
  <si>
    <t>Amazon: Planners, Refills &amp; Covers (breadth + recruitable sellers). Michaels: Papercraft &gt; Planners (The Happy Planner + companion accessories); near-tie with Amazon.</t>
  </si>
  <si>
    <t>https://www.staples.com/Planners-Personal-Organizers/cat_CL166388</t>
  </si>
  <si>
    <t>CL140991</t>
  </si>
  <si>
    <t>Staples' 342 organizers are mostly black mesh and utility. Target (Brightroom) and Container Store sell coordinated desk collections in acrylic, bamboo, marble, linen and pastel.</t>
  </si>
  <si>
    <t>Clear acrylic modular sets; warm-wood / bamboo sets; pastel &amp; neutral 'aesthetic desk' collections; turntable caddies.</t>
  </si>
  <si>
    <t>Black mesh sets (Staples brand, Officemate).</t>
  </si>
  <si>
    <t>Target: Brightroom desk organization + Target Plus brands. Amazon: Desk Organizers. Container Store: Office &gt; Desktop Collections (style benchmark).</t>
  </si>
  <si>
    <t>https://www.staples.com/Desk-Organizers/cat_CL140991</t>
  </si>
  <si>
    <t>Staples carries 463 desk-use items. Specialists sell full colourways, lids, sizes and accessories from Owala, Stanley, YETI, HydroJug and BruMate.</t>
  </si>
  <si>
    <t>Sip/chug hybrid bottles; 40 oz handle tumblers in seasonal colourways; kids' 12-16 oz school bottles; lids, boots &amp; straw accessories.</t>
  </si>
  <si>
    <t>Stanley / Hydro Flask SKUs Staples already sells: gap is colourway &amp; size, not the same SKU.</t>
  </si>
  <si>
    <t>Dick's: Drinkware / Sport Water Bottles. Target: water bottles &amp; tumblers incl. exclusive colourways.</t>
  </si>
  <si>
    <t>https://www.staples.com/Water-Bottles-Tumblers-Travel-Mugs/cat_CL354650</t>
  </si>
  <si>
    <t>The original 'White Chair' shelf. Pilot (Sep-2026): 5 recommended archetypes, 2 Strong; 94% high-confidence mapping.</t>
  </si>
  <si>
    <t>Boucle / curved barrel chairs; cream &amp; sage upholstered side chairs with wood legs; rattan &amp; cane lounge chairs; $150-350 design tier.</t>
  </si>
  <si>
    <t>Black vinyl / fabric guest &amp; reception chairs (Flash, Boss, HON).</t>
  </si>
  <si>
    <t>Wayfair: Living Room &gt; Accent Chairs and Professional &gt; Office Seating &gt; Accent Chairs. Amazon: Accent Chairs.</t>
  </si>
  <si>
    <t>https://www.staples.com/Accent-Waiting-Room-Chairs/cat_CL70203</t>
  </si>
  <si>
    <t>210 Staples items, mostly LED task lamps. Wayfair sells mushroom, pleated, rechargeable and sculptural lamps that sit between task light and decor.</t>
  </si>
  <si>
    <t>Mushroom / dome lamps; pleated-shade &amp; ceramic-base lamps; rechargeable cordless lamps; brass &amp; warm-wood architect lamps.</t>
  </si>
  <si>
    <t>LED task lamps with USB ports: Staples' core.</t>
  </si>
  <si>
    <t>Wayfair: Lighting &gt; Table &amp; Floor Lamps &gt; Desk Lamps (+ Teen Desk Lamps). Amazon: Desk Lamps.</t>
  </si>
  <si>
    <t>https://www.staples.com/Desk-Lamps/cat_CL167867</t>
  </si>
  <si>
    <t>CL141253</t>
  </si>
  <si>
    <t>107 Staples items. The pencil pouch is the first 'aesthetic' purchase in the BTS basket, at under $20.</t>
  </si>
  <si>
    <t>Large-capacity multi-layer pouches (Japanese style); clear / jelly pouches; corduroy &amp; quilted pouches; kawaii &amp; character cases.</t>
  </si>
  <si>
    <t>Staples' own Recess Club pouches: extend beyond them, don't duplicate.</t>
  </si>
  <si>
    <t>Amazon: Pencil Cases. Target: pencil cases &amp; pouches. JetPens: Pencil Cases (style benchmark).</t>
  </si>
  <si>
    <t>https://www.staples.com/Pencil-Cases-Pouches/cat_CL141253</t>
  </si>
  <si>
    <t>585 Staples items, laptop &amp; commuter led. 85% of parents bought a backpack for BTS; lifestyle backpacks grew 3% in 2025 (Circana).</t>
  </si>
  <si>
    <t>Corduroy / soft-aesthetic backpacks; Scandinavian-minimal daypacks; mini backpacks; personalisable patch &amp; pin packs.</t>
  </si>
  <si>
    <t>Laptop backpacks (SwissGear, Targus): watch cannibalisation here.</t>
  </si>
  <si>
    <t>Amazon: Backpacks. Target: Backpacks (incl. JanSport on Target Plus).</t>
  </si>
  <si>
    <t>https://www.staples.com/Backpacks/cat_CL142745</t>
  </si>
  <si>
    <t>404 Staples items. Bento compartments, stainless and leak-proof designs lead BTS and work-lunch search.</t>
  </si>
  <si>
    <t>Bento compartment boxes (kids &amp; adult); neutral / vegan-leather insulated lunch totes; stainless &amp; glass meal-prep sets.</t>
  </si>
  <si>
    <t>Basic insulated lunch bags Staples already stocks.</t>
  </si>
  <si>
    <t>Amazon: Lunch Boxes &amp; Bags. Target: lunch boxes &amp; bags (Bentgo, Stasher, owned brands).</t>
  </si>
  <si>
    <t>https://www.staples.com/Lunch-Bags-Boxes/cat_CL165124</t>
  </si>
  <si>
    <t>CL219245</t>
  </si>
  <si>
    <t>607 Staples items. Teachers self-fund about $895 a year and buy decor as coordinated themes (boho, calm, pastel).</t>
  </si>
  <si>
    <t>Boho / neutral theme sets; calm-corner &amp; SEL decor; pastel bulletin-board kits; plant &amp; nature themes.</t>
  </si>
  <si>
    <t>Existing bulletin-board sets: compare theme coverage, not SKU swaps.</t>
  </si>
  <si>
    <t>Amazon: Classroom Decorations. Oriental Trading: Teaching Supplies &gt; Classroom Decorations. Michaels: Teacher Supplies.</t>
  </si>
  <si>
    <t>https://www.staples.com/Decorative-Accents-Board-Sets/cat_CL219245</t>
  </si>
  <si>
    <t>CL354705</t>
  </si>
  <si>
    <t>Only 95 Staples items, while Wayfair has dedicated Woven Baskets, Decorative Bins and Fabric Baskets nodes. Pure style-led storage.</t>
  </si>
  <si>
    <t>Seagrass / water-hyacinth woven baskets; felt &amp; linen fabric bins; lined wire baskets; lidded decorative boxes.</t>
  </si>
  <si>
    <t>Plastic bins sit in the sister node: keep baskets style-led.</t>
  </si>
  <si>
    <t>Wayfair: Organization &gt; Storage Containers &amp; Drawers (Woven Baskets, Decorative Bins, Fabric Baskets). Target: Brightroom baskets.</t>
  </si>
  <si>
    <t>https://www.staples.com/Storage-Baskets/cat_CL354705</t>
  </si>
  <si>
    <t>300 Staples items. A sleeve is a low-ticket attach to every laptop sale.</t>
  </si>
  <si>
    <t>Felt &amp; vegan-leather sleeves; pastel / pattern sleeves with pouch; puffer sleeves.</t>
  </si>
  <si>
    <t>Black Targus / Case Logic sleeves.</t>
  </si>
  <si>
    <t>BTS; laptop-attach all year.</t>
  </si>
  <si>
    <t>Directly serves Pat's '1-2 extra items per checkout'.</t>
  </si>
  <si>
    <t>Amazon: Laptop Sleeves. Target: laptop sleeves.</t>
  </si>
  <si>
    <t>https://www.staples.com/Laptop-Sleeves-Cases/cat_CL219256</t>
  </si>
  <si>
    <t>173 Staples items. The work tote is the lifestyle version of the briefcase.</t>
  </si>
  <si>
    <t>Structured work totes with laptop sleeve; neoprene totes; vegan-leather commuter totes.</t>
  </si>
  <si>
    <t>Briefcases &amp; padfolios (Samsonite, Solo).</t>
  </si>
  <si>
    <t>Q1 return-to-office; graduation gifting.</t>
  </si>
  <si>
    <t>The 'White Chair' of bags.</t>
  </si>
  <si>
    <t>Amazon: work totes. Target: tote bags.</t>
  </si>
  <si>
    <t>https://www.staples.com/Totes-Handbags/cat_CL160451</t>
  </si>
  <si>
    <t>1,501 Staples items. Pilot Computer-desk split: 3 recommended archetypes (1 Strong). Split by Staples' own type facet.</t>
  </si>
  <si>
    <t>Fluted / curved-edge writing desks; cane &amp; rattan desks; small-space floating desks; warm-wood Scandinavian desks.</t>
  </si>
  <si>
    <t>Laminate computer desks (Bush, Sauder, Union &amp; Scale).</t>
  </si>
  <si>
    <t>Q1 office refresh.</t>
  </si>
  <si>
    <t>Second half of the White Chair story.</t>
  </si>
  <si>
    <t>Wayfair: Office Furniture &gt; Desks + Small Space Offices. Amazon: Home Office Desks.</t>
  </si>
  <si>
    <t>https://www.staples.com/Office-Desks/cat_CL210795</t>
  </si>
  <si>
    <t>253 Staples items. Journaling is a Gen-Z wellness habit.</t>
  </si>
  <si>
    <t>Dotted-grid bullet journals; linen &amp; leather-look hardcovers; guided gratitude / wellness journals.</t>
  </si>
  <si>
    <t>Notebooks Staples already sells.</t>
  </si>
  <si>
    <t>Jan-2027.</t>
  </si>
  <si>
    <t>Pairs with the planner story.</t>
  </si>
  <si>
    <t>Amazon: Journals. Michaels: Papercraft journals.</t>
  </si>
  <si>
    <t>https://www.staples.com/Journals-Diaries/cat_CL166390</t>
  </si>
  <si>
    <t>Furniture &gt; Decor &gt; Artificial Plants &amp; Flowers &gt; Artificial Plants</t>
  </si>
  <si>
    <t>CL355087</t>
  </si>
  <si>
    <t>203 Staples items. Plants are the most-used desk personalisation in 2026 home-office trend reports.</t>
  </si>
  <si>
    <t>Trailing pothos / ivy; small potted succulents in ceramic; olive &amp; fiddle-leaf floor trees; plant + planter sets.</t>
  </si>
  <si>
    <t>Seasonal faux trees &amp; wreaths.</t>
  </si>
  <si>
    <t>Q1 office refresh; spring.</t>
  </si>
  <si>
    <t>Biophilic, 'resimercial' offices are the return-to-office default.</t>
  </si>
  <si>
    <t>Wayfair: Flowers &amp; Plants &gt; Faux Plants / Faux Trees. Michaels: Floral.</t>
  </si>
  <si>
    <t>https://www.staples.com/Artificial-Plants/cat_CL355087</t>
  </si>
  <si>
    <t>Only 32 Staples items. Washi tape is core to planning &amp; craft and nearly absent at Staples.</t>
  </si>
  <si>
    <t>Washi tape sets; foil &amp; printed decorative tape; planner tape.</t>
  </si>
  <si>
    <t>None material: 1P is thin.</t>
  </si>
  <si>
    <t>BTS; Jan planning.</t>
  </si>
  <si>
    <t>Tiny ticket, high attach to planners.</t>
  </si>
  <si>
    <t>Michaels: washi tape. Amazon: Washi Tape.</t>
  </si>
  <si>
    <t>https://www.staples.com/Arts-Crafts-Tape/cat_CL215702</t>
  </si>
  <si>
    <t>166 Staples items. Planner stickers are the consumable that follows every planner sale.</t>
  </si>
  <si>
    <t>Planner sticker books; functional icon stickers; seasonal packs.</t>
  </si>
  <si>
    <t>Teacher reward stickers (separate node).</t>
  </si>
  <si>
    <t>Jan-2027; BTS.</t>
  </si>
  <si>
    <t>Repeat-purchase consumable = predictable commission.</t>
  </si>
  <si>
    <t>Michaels: Happy Planner stickers. Amazon: planner stickers.</t>
  </si>
  <si>
    <t>https://www.staples.com/Stickers-Embellishments/cat_CL167442</t>
  </si>
  <si>
    <t>Computers &amp; Accessories &gt; Computer Accessories &amp; Peripherals &gt; Mouse Pads &amp; Wrist Rests</t>
  </si>
  <si>
    <t>CL141474</t>
  </si>
  <si>
    <t>318 Staples items. The desk mat has become a decor object.</t>
  </si>
  <si>
    <t>Extended felt desk mats; vegan-leather mats; printed aesthetic mats.</t>
  </si>
  <si>
    <t>Gel wrist-rest mouse pads (Fellowes, Staples brand).</t>
  </si>
  <si>
    <t>BTS; Q1 desk refresh.</t>
  </si>
  <si>
    <t>In every 'desk setup' video.</t>
  </si>
  <si>
    <t>Amazon: Desk &amp; Mouse Pads. Wayfair: Office Organization &gt; Desk Pads.</t>
  </si>
  <si>
    <t>https://www.staples.com/Mouse-Pads-Wrist-Rests/cat_CL141474</t>
  </si>
  <si>
    <t>Furniture &gt; Boards &amp; Easels &gt; Bulletin Boards</t>
  </si>
  <si>
    <t>CL142403</t>
  </si>
  <si>
    <t>284 Staples items, cork &amp; utility led.</t>
  </si>
  <si>
    <t>Fabric memo boards; felt letter boards; pinnable felt tiles; framed &amp; acrylic boards.</t>
  </si>
  <si>
    <t>Cork boards (Quartet, U Brands).</t>
  </si>
  <si>
    <t>BTS dorm; Jan planning.</t>
  </si>
  <si>
    <t>Letter boards are an office &amp; classroom staple.</t>
  </si>
  <si>
    <t>Amazon: memo &amp; letter boards. Wayfair: Office Organization &gt; Memo Boards.</t>
  </si>
  <si>
    <t>https://www.staples.com/Bulletin-Boards/cat_CL142403</t>
  </si>
  <si>
    <t>Furniture &gt; Decor &gt; Picture Frames &amp; Photo Albums</t>
  </si>
  <si>
    <t>CL161523</t>
  </si>
  <si>
    <t>435 Staples items, document &amp; certificate led. Michaels is the framing destination.</t>
  </si>
  <si>
    <t>Gallery-wall frame sets; floating / acrylic frames; shadow boxes; arched &amp; fluted frames.</t>
  </si>
  <si>
    <t>Certificate &amp; document frames (Staples core).</t>
  </si>
  <si>
    <t>Graduation (May-Jun); holiday gifting.</t>
  </si>
  <si>
    <t>The Examples doc already cites Michaels on framing.</t>
  </si>
  <si>
    <t>Michaels: Frames. Wayfair: Picture Frames &amp; Albums.</t>
  </si>
  <si>
    <t>https://www.staples.com/Picture-Frames-Photo-Albums/cat_CL161523</t>
  </si>
  <si>
    <t>99 Staples items. Small sellers (Etsy, TikTok Shop) want boutique-looking packaging.</t>
  </si>
  <si>
    <t>Coloured kraft gift / retail boxes with windows; boutique paper shopping bags in colours; tissue + sticker unboxing kits.</t>
  </si>
  <si>
    <t>Party City gift bags now sold on Staples.com: stay on SMB retail packaging.</t>
  </si>
  <si>
    <t>Q4 holiday prep (Oct-Nov).</t>
  </si>
  <si>
    <t>Staples' core customer is the small business.</t>
  </si>
  <si>
    <t>Amazon: retail &amp; gift packaging. Uline: Retail Bags / Gift Boxes.</t>
  </si>
  <si>
    <t>https://www.staples.com/Boxes-Bags/cat_CL167951</t>
  </si>
  <si>
    <t>Computers &amp; Accessories &gt; Computer Accessories &amp; Peripherals &gt; Laptop Accessories &gt; Laptop Stands &amp; Lap Desks</t>
  </si>
  <si>
    <t>CL165071</t>
  </si>
  <si>
    <t>205 Staples items. Stands are now wood / aluminium desk objects.</t>
  </si>
  <si>
    <t>Walnut / bamboo risers; foldable aluminium stands in colours; cushioned lap desks.</t>
  </si>
  <si>
    <t>Black plastic stands.</t>
  </si>
  <si>
    <t>BTS; Q1.</t>
  </si>
  <si>
    <t>Desk-setup trend.</t>
  </si>
  <si>
    <t>Amazon: Laptop Stands. Best Buy: laptop stands.</t>
  </si>
  <si>
    <t>https://www.staples.com/Laptop-Stands-Lap-Desks/cat_CL165071</t>
  </si>
  <si>
    <t>49 Staples items. Pilot: 2 recommended archetypes, both Strong agreement.</t>
  </si>
  <si>
    <t>Upholstered entry / reception benches; channel-tufted benches; wood-slat benches.</t>
  </si>
  <si>
    <t>Beam seating for waiting rooms.</t>
  </si>
  <si>
    <t>Pilot-proven shelf.</t>
  </si>
  <si>
    <t>Wayfair: Entry &amp; Mudroom / Bedroom benches, Reception. Amazon.</t>
  </si>
  <si>
    <t>https://www.staples.com/Benches-Beam-Seating/cat_CL163750</t>
  </si>
  <si>
    <t>211 Staples items; reception and home-office decor lighting.</t>
  </si>
  <si>
    <t>Ceramic &amp; rattan table lamps; mushroom lamps; cordless rechargeable lamps.</t>
  </si>
  <si>
    <t>Basic lamp sets.</t>
  </si>
  <si>
    <t>Q1.</t>
  </si>
  <si>
    <t>Resimercial lobbies.</t>
  </si>
  <si>
    <t>Wayfair: Table Lamps. Target: table lamps (Threshold, Studio McGee).</t>
  </si>
  <si>
    <t>https://www.staples.com/Table-Lamps/cat_CL216712</t>
  </si>
  <si>
    <t>Computers &amp; Accessories &gt; Computer Accessories &amp; Peripherals &gt; Computer Keyboards</t>
  </si>
  <si>
    <t>CL215783</t>
  </si>
  <si>
    <t>374 Staples items. Typewriter-style and pastel keyboards went mainstream (Logitech POP).</t>
  </si>
  <si>
    <t>Retro round-key keyboards; pastel compact 75% boards; colour-matched keyboard + mouse sets.</t>
  </si>
  <si>
    <t>Logitech / Microsoft business keyboards: core 1P, watch CRS.</t>
  </si>
  <si>
    <t>BTS; holiday.</t>
  </si>
  <si>
    <t>Shows the colour gap inside a brand Staples already sells.</t>
  </si>
  <si>
    <t>Amazon: Keyboards. Best Buy: Keyboards (colour filter).</t>
  </si>
  <si>
    <t>https://www.staples.com/Computer-Keyboards/cat_CL215783</t>
  </si>
  <si>
    <t>75 Staples items. Pilot: 5 recommended archetypes but the two methods disagree (rho 0.08).</t>
  </si>
  <si>
    <t>Coloured moulded-plastic chairs; bentwood café chairs; rattan dining chairs.</t>
  </si>
  <si>
    <t>Stackable breakroom chairs.</t>
  </si>
  <si>
    <t>Q1 return-to-office breakroom upgrades.</t>
  </si>
  <si>
    <t>Breakrooms are where RTO budgets go.</t>
  </si>
  <si>
    <t>Wayfair: dining chairs / Breakroom sets. Amazon.</t>
  </si>
  <si>
    <t>https://www.staples.com/Dining-Chairs/cat_CL166181</t>
  </si>
  <si>
    <t>1,234 Staples items of dated wall &amp; desk calendars.</t>
  </si>
  <si>
    <t>Art &amp; photography wall calendars; acrylic reusable calendars; minimalist desk calendars.</t>
  </si>
  <si>
    <t>At-A-Glance / Blue Sky dated calendars: core 1P.</t>
  </si>
  <si>
    <t>Q4-2026 / Jan-2027 dated-goods peak.</t>
  </si>
  <si>
    <t>Calendar season lines up with Q1 planning.</t>
  </si>
  <si>
    <t>Amazon: wall calendars. Target.</t>
  </si>
  <si>
    <t>https://www.staples.com/Calendars/cat_CL166389</t>
  </si>
  <si>
    <t>617 Staples items. Pilot bar-height split: 2 Strong recommendations and the best method agreement (rho 0.73).</t>
  </si>
  <si>
    <t>Rattan / cane counter stools; boucle swivel stools; backless wood saddle stools.</t>
  </si>
  <si>
    <t>Metal / vinyl commercial stools.</t>
  </si>
  <si>
    <t>Q1 breakroom &amp; café upgrades.</t>
  </si>
  <si>
    <t>Wayfair: Bar &amp; Counter Stools. Amazon.</t>
  </si>
  <si>
    <t>https://www.staples.com/Counter-Bar-Stools/cat_CL166182</t>
  </si>
  <si>
    <t>132 Staples items.</t>
  </si>
  <si>
    <t>Arc floor lamps; tree / tri-light lamps; paper-lantern floor lamps.</t>
  </si>
  <si>
    <t>LED torchieres.</t>
  </si>
  <si>
    <t>Pairs with desk &amp; table lamps.</t>
  </si>
  <si>
    <t>Wayfair: Floor Lamps. Target.</t>
  </si>
  <si>
    <t>https://www.staples.com/Floor-Lamps/cat_CL216710</t>
  </si>
  <si>
    <t>148 Staples items (Brother, DYMO). Mini Bluetooth thermal printers went viral for home, classroom and seller labelling.</t>
  </si>
  <si>
    <t>Pastel mini Bluetooth label printers; sticker printers for small sellers; 4x6 shipping-label printers.</t>
  </si>
  <si>
    <t>Brother P-touch / DYMO LabelManager: core 1P, check CRS.</t>
  </si>
  <si>
    <t>January organize; BTS teachers.</t>
  </si>
  <si>
    <t>Your 'Labels &amp; Packaging' idea, made specific.</t>
  </si>
  <si>
    <t>Amazon: Label Makers. Michaels: Cricut Joy / craft machines.</t>
  </si>
  <si>
    <t>https://www.staples.com/Label-Makers/cat_CL90400</t>
  </si>
  <si>
    <t>396 Staples items of utility mailers.</t>
  </si>
  <si>
    <t>Coloured &amp; printed poly mailers; recycled / compostable mailers; coloured padded kraft.</t>
  </si>
  <si>
    <t>Staples-brand &amp; Scotch bubble mailers: core 1P.</t>
  </si>
  <si>
    <t>Q4 small-business shipping peak.</t>
  </si>
  <si>
    <t>Small-business unboxing trend.</t>
  </si>
  <si>
    <t>Amazon: poly mailers. Uline: coloured poly mailers.</t>
  </si>
  <si>
    <t>https://www.staples.com/Mailers/cat_CL142648</t>
  </si>
  <si>
    <t>660 Staples items of plastic utility bins.</t>
  </si>
  <si>
    <t>Fabric cube bins in colours; clear acrylic stackers; lidded linen boxes.</t>
  </si>
  <si>
    <t>Sterilite / Iris plastic bins: core.</t>
  </si>
  <si>
    <t>January organize.</t>
  </si>
  <si>
    <t>Pairs with storage baskets.</t>
  </si>
  <si>
    <t>Target: Brightroom. Amazon.</t>
  </si>
  <si>
    <t>https://www.staples.com/Storage-Bins/cat_CL354710</t>
  </si>
  <si>
    <t>63 Staples items.</t>
  </si>
  <si>
    <t>Acrylic dry-erase wall calendars; glass monthly planners; felt calendar boards.</t>
  </si>
  <si>
    <t>In/out boards.</t>
  </si>
  <si>
    <t>January.</t>
  </si>
  <si>
    <t>Pairs with planners &amp; calendars.</t>
  </si>
  <si>
    <t>Amazon: acrylic calendars. Wayfair: Memo Boards.</t>
  </si>
  <si>
    <t>https://www.staples.com/Calendar-In-Out-Boards/cat_CL142105</t>
  </si>
  <si>
    <t>Selection criteria, weights and thresholds</t>
  </si>
  <si>
    <t>Yellow cells with blue text are editable. Every score, rank, tier and competitor role in the workbook recalculates from them.</t>
  </si>
  <si>
    <t>A. Hard gates: a path must pass all four to be scored</t>
  </si>
  <si>
    <t>Code</t>
  </si>
  <si>
    <t>Gate</t>
  </si>
  <si>
    <t>Rule</t>
  </si>
  <si>
    <t>Why it matters</t>
  </si>
  <si>
    <t>G1</t>
  </si>
  <si>
    <t>Granularity</t>
  </si>
  <si>
    <t>The node is an L3 or L4 in the Staples navigation tree (Level 3 or 4).</t>
  </si>
  <si>
    <t>Your feedback: L2 is too coarse. The gap must be readable on one shelf.</t>
  </si>
  <si>
    <t>G2</t>
  </si>
  <si>
    <t>Brand authority</t>
  </si>
  <si>
    <t>The node sits on a Staples work / school / small-business mission (not mis-shelved or leisure).</t>
  </si>
  <si>
    <t>Pat: build momentum 'without straying too far from Staples' brand authority'.</t>
  </si>
  <si>
    <t>G3</t>
  </si>
  <si>
    <t>Staples baseline</t>
  </si>
  <si>
    <t>Staples lists at least the minimum item count (threshold in section C).</t>
  </si>
  <si>
    <t>Needs a nearest-Staples-family comparison and a share baseline.</t>
  </si>
  <si>
    <t>G4</t>
  </si>
  <si>
    <t>No partner conflict</t>
  </si>
  <si>
    <t>No Staples strategic partner already owns the assortment on Staples.com.</t>
  </si>
  <si>
    <t>Party City (Apr-2026) now supplies party décor, gift bags &amp; wrap: marketplace adds would compete with a partner.</t>
  </si>
  <si>
    <t>B. Weighted path criteria: each scored 1-5, weighted score scaled to 0-100</t>
  </si>
  <si>
    <t>Criterion</t>
  </si>
  <si>
    <t>What it measures</t>
  </si>
  <si>
    <t>Scores 5 when</t>
  </si>
  <si>
    <t>Scores 1 when</t>
  </si>
  <si>
    <t>Weight</t>
  </si>
  <si>
    <t>C1</t>
  </si>
  <si>
    <t>Design &amp; lifestyle variance ('White Chair' test)</t>
  </si>
  <si>
    <t>Do shoppers choose on colour, material, style or 'vibe' rather than spec?</t>
  </si>
  <si>
    <t>Style drives the choice; many aesthetic archetypes exist</t>
  </si>
  <si>
    <t>Pure spec / commodity</t>
  </si>
  <si>
    <t>C2</t>
  </si>
  <si>
    <t>Competitor depth advantage</t>
  </si>
  <si>
    <t>How much wider the best competitor's assortment is on this shelf</t>
  </si>
  <si>
    <t>Best competitor is several times wider, with archetypes Staples lacks</t>
  </si>
  <si>
    <t>Parity with Staples</t>
  </si>
  <si>
    <t>C3</t>
  </si>
  <si>
    <t>1P protection (low cannibalisation)</t>
  </si>
  <si>
    <t>Can design variants be added without substituting Staples' core best-sellers?</t>
  </si>
  <si>
    <t>Design variants clearly distinct from the 1P core</t>
  </si>
  <si>
    <t>Direct substitute of core 1P</t>
  </si>
  <si>
    <t>C4</t>
  </si>
  <si>
    <t>Core-adjacency &amp; shopper mission</t>
  </si>
  <si>
    <t>Same work, school or small-business mission as Staples' core</t>
  </si>
  <si>
    <t>Sits on the core Staples mission</t>
  </si>
  <si>
    <t>Residential or leisure mission</t>
  </si>
  <si>
    <t>C5</t>
  </si>
  <si>
    <t>Basket attach &amp; quick-win economics</t>
  </si>
  <si>
    <t>Parcel-shippable, lower ticket, attaches to core baskets (Pat: +1-2 items per checkout)</t>
  </si>
  <si>
    <t>Under ~$50, parcel, frequent attach</t>
  </si>
  <si>
    <t>Oversize freight, considered purchase</t>
  </si>
  <si>
    <t>C6</t>
  </si>
  <si>
    <t>Business familiarity &amp; story</t>
  </si>
  <si>
    <t>Would the Staples room recognise it instantly (header nav, Staples' own recent moves, visible trend)?</t>
  </si>
  <si>
    <t>Header-nav shelf + Staples' own recent move or a famous trend</t>
  </si>
  <si>
    <t>Obscure shelf</t>
  </si>
  <si>
    <t>C7</t>
  </si>
  <si>
    <t>Peaks in the Q1-2027 window or BTS-2027 (Pat's seasonal anchor)</t>
  </si>
  <si>
    <t>Peaks in Jan-Mar or Jul-Sep 2027</t>
  </si>
  <si>
    <t>No clear moment</t>
  </si>
  <si>
    <t>C8</t>
  </si>
  <si>
    <t>Data readiness</t>
  </si>
  <si>
    <t>Staples SKUs already in hand + competitor already scraped or reachable</t>
  </si>
  <si>
    <t>Both sides in hand / reachable</t>
  </si>
  <si>
    <t>Neither side available</t>
  </si>
  <si>
    <t>Total weight</t>
  </si>
  <si>
    <t>C. Thresholds</t>
  </si>
  <si>
    <t>Parameter</t>
  </si>
  <si>
    <t>Value</t>
  </si>
  <si>
    <t>Note</t>
  </si>
  <si>
    <t>T1</t>
  </si>
  <si>
    <t>Tier 1 cut-off (score &gt;=)</t>
  </si>
  <si>
    <t>Tier 1 = PoC wave 1 (10 paths at default weights).</t>
  </si>
  <si>
    <t>T2</t>
  </si>
  <si>
    <t>Tier 2 cut-off (score &gt;=)</t>
  </si>
  <si>
    <t>Tier 2 = wave 2 / swap-ins (25 paths at default weights).</t>
  </si>
  <si>
    <t>Minimum Staples items on the leaf</t>
  </si>
  <si>
    <t>Feeds gate G3.</t>
  </si>
  <si>
    <t>FS</t>
  </si>
  <si>
    <t>Fast-start: min Staples SKUs already in the sample</t>
  </si>
  <si>
    <t>Tier 1 paths above this can start without a new Staples scrape.</t>
  </si>
  <si>
    <t>D. Competitor selection criteria: each competitor scored 1-5 per path</t>
  </si>
  <si>
    <t>K1</t>
  </si>
  <si>
    <t>Assortment depth on this shelf</t>
  </si>
  <si>
    <t>Breadth of the competitor's range on the mapped node</t>
  </si>
  <si>
    <t>Several times Staples' range, many sub-types</t>
  </si>
  <si>
    <t>Similar or smaller than Staples</t>
  </si>
  <si>
    <t>K2</t>
  </si>
  <si>
    <t>Aesthetic &amp; lifestyle range</t>
  </si>
  <si>
    <t>Variety of styles, colourways, materials and price tiers</t>
  </si>
  <si>
    <t>Destination for design-led choice</t>
  </si>
  <si>
    <t>Utility only</t>
  </si>
  <si>
    <t>K3</t>
  </si>
  <si>
    <t>Shopper overlap with Staples</t>
  </si>
  <si>
    <t>Same home-office, student, teacher or small-business shopper</t>
  </si>
  <si>
    <t>Same shopper and mission</t>
  </si>
  <si>
    <t>Different shopper (e.g. hunters, hobby pros)</t>
  </si>
  <si>
    <t>K4</t>
  </si>
  <si>
    <t>Seller recruitability</t>
  </si>
  <si>
    <t>Can the brands / suppliers behind the range be invited onto Staples Marketplace?</t>
  </si>
  <si>
    <t>Multi-brand 3P or drop-ship suppliers</t>
  </si>
  <si>
    <t>Mostly own / private label</t>
  </si>
  <si>
    <t>K5</t>
  </si>
  <si>
    <t>Data accessibility</t>
  </si>
  <si>
    <t>Can the team collect listing-level data at PoC speed? (tested 29-Sep-2026)</t>
  </si>
  <si>
    <t>Already scraped or official API</t>
  </si>
  <si>
    <t>Bot-blocked, needs a paid proxy</t>
  </si>
  <si>
    <t>E. How primary and secondary competitors are picked</t>
  </si>
  <si>
    <t>For each Tier 1 / Tier 2 path, 2-4 plausible competitors are scored K1-K5 in 'Competitor Fit'. Rank 1 = Primary, rank 2 = Secondary; ties are broken by K1 (depth).</t>
  </si>
  <si>
    <t>K4 and K5 are competitor-level (see 'Competitor Profiles'); K1-K3 are path-specific.</t>
  </si>
  <si>
    <t>Office Depot is deliberately NOT used as a primary: its assortment mirrors Staples' utility range, so it produces little gap signal. Use it only as a sanity check.</t>
  </si>
  <si>
    <t>All scores are analyst judgement from the desk research in 'Evidence &amp; Sources'. Live SKU counts could not be pulled (retailer sites bot-protected); confirm depth with the S0 scrape before the analysis run.</t>
  </si>
  <si>
    <t>F. Hero segmentation: the second lens (Hero / Probable Hero / Non-Hero)</t>
  </si>
  <si>
    <t>Hero = Staples' own top categories. Probable Hero = the market's top categories where Staples is not (yet) a destination: room for improvement. Non-Hero = neither. There is no internal sales or margin data, so both axes use external proxies; when Staples shares sales / margin rank, replace S1-S4 with it and everything recalculates.</t>
  </si>
  <si>
    <t>Staples Strength Index (SSI): is it a Staples hero?</t>
  </si>
  <si>
    <t>S1</t>
  </si>
  <si>
    <t>Assortment depth</t>
  </si>
  <si>
    <t>Staples items on the leaf, banded (computed from the tree)</t>
  </si>
  <si>
    <t>&gt;= 1,000 items</t>
  </si>
  <si>
    <t>&lt; 75 items</t>
  </si>
  <si>
    <t>S2</t>
  </si>
  <si>
    <t>Shelf visibility</t>
  </si>
  <si>
    <t>Is the L1 in Staples' header navigation? (computed from the tree)</t>
  </si>
  <si>
    <t>In the header nav</t>
  </si>
  <si>
    <t>Not in the header nav</t>
  </si>
  <si>
    <t>S3</t>
  </si>
  <si>
    <t>Merchandising investment</t>
  </si>
  <si>
    <t>Exclusives, collaborations, own brands, BTS / seasonal feature slots</t>
  </si>
  <si>
    <t>Staples exclusives or own brand + feature slots</t>
  </si>
  <si>
    <t>No visible investment</t>
  </si>
  <si>
    <t>S4</t>
  </si>
  <si>
    <t>Shopper association</t>
  </si>
  <si>
    <t>Would a shopper think of Staples first for this?</t>
  </si>
  <si>
    <t>Staples is a go-to destination</t>
  </si>
  <si>
    <t>Nobody thinks of Staples for this</t>
  </si>
  <si>
    <t>Market Attractiveness Index (MAI): is it a market hero?</t>
  </si>
  <si>
    <t>M1</t>
  </si>
  <si>
    <t>Demand momentum</t>
  </si>
  <si>
    <t>Growth and trend signals (Circana, trade press, social)</t>
  </si>
  <si>
    <t>Clear growth or a viral trend</t>
  </si>
  <si>
    <t>Flat or declining</t>
  </si>
  <si>
    <t>M2</t>
  </si>
  <si>
    <t>Competitor destination strength</t>
  </si>
  <si>
    <t>Do competitors run it as a department with specialist depth?</t>
  </si>
  <si>
    <t>Several retailers treat it as a destination</t>
  </si>
  <si>
    <t>Few competitors care</t>
  </si>
  <si>
    <t>M3</t>
  </si>
  <si>
    <t>Category size &amp; purchase frequency</t>
  </si>
  <si>
    <t>How big the category is and how often it is bought</t>
  </si>
  <si>
    <t>Large and frequently bought</t>
  </si>
  <si>
    <t>Small, rare purchase</t>
  </si>
  <si>
    <t>M4</t>
  </si>
  <si>
    <t>Occasion strength</t>
  </si>
  <si>
    <t>Reuses C7 (Q1-2027 / BTS-2027 moment) from the scorecard</t>
  </si>
  <si>
    <t>Strong Q1 or BTS peak</t>
  </si>
  <si>
    <t>No moment</t>
  </si>
  <si>
    <t>Segmentation parameter</t>
  </si>
  <si>
    <t>H</t>
  </si>
  <si>
    <t>Hero cut-off (SSI &gt;=)</t>
  </si>
  <si>
    <t>Checked first: a strong Staples shelf is a Hero whatever the market does.</t>
  </si>
  <si>
    <t>P</t>
  </si>
  <si>
    <t>Probable Hero cut-off (MAI &gt;=)</t>
  </si>
  <si>
    <t>Applied to shelves that are not Heroes.</t>
  </si>
  <si>
    <t>PR</t>
  </si>
  <si>
    <t>Protect cut-off (Hero with C3 1P-protection &lt;=)</t>
  </si>
  <si>
    <t>Hero shelves where design variants would substitute 1P: keep the marketplace out.</t>
  </si>
  <si>
    <t>NC</t>
  </si>
  <si>
    <t>Cap Non-Hero shelves at Tier 3? (Yes / No)</t>
  </si>
  <si>
    <t>Yes</t>
  </si>
  <si>
    <t>PoC time goes to Heroes and Probable Heroes.</t>
  </si>
  <si>
    <t>B5</t>
  </si>
  <si>
    <t>S1 band: items &gt;= this scores 5</t>
  </si>
  <si>
    <t>B4</t>
  </si>
  <si>
    <t>S1 band: scores 4</t>
  </si>
  <si>
    <t>B3</t>
  </si>
  <si>
    <t>S1 band: scores 3</t>
  </si>
  <si>
    <t>B2</t>
  </si>
  <si>
    <t>S1 band: scores 2 (else 1)</t>
  </si>
  <si>
    <t>NY</t>
  </si>
  <si>
    <t>S2 score if the L1 is in the header nav</t>
  </si>
  <si>
    <t>NN</t>
  </si>
  <si>
    <t>S2 score if not</t>
  </si>
  <si>
    <t>G. Segments and marketplace plays</t>
  </si>
  <si>
    <t>Segment</t>
  </si>
  <si>
    <t>Play</t>
  </si>
  <si>
    <t>When</t>
  </si>
  <si>
    <t>What Staples Marketplace does</t>
  </si>
  <si>
    <t>Hero</t>
  </si>
  <si>
    <t>EXTEND</t>
  </si>
  <si>
    <t>Staples is strong and 1P risk is manageable (C3 above the Protect cut-off).</t>
  </si>
  <si>
    <t>Add style / lifestyle extensions of the hero only (the 'White Chair' move); strict cannibalisation gate; invite brands Staples already buys first.</t>
  </si>
  <si>
    <t>PROTECT</t>
  </si>
  <si>
    <t>Staples is strong and design variants would substitute 1P (C3 at or below the Protect cut-off).</t>
  </si>
  <si>
    <t>Keep the marketplace out; use as a control shelf that shows the safety gate working.</t>
  </si>
  <si>
    <t>Probable Hero</t>
  </si>
  <si>
    <t>BUILD</t>
  </si>
  <si>
    <t>The market treats it as a top category but Staples is not (yet) a destination.</t>
  </si>
  <si>
    <t>Fill the depth gap quickly with marketplace sellers recruited from the primary competitor's brands: the biggest commission upside.</t>
  </si>
  <si>
    <t>Non-Hero</t>
  </si>
  <si>
    <t>HOLD</t>
  </si>
  <si>
    <t>Neither a Staples strength nor a market favourite.</t>
  </si>
  <si>
    <t>Backlog, capped at Tier 3. Revisit only if strategy or data changes.</t>
  </si>
  <si>
    <t>Path scorecard: every candidate Staples L3/L4 path</t>
  </si>
  <si>
    <t>Blue cells are analyst inputs. Gates, segment, score, rank, tier, play and competitors are formulas. Sort or filter freely; IDs are stable.</t>
  </si>
  <si>
    <t>Staples path (exact, from nav tree)</t>
  </si>
  <si>
    <t>L1</t>
  </si>
  <si>
    <t>L2</t>
  </si>
  <si>
    <t>Staples items (site)</t>
  </si>
  <si>
    <t>Staples SKUs in hand (sample)</t>
  </si>
  <si>
    <t>Link to your list</t>
  </si>
  <si>
    <t>G1 Granularity</t>
  </si>
  <si>
    <t>G2 Brand authority</t>
  </si>
  <si>
    <t>G3 Baseline</t>
  </si>
  <si>
    <t>G4 No partner conflict</t>
  </si>
  <si>
    <t>All gates</t>
  </si>
  <si>
    <t>C1 Design variance</t>
  </si>
  <si>
    <t>C2 Comp. depth</t>
  </si>
  <si>
    <t>C3 1P protection</t>
  </si>
  <si>
    <t>C4 Core-adjacency</t>
  </si>
  <si>
    <t>C5 Basket attach</t>
  </si>
  <si>
    <t>C6 Familiarity</t>
  </si>
  <si>
    <t>C7 Moment</t>
  </si>
  <si>
    <t>C8 Data readiness</t>
  </si>
  <si>
    <t>Score (0-100)</t>
  </si>
  <si>
    <t>Rationale / gate note</t>
  </si>
  <si>
    <t>Office Supplies</t>
  </si>
  <si>
    <t>Calendars &amp; Planners</t>
  </si>
  <si>
    <t>Planners &amp; Personal Organizers</t>
  </si>
  <si>
    <t>9. Planning &amp; Craft Organization</t>
  </si>
  <si>
    <t>Pass</t>
  </si>
  <si>
    <t>Deep Staples shelf (1,037) and Staples' own Sincerely Jules move; enthusiast formats missing.</t>
  </si>
  <si>
    <t>P02</t>
  </si>
  <si>
    <t>Desk Organizers &amp; Accessories</t>
  </si>
  <si>
    <t>Desk Organizers</t>
  </si>
  <si>
    <t>New</t>
  </si>
  <si>
    <t>Header-nav core, low ticket, coordinated design collections at Target/Container Store.</t>
  </si>
  <si>
    <t>Coffee, Water &amp; Snacks</t>
  </si>
  <si>
    <t>Water &amp; Beverages</t>
  </si>
  <si>
    <t>Water Bottles, Tumblers &amp; Travel Mugs</t>
  </si>
  <si>
    <t>7. Hydration &amp; Drinkware</t>
  </si>
  <si>
    <t>Owala/Stanley colourway gap; data in hand; everyone relates.</t>
  </si>
  <si>
    <t>Furniture</t>
  </si>
  <si>
    <t>Accent &amp; Waiting Room Chairs</t>
  </si>
  <si>
    <t>1. Chairs &amp; Seating</t>
  </si>
  <si>
    <t>Pat's own 'White Chair' shelf; pilot: 5 recs, 2 Strong, 94% confident mapping.</t>
  </si>
  <si>
    <t>Desk Lamps</t>
  </si>
  <si>
    <t>3. Lamps &amp; Lighting</t>
  </si>
  <si>
    <t>Aesthetic lighting on the work desk; Staples SKUs in hand.</t>
  </si>
  <si>
    <t>P06</t>
  </si>
  <si>
    <t>Writing Supplies &amp; Instruments</t>
  </si>
  <si>
    <t>Pencil Accessories</t>
  </si>
  <si>
    <t>Pencil Cases &amp; Pouches</t>
  </si>
  <si>
    <t>First 'aesthetic' item in the BTS basket; Staples' Recess Club proves demand.</t>
  </si>
  <si>
    <t>Bags, Backpacks &amp; Luggage</t>
  </si>
  <si>
    <t>Backpacks &amp; Laptop Bags</t>
  </si>
  <si>
    <t>Backpacks</t>
  </si>
  <si>
    <t>6. Backpacks &amp; Bags</t>
  </si>
  <si>
    <t>BTS anchor (85% of parents buy one); laptop packs are core 1P.</t>
  </si>
  <si>
    <t>Totes &amp; Handbags</t>
  </si>
  <si>
    <t>Lunch Bags &amp; Boxes</t>
  </si>
  <si>
    <t>Bento/leak-proof designs lead BTS &amp; work-lunch; data in hand.</t>
  </si>
  <si>
    <t>P09</t>
  </si>
  <si>
    <t>School Supplies</t>
  </si>
  <si>
    <t>Teacher Supplies</t>
  </si>
  <si>
    <t>Classroom Decorations</t>
  </si>
  <si>
    <t>Decorative Accents &amp; Board Sets</t>
  </si>
  <si>
    <t>Teachers self-fund ~$895/yr and buy themed sets: Pat's BTS anchor.</t>
  </si>
  <si>
    <t>P10</t>
  </si>
  <si>
    <t>Storage &amp; Organization</t>
  </si>
  <si>
    <t>Storage Baskets</t>
  </si>
  <si>
    <t>95 items vs Wayfair's Woven/Decorative/Fabric basket nodes; style-led storage.</t>
  </si>
  <si>
    <t>Laptop Sleeves &amp; Cases</t>
  </si>
  <si>
    <t>Low-ticket attach to every laptop sale.</t>
  </si>
  <si>
    <t>Briefcases &amp; Padfolios</t>
  </si>
  <si>
    <t>Lifestyle version of the briefcase.</t>
  </si>
  <si>
    <t>Office Desks</t>
  </si>
  <si>
    <t>2. Desks</t>
  </si>
  <si>
    <t>1,501 items; pilot Computer split: 3 recs (1 Strong). Split by Staples' own type facet.</t>
  </si>
  <si>
    <t>Notebooks &amp; Notepads</t>
  </si>
  <si>
    <t>Journals &amp; Diaries</t>
  </si>
  <si>
    <t>Gen-Z journaling habit; pairs with planners.</t>
  </si>
  <si>
    <t>P15</t>
  </si>
  <si>
    <t>Decor</t>
  </si>
  <si>
    <t>Artificial Plants &amp; Flowers</t>
  </si>
  <si>
    <t>Artificial Plants</t>
  </si>
  <si>
    <t>Biophilic / resimercial office default.</t>
  </si>
  <si>
    <t>Tape, Fasteners &amp; Adhesives</t>
  </si>
  <si>
    <t>Tape</t>
  </si>
  <si>
    <t>Arts &amp; Crafts Tape</t>
  </si>
  <si>
    <t>Only 32 Staples items: near-pure whitespace, tiny ticket.</t>
  </si>
  <si>
    <t>Arts &amp; Crafts</t>
  </si>
  <si>
    <t>Scrapbooking</t>
  </si>
  <si>
    <t>Stickers &amp; Embellishments</t>
  </si>
  <si>
    <t>Planner-companion consumable = repeat commission.</t>
  </si>
  <si>
    <t>P18</t>
  </si>
  <si>
    <t>Computers &amp; Accessories</t>
  </si>
  <si>
    <t>Computer Accessories &amp; Peripherals</t>
  </si>
  <si>
    <t>Mouse Pads &amp; Wrist Rests</t>
  </si>
  <si>
    <t>Desk mat is now a decor object; gel wrist rests are core.</t>
  </si>
  <si>
    <t>P19</t>
  </si>
  <si>
    <t>Boards &amp; Easels</t>
  </si>
  <si>
    <t>Bulletin Boards</t>
  </si>
  <si>
    <t>Letter/felt/fabric memo boards vs cork utility.</t>
  </si>
  <si>
    <t>P20</t>
  </si>
  <si>
    <t>Furniture &gt; Decor &gt; Clocks &amp; Timers</t>
  </si>
  <si>
    <t>Clocks &amp; Timers</t>
  </si>
  <si>
    <t>CL161533</t>
  </si>
  <si>
    <t>Wayfair runs a whole Clocks department. Capped at Tier 3 because it is Non-Hero.</t>
  </si>
  <si>
    <t>P21</t>
  </si>
  <si>
    <t>Picture Frames &amp; Photo Albums</t>
  </si>
  <si>
    <t>Examples doc already names Michaels on framing.</t>
  </si>
  <si>
    <t>Retail Store Supplies</t>
  </si>
  <si>
    <t>Retail Packaging</t>
  </si>
  <si>
    <t>Retail Boxes &amp; Bags</t>
  </si>
  <si>
    <t>8. Labels &amp; Packaging Accessories</t>
  </si>
  <si>
    <t>Boutique packaging for small sellers: Staples' core SMB customer.</t>
  </si>
  <si>
    <t>P23</t>
  </si>
  <si>
    <t>Office Supplies &gt; Desk Organizers &amp; Accessories &gt; Desk Pads</t>
  </si>
  <si>
    <t>Desk Pads</t>
  </si>
  <si>
    <t>CL140589</t>
  </si>
  <si>
    <t>Leather/felt desk pads; Wayfair has a Desk Pads node. Capped at Tier 3 because it is Non-Hero.</t>
  </si>
  <si>
    <t>P24</t>
  </si>
  <si>
    <t>Laptop Accessories</t>
  </si>
  <si>
    <t>Laptop Stands &amp; Lap Desks</t>
  </si>
  <si>
    <t>Wood/aluminium stands are desk-setup objects.</t>
  </si>
  <si>
    <t>Sofas &amp; Benches</t>
  </si>
  <si>
    <t>Benches &amp; Beam Seating</t>
  </si>
  <si>
    <t>Pilot: 2 Strong recs; thin Staples baseline (49); oversize freight.</t>
  </si>
  <si>
    <t>Table Lamps</t>
  </si>
  <si>
    <t>Reception / home-office decor lighting.</t>
  </si>
  <si>
    <t>P27</t>
  </si>
  <si>
    <t>Computer Keyboards</t>
  </si>
  <si>
    <t>Typewriter/pastel keyboards mainstream (Logitech POP); business keyboards are core.</t>
  </si>
  <si>
    <t>Breakroom &amp; Dining Chairs</t>
  </si>
  <si>
    <t>Pilot: 5 recs but methods disagree (rho 0.08); RTO breakroom story.</t>
  </si>
  <si>
    <t>Calendars</t>
  </si>
  <si>
    <t>Dated goods are core 1P; design calendars are the adjacency.</t>
  </si>
  <si>
    <t>Stools &amp; Ottomans</t>
  </si>
  <si>
    <t>Counter &amp; Bar Stools</t>
  </si>
  <si>
    <t>Pilot: best method agreement (rho 0.73 on bar-height split); café/breakroom, not the core work mission.</t>
  </si>
  <si>
    <t>Floor Lamps</t>
  </si>
  <si>
    <t>Strong design variance; living-room leaning.</t>
  </si>
  <si>
    <t>Label Makers &amp; Tapes</t>
  </si>
  <si>
    <t>Label Makers</t>
  </si>
  <si>
    <t>Mini thermal label printers went viral; Brother/DYMO are core 1P.</t>
  </si>
  <si>
    <t>Shipping, Packing &amp; Mailing Supplies</t>
  </si>
  <si>
    <t>Mailing Supplies</t>
  </si>
  <si>
    <t>Mailers</t>
  </si>
  <si>
    <t>Coloured/printed/recycled mailers; utility mailers are core 1P.</t>
  </si>
  <si>
    <t>Storage Bins</t>
  </si>
  <si>
    <t>Plastic utility bins are core; fabric/acrylic are the adjacency.</t>
  </si>
  <si>
    <t>Calendar &amp; In-Out Boards</t>
  </si>
  <si>
    <t>Acrylic/glass calendars; pairs with planners.</t>
  </si>
  <si>
    <t>Ottomans</t>
  </si>
  <si>
    <t>Wayfair 1,069 vs Staples 29 in pilot; residential, weak work mission.</t>
  </si>
  <si>
    <t>P37</t>
  </si>
  <si>
    <t>Furniture &gt; Cubicle &amp; Panel Systems &gt; Desktop Privacy Panels</t>
  </si>
  <si>
    <t>Cubicle &amp; Panel Systems</t>
  </si>
  <si>
    <t>Desktop Privacy Panels</t>
  </si>
  <si>
    <t>CL166381</t>
  </si>
  <si>
    <t>Acoustic felt desk dividers.</t>
  </si>
  <si>
    <t>P38</t>
  </si>
  <si>
    <t>Office Supplies &gt; Writing Supplies &amp; Instruments &gt; Pens</t>
  </si>
  <si>
    <t>Pens</t>
  </si>
  <si>
    <t>CL110001</t>
  </si>
  <si>
    <t>Core 1P writing instruments: design pens would substitute best-sellers.</t>
  </si>
  <si>
    <t>P39</t>
  </si>
  <si>
    <t>Audio &gt; Headphones &gt; Headphones</t>
  </si>
  <si>
    <t>Audio</t>
  </si>
  <si>
    <t>Headphones</t>
  </si>
  <si>
    <t>CL210844</t>
  </si>
  <si>
    <t>BTS growth category but Staples already carries 782 items: substitution risk.</t>
  </si>
  <si>
    <t>P40</t>
  </si>
  <si>
    <t>Computers &amp; Accessories &gt; Computer Monitors &amp; Stands &gt; Monitor Stands &amp; Mounts</t>
  </si>
  <si>
    <t>Computer Monitors &amp; Stands</t>
  </si>
  <si>
    <t>Monitor Stands &amp; Mounts</t>
  </si>
  <si>
    <t>CL141470</t>
  </si>
  <si>
    <t>Mounts/arms are spec-led; only risers are style-led.</t>
  </si>
  <si>
    <t>P41</t>
  </si>
  <si>
    <t>Furniture &gt; Cubicle &amp; Panel Systems &gt; Office Partitions &amp; Dividers</t>
  </si>
  <si>
    <t>Office Partitions &amp; Dividers</t>
  </si>
  <si>
    <t>CL70600</t>
  </si>
  <si>
    <t>Decorative dividers &amp; acoustic panels (RTO); freight.</t>
  </si>
  <si>
    <t>P42</t>
  </si>
  <si>
    <t>Cleaning Supplies &gt; Waste &amp; Recycling &gt; Trash Cans &amp; Recycling Bins</t>
  </si>
  <si>
    <t>Cleaning Supplies</t>
  </si>
  <si>
    <t>Waste &amp; Recycling</t>
  </si>
  <si>
    <t>Trash Cans &amp; Recycling Bins</t>
  </si>
  <si>
    <t>CL141928</t>
  </si>
  <si>
    <t>Facilities whitespace (Pat's doc); design bins for lobbies.</t>
  </si>
  <si>
    <t>P43</t>
  </si>
  <si>
    <t>School Supplies &gt; Teacher Supplies &gt; Classroom Storage &amp; Organization</t>
  </si>
  <si>
    <t>Classroom Storage &amp; Organization</t>
  </si>
  <si>
    <t>CL207294</t>
  </si>
  <si>
    <t>Functional; weaker design variance.</t>
  </si>
  <si>
    <t>Fitness</t>
  </si>
  <si>
    <t>Fitness Machines</t>
  </si>
  <si>
    <t>5. Fitness Equipment</t>
  </si>
  <si>
    <t>Only as 'active workstation' (walking pads, desk bikes); bulky, thin baseline.</t>
  </si>
  <si>
    <t>P45</t>
  </si>
  <si>
    <t>Coffee, Water &amp; Snacks &gt; Coffee, Coffee Makers &amp; Supplies &gt; Carafes, Kettles &amp; Decanters</t>
  </si>
  <si>
    <t>Coffee, Coffee Makers &amp; Supplies</t>
  </si>
  <si>
    <t>Carafes, Kettles &amp; Decanters</t>
  </si>
  <si>
    <t>CL142180</t>
  </si>
  <si>
    <t>Design electric kettles for breakrooms.</t>
  </si>
  <si>
    <t>P46</t>
  </si>
  <si>
    <t>Furniture &gt; Decor &gt; Essential Oils &amp; Diffusers</t>
  </si>
  <si>
    <t>Essential Oils &amp; Diffusers</t>
  </si>
  <si>
    <t>CL354884</t>
  </si>
  <si>
    <t>Wellness decor; weak Staples authority.</t>
  </si>
  <si>
    <t>Sit &amp; Stand Desks</t>
  </si>
  <si>
    <t>Spec-led (motor/frame); design gaps small, CRS high.</t>
  </si>
  <si>
    <t>Office Chairs</t>
  </si>
  <si>
    <t>Core 1P, highest cannibalisation risk. Keep as the CONTROL shelf that shows the gate working.</t>
  </si>
  <si>
    <t>P49</t>
  </si>
  <si>
    <t>Furniture &gt; Home &amp; Office Tables &gt; Accent &amp; Coffee Tables</t>
  </si>
  <si>
    <t>Home &amp; Office Tables</t>
  </si>
  <si>
    <t>Accent &amp; Coffee Tables</t>
  </si>
  <si>
    <t>CL161009</t>
  </si>
  <si>
    <t>Reception-area furniture; oversize.</t>
  </si>
  <si>
    <t>Crafting</t>
  </si>
  <si>
    <t>Art Portfolios &amp; Craft Storage</t>
  </si>
  <si>
    <t>Thin (66) and a hobbyist mission.</t>
  </si>
  <si>
    <t>P51</t>
  </si>
  <si>
    <t>Furniture &gt; Storage Furniture &gt; Coat Trees, Stands &amp; Hooks</t>
  </si>
  <si>
    <t>Storage Furniture</t>
  </si>
  <si>
    <t>Coat Trees, Stands &amp; Hooks</t>
  </si>
  <si>
    <t>CL167079</t>
  </si>
  <si>
    <t>Entry/office coat racks; niche.</t>
  </si>
  <si>
    <t>P52</t>
  </si>
  <si>
    <t>Facilities &gt; Floor Mats &amp; Flooring &gt; Commercial Floor Mats</t>
  </si>
  <si>
    <t>Facilities</t>
  </si>
  <si>
    <t>Floor Mats &amp; Flooring</t>
  </si>
  <si>
    <t>Commercial Floor Mats</t>
  </si>
  <si>
    <t>CL214671</t>
  </si>
  <si>
    <t>Wayfair doormat pages already scraped; commercial mats are core.</t>
  </si>
  <si>
    <t>P53</t>
  </si>
  <si>
    <t>Coffee, Water &amp; Snacks &gt; Coffee, Coffee Makers &amp; Supplies &gt; Coffee Makers &amp; Espresso Machines</t>
  </si>
  <si>
    <t>Coffee Makers &amp; Espresso Machines</t>
  </si>
  <si>
    <t>CL140860</t>
  </si>
  <si>
    <t>Breakroom design appliances; moderate fit.</t>
  </si>
  <si>
    <t>P54</t>
  </si>
  <si>
    <t>Furniture &gt; Boards &amp; Easels &gt; Dry Erase Whiteboards</t>
  </si>
  <si>
    <t>Dry Erase Whiteboards</t>
  </si>
  <si>
    <t>CL166382</t>
  </si>
  <si>
    <t>Quartet-led core 1P; glass boards the only adjacency.</t>
  </si>
  <si>
    <t>Kids Seating</t>
  </si>
  <si>
    <t>Pilot: no recommended archetypes.</t>
  </si>
  <si>
    <t>P56</t>
  </si>
  <si>
    <t>Facilities &gt; Air Quality &gt; Air Purifiers</t>
  </si>
  <si>
    <t>Air Quality</t>
  </si>
  <si>
    <t>Air Purifiers</t>
  </si>
  <si>
    <t>CL140858</t>
  </si>
  <si>
    <t>Spec-led wellness appliance.</t>
  </si>
  <si>
    <t>Desk Components &amp; Hutches</t>
  </si>
  <si>
    <t>Hutches</t>
  </si>
  <si>
    <t>Component shelf, little design variance.</t>
  </si>
  <si>
    <t>Gaming Chairs</t>
  </si>
  <si>
    <t>Pilot thin (22 families); spec-led.</t>
  </si>
  <si>
    <t>4. Rugs</t>
  </si>
  <si>
    <t>No L3/L4 exists under Rugs (L2 leaf).</t>
  </si>
  <si>
    <t>X02</t>
  </si>
  <si>
    <t>Furniture &gt; Chair Mats</t>
  </si>
  <si>
    <t>Chair Mats</t>
  </si>
  <si>
    <t>CL70205</t>
  </si>
  <si>
    <t>L2 leaf: no L3/L4 to drill into.</t>
  </si>
  <si>
    <t>Labels</t>
  </si>
  <si>
    <t>L2 leaf of 11,493 commodity labels.</t>
  </si>
  <si>
    <t>Party Supplies</t>
  </si>
  <si>
    <t>Wrapping Supplies</t>
  </si>
  <si>
    <t>Gift Boxes &amp; Bags</t>
  </si>
  <si>
    <t>Fail</t>
  </si>
  <si>
    <t>Overlaps the Party City partner assortment on Staples.com (Apr-2026).</t>
  </si>
  <si>
    <t>Gift Wrap &amp; Wrapping Paper</t>
  </si>
  <si>
    <t>Appliances &amp; Kitchenware</t>
  </si>
  <si>
    <t>Kitchenware</t>
  </si>
  <si>
    <t>Dining &amp; Tableware</t>
  </si>
  <si>
    <t>Drinkware &amp; Glassware</t>
  </si>
  <si>
    <t>Only 15 Staples items: no baseline.</t>
  </si>
  <si>
    <t>X07</t>
  </si>
  <si>
    <t>Gift Shop &gt; Stationery</t>
  </si>
  <si>
    <t>Gift Shop</t>
  </si>
  <si>
    <t>Stationery</t>
  </si>
  <si>
    <t>CL164333</t>
  </si>
  <si>
    <t>L2 leaf.</t>
  </si>
  <si>
    <t>X08</t>
  </si>
  <si>
    <t>Gift Shop &gt; Professional Gifts &gt; Compasses &gt; Patio Furniture</t>
  </si>
  <si>
    <t>Professional Gifts</t>
  </si>
  <si>
    <t>Compasses</t>
  </si>
  <si>
    <t>Patio Furniture</t>
  </si>
  <si>
    <t>CL213655</t>
  </si>
  <si>
    <t>Mis-shelved under Gift Shop &gt; Compasses; leisure, off-mission.</t>
  </si>
  <si>
    <t>Luggage &amp; Travel Accessories</t>
  </si>
  <si>
    <t>Luggage &amp; Duffel Bags</t>
  </si>
  <si>
    <t>Suitcases &amp; Luggage Sets</t>
  </si>
  <si>
    <t>Leisure travel; off Staples' work/school mission.</t>
  </si>
  <si>
    <t>Hero segmentation: Staples strength vs market attractiveness, per L3/L4 path</t>
  </si>
  <si>
    <t>S1-S2 and M4 are computed; S3, S4, M1-M3 are analyst inputs (blue). Segment: Hero if SSI &gt;= cut-off, else Probable Hero if MAI &gt;= cut-off, else Non-Hero.</t>
  </si>
  <si>
    <t>L1 &gt; L2</t>
  </si>
  <si>
    <t>L1 in header nav</t>
  </si>
  <si>
    <t>S1 Depth</t>
  </si>
  <si>
    <t>S2 Visibility</t>
  </si>
  <si>
    <t>S3 Merch. investment</t>
  </si>
  <si>
    <t>S4 Shopper association</t>
  </si>
  <si>
    <t>SSI Staples strength (0-100)</t>
  </si>
  <si>
    <t>M1 Demand momentum</t>
  </si>
  <si>
    <t>M2 Competitor destination</t>
  </si>
  <si>
    <t>M3 Size &amp; frequency</t>
  </si>
  <si>
    <t>M4 Occasion (=C7)</t>
  </si>
  <si>
    <t>MAI Market attractiveness (0-100)</t>
  </si>
  <si>
    <t>Evidence / note</t>
  </si>
  <si>
    <t>Chart helpers (#N/A = point hidden on purpose)</t>
  </si>
  <si>
    <t>chart: SSI Hero</t>
  </si>
  <si>
    <t>chart: MAI Hero</t>
  </si>
  <si>
    <t>chart: SSI Prob. Hero</t>
  </si>
  <si>
    <t>chart: MAI Prob. Hero</t>
  </si>
  <si>
    <t>chart: SSI Non-Hero</t>
  </si>
  <si>
    <t>chart: MAI Non-Hero</t>
  </si>
  <si>
    <t>Office Supplies &gt; Calendars &amp; Planners</t>
  </si>
  <si>
    <t>Staples: Sincerely Jules for Blue Sky exclusive (Jun-2026), Vera Bradley; deepest dated-goods shelf. Market: planning / journaling habit.</t>
  </si>
  <si>
    <t>Office Supplies &gt; Desk Organizers &amp; Accessories</t>
  </si>
  <si>
    <t>Staples: header-nav Office Supplies staple with Staples-brand ranges. Market: 'desk setup' trend, Target Brightroom.</t>
  </si>
  <si>
    <t>Coffee, Water &amp; Snacks &gt; Water &amp; Beverages</t>
  </si>
  <si>
    <t>Staples: carries Stanley / Hydro Flask but no exclusives; not a drinkware destination. Market: Owala / Stanley / HydroJug craze.</t>
  </si>
  <si>
    <t>Staples: 229 items of utilitarian guest chairs. Market: Wayfair's core design category.</t>
  </si>
  <si>
    <t>Staples: task-lamp led. Market: decor-led lighting is a Wayfair department.</t>
  </si>
  <si>
    <t>Office Supplies &gt; Writing Supplies &amp; Instruments</t>
  </si>
  <si>
    <t>Staples: Recess Club exclusive, but only 107 items. Market: the BTS aesthetic essential.</t>
  </si>
  <si>
    <t>Bags, Backpacks &amp; Luggage &gt; Backpacks &amp; Laptop Bags</t>
  </si>
  <si>
    <t>No</t>
  </si>
  <si>
    <t>Staples: BTS feature category. Market: 85% of parents buy one (Circana).</t>
  </si>
  <si>
    <t>Bags, Backpacks &amp; Luggage &gt; Totes &amp; Handbags</t>
  </si>
  <si>
    <t>Staples: 404 items, basic insulated bags. Market: bento / leak-proof BTS and work-lunch trend.</t>
  </si>
  <si>
    <t>School Supplies &gt; Teacher Supplies</t>
  </si>
  <si>
    <t>Staples: teacher programme (teacher coupon, teacher lists), 607 items. Market: teachers self-fund about $895 a year.</t>
  </si>
  <si>
    <t>Office Supplies &gt; Storage &amp; Organization</t>
  </si>
  <si>
    <t>Staples: 95 items. Market: Wayfair runs Woven, Decorative and Fabric basket nodes.</t>
  </si>
  <si>
    <t>Bags, Backpacks &amp; Luggage &gt; Briefcases &amp; Padfolios</t>
  </si>
  <si>
    <t>Staples' core furniture (incl. Union &amp; Scale own brand).</t>
  </si>
  <si>
    <t>Office Supplies &gt; Notebooks &amp; Notepads</t>
  </si>
  <si>
    <t>Furniture &gt; Decor</t>
  </si>
  <si>
    <t>Office Supplies &gt; Tape, Fasteners &amp; Adhesives</t>
  </si>
  <si>
    <t>Arts &amp; Crafts &gt; Scrapbooking</t>
  </si>
  <si>
    <t>Computers &amp; Accessories &gt; Computer Accessories &amp; Peripherals</t>
  </si>
  <si>
    <t>Furniture &gt; Boards &amp; Easels</t>
  </si>
  <si>
    <t>Neither a Staples strength nor a market favourite (wall clocks are a flat category).</t>
  </si>
  <si>
    <t>Retail Store Supplies &gt; Retail Packaging</t>
  </si>
  <si>
    <t>Small, flat category; the desk-mat trend is captured by Mouse Pads &amp; Wrist Rests.</t>
  </si>
  <si>
    <t>Office Supplies &gt; Label Makers &amp; Tapes</t>
  </si>
  <si>
    <t>Shipping, Packing &amp; Mailing Supplies &gt; Mailing Supplies</t>
  </si>
  <si>
    <t>Furniture &gt; Cubicle &amp; Panel Systems</t>
  </si>
  <si>
    <t>Staples' core writing instruments: protect.</t>
  </si>
  <si>
    <t>Audio &gt; Headphones</t>
  </si>
  <si>
    <t>Computers &amp; Accessories &gt; Computer Monitors &amp; Stands</t>
  </si>
  <si>
    <t>Cleaning Supplies &gt; Waste &amp; Recycling</t>
  </si>
  <si>
    <t>Fitness &gt; Fitness Equipment</t>
  </si>
  <si>
    <t>Coffee, Water &amp; Snacks &gt; Coffee, Coffee Makers &amp; Supplies</t>
  </si>
  <si>
    <t>Staples' core 1P furniture: protect, and use as the control shelf.</t>
  </si>
  <si>
    <t>Furniture &gt; Home &amp; Office Tables</t>
  </si>
  <si>
    <t>Arts &amp; Crafts &gt; Crafting</t>
  </si>
  <si>
    <t>Furniture &gt; Storage Furniture</t>
  </si>
  <si>
    <t>Facilities &gt; Floor Mats &amp; Flooring</t>
  </si>
  <si>
    <t>Facilities &gt; Air Quality</t>
  </si>
  <si>
    <t>Avery / Staples-brand core, 11,493 items: protect.</t>
  </si>
  <si>
    <t>Party Supplies &gt; Wrapping Supplies</t>
  </si>
  <si>
    <t>The Party City partnership now supplies this on Staples.com.</t>
  </si>
  <si>
    <t>Appliances &amp; Kitchenware &gt; Kitchenware</t>
  </si>
  <si>
    <t>Gift Shop &gt; Professional Gifts</t>
  </si>
  <si>
    <t>Bags, Backpacks &amp; Luggage &gt; Luggage &amp; Travel Accessories</t>
  </si>
  <si>
    <t>L2 roll-up: how many scored L3/L4 paths of each segment sit under every Staples L2 (live)</t>
  </si>
  <si>
    <t>Parked (gate)</t>
  </si>
  <si>
    <t>Reading</t>
  </si>
  <si>
    <t>Competitor fit per shortlisted path (Tier 1 + Tier 2 at v1, incl. two now capped at Tier 3)</t>
  </si>
  <si>
    <t>K1-K3 are path-specific inputs (blue). K4-K5 come from 'Competitor Profiles'. Role = rank within the path: 1 Primary, 2 Secondary.</t>
  </si>
  <si>
    <t>Competitor</t>
  </si>
  <si>
    <t>K1 Depth</t>
  </si>
  <si>
    <t>K2 Aesthetic</t>
  </si>
  <si>
    <t>K3 Shopper overlap</t>
  </si>
  <si>
    <t>K4 Recruitable</t>
  </si>
  <si>
    <t>K5 Data access</t>
  </si>
  <si>
    <t>Fit score</t>
  </si>
  <si>
    <t>Rank in path</t>
  </si>
  <si>
    <t>Role</t>
  </si>
  <si>
    <t>Lookup key</t>
  </si>
  <si>
    <t>Target</t>
  </si>
  <si>
    <t>JetPens</t>
  </si>
  <si>
    <t>Dick's Sporting Goods</t>
  </si>
  <si>
    <t>The Container Store</t>
  </si>
  <si>
    <t>Oriental Trading</t>
  </si>
  <si>
    <t>Best Buy</t>
  </si>
  <si>
    <t>Uline</t>
  </si>
  <si>
    <t>Competitor profiles: why each one is (or is not) a benchmark</t>
  </si>
  <si>
    <t>K4 / K5 are the competitor-level scores used in 'Competitor Fit'. Access = what a plain HTTP request returned on 29-Sep-2026.</t>
  </si>
  <si>
    <t>Type</t>
  </si>
  <si>
    <t>Scale / depth evidence</t>
  </si>
  <si>
    <t>Aesthetic lens</t>
  </si>
  <si>
    <t>Seller notes</t>
  </si>
  <si>
    <t>Access test (29-Sep-2026)</t>
  </si>
  <si>
    <t>Best-fit Staples paths</t>
  </si>
  <si>
    <t>Cautions</t>
  </si>
  <si>
    <t>Wayfair (+ Wayfair Professional)</t>
  </si>
  <si>
    <t>Home &amp; commercial furniture / decor pure-play</t>
  </si>
  <si>
    <t>Drop-ship model with 11,000+ suppliers and a 14M+ product catalogue (secondary sources); 21.4M active customers in Q1-2026.</t>
  </si>
  <si>
    <t>Very wide style range (boucle, rattan, mid-century, glam) at every price tier.</t>
  </si>
  <si>
    <t>House-brand labels (Latitude Run, Ebern Designs...) hide the supplier, but the drop-ship suppliers behind them can be recruited.</t>
  </si>
  <si>
    <t>Already scraped for the pilot (chairs, desks, mats). Today: HTTP 429 (rate-limited).</t>
  </si>
  <si>
    <t>Seating, desks, lamps, storage baskets, clocks, faux plants, frames, desk pads, memo boards</t>
  </si>
  <si>
    <t>Convenience sample so far: compare shares, never counts. House brands are not sellers.</t>
  </si>
  <si>
    <t>Amazon (+ Amazon Business)</t>
  </si>
  <si>
    <t>Everything marketplace; the B2B rival Staples meets daily</t>
  </si>
  <si>
    <t>3P sellers = ~60-61% of paid units (Q1-Q2 2026). Amazon Business: $60B+ annualised gross sales, 11M+ organisations (Amazon, per search summary).</t>
  </si>
  <si>
    <t>Huge variety, noisy quality; strongest for small low-ticket items.</t>
  </si>
  <si>
    <t>The richest pool of sellers who already run multi-channel and could list on Staples Marketplace.</t>
  </si>
  <si>
    <t>Bot-protected to plain requests; mature paid APIs exist (e.g. the Rainforest API the Track-B plan named).</t>
  </si>
  <si>
    <t>Pencil cases, lunch, backpacks, desk mats, laptop stands, label makers, packaging, classroom decor</t>
  </si>
  <si>
    <t>Needs de-duplication of near-identical 3P listings; sample by facet, not bestseller.</t>
  </si>
  <si>
    <t>Target (+ Target Plus)</t>
  </si>
  <si>
    <t>Mass lifestyle retailer; invite-only curated marketplace</t>
  </si>
  <si>
    <t>Target Plus: invite-only, 'curation at scale', adding dozens of hand-picked brands in summer 2026; JanSport is a named partner.</t>
  </si>
  <si>
    <t>Design-led owned brands (Brightroom, Threshold, Studio McGee) + exclusive colourways.</t>
  </si>
  <si>
    <t>Owned brands are not recruitable; Target Plus brands are.</t>
  </si>
  <si>
    <t>Pages are JavaScript-rendered; data loads from the site's JSON endpoints (feasible with a headless scraper).</t>
  </si>
  <si>
    <t>Desk organizers, storage bins, lunch, pencil cases, backpacks, table &amp; floor lamps</t>
  </si>
  <si>
    <t>Target Plus is the closest peer to Pat's curated-marketplace model: a strong talking point.</t>
  </si>
  <si>
    <t>Arts, crafts, planning &amp; framing specialist</t>
  </si>
  <si>
    <t>~200k online SKUs plus ~1.3M added via its Mirakl marketplace (eMarketer).</t>
  </si>
  <si>
    <t>Enthusiast depth: Happy Planner ecosystem, washi, stickers, frames, floral.</t>
  </si>
  <si>
    <t>Marketplace sellers are recruitable; some brands are Michaels-exclusive.</t>
  </si>
  <si>
    <t>HTML returns 200 but product grids are JavaScript-rendered.</t>
  </si>
  <si>
    <t>Planners, stickers, washi tape, frames, faux plants, journals</t>
  </si>
  <si>
    <t>Hobby-pro items (e.g. Copic markers) can pull the analysis off-mission: keep to planning &amp; display.</t>
  </si>
  <si>
    <t>Organization specialist</t>
  </si>
  <si>
    <t>Reset in 2026: liquidating ~30% of select categories / SKUs; co-branded stores with Bed Bath &amp; Beyond (Beyond Inc).</t>
  </si>
  <si>
    <t>Coordinated acrylic, bamboo and marble collections; the organization style benchmark.</t>
  </si>
  <si>
    <t>Much is own brand (Elfa, TCS); some third-party brands (Yamazaki, Russell+Hazel).</t>
  </si>
  <si>
    <t>HTTP 307 redirect to a bot check.</t>
  </si>
  <si>
    <t>Desk organizers, storage baskets &amp; bins</t>
  </si>
  <si>
    <t>Shrinking assortment in 2026: use as a style reference rather than the primary depth source.</t>
  </si>
  <si>
    <t>Consumer electronics specialist</t>
  </si>
  <si>
    <t>Examples doc: keyboards, audio, gaming at enthusiast depth; also runs a Mirakl marketplace.</t>
  </si>
  <si>
    <t>Colour and style options within well-known tech brands.</t>
  </si>
  <si>
    <t>National tech brands; marketplace sellers.</t>
  </si>
  <si>
    <t>Official developer Products API (key required); the website itself did not answer a plain request.</t>
  </si>
  <si>
    <t>Keyboards, laptop stands, desk mats, headphones</t>
  </si>
  <si>
    <t>Tech items carry higher cannibalisation risk against Staples' own tech range.</t>
  </si>
  <si>
    <t>National sporting goods</t>
  </si>
  <si>
    <t>Stocks YETI, HydroJug, Owala, Stanley and CamelBak with a dedicated BTS hydration page.</t>
  </si>
  <si>
    <t>Full colourways and sizes of the trending bottle brands.</t>
  </si>
  <si>
    <t>National brands that already sell wholesale are recruitable.</t>
  </si>
  <si>
    <t>HTTP 403 ('Site Unavailable').</t>
  </si>
  <si>
    <t>Water bottles &amp; tumblers; secondary for backpacks and fitness</t>
  </si>
  <si>
    <t>Sports-family shopper; overlap with Staples' office shopper is partial.</t>
  </si>
  <si>
    <t>Regional sporting goods specialist</t>
  </si>
  <si>
    <t>Examples doc: 'wall-to-wall' hydration and technical packs (Osprey, Mystery Ranch, North Face).</t>
  </si>
  <si>
    <t>Deep in outdoor and technical.</t>
  </si>
  <si>
    <t>Same national brands as Dick's.</t>
  </si>
  <si>
    <t>HTTP 403.</t>
  </si>
  <si>
    <t>Alternate for water bottles; style reference for outdoor packs</t>
  </si>
  <si>
    <t>Regional footprint and technical skew make it a weaker primary than Dick's for Staples' shopper.</t>
  </si>
  <si>
    <t>B2B packaging &amp; facilities catalogue</t>
  </si>
  <si>
    <t>45,000+ products in stock (uline.com).</t>
  </si>
  <si>
    <t>Utility-first, but many colour and size options in mailers, retail bags and gift boxes.</t>
  </si>
  <si>
    <t>Largely Uline-branded: few recruitable sellers.</t>
  </si>
  <si>
    <t>HTTP 200: server-rendered HTML.</t>
  </si>
  <si>
    <t>Retail boxes &amp; bags, mailers</t>
  </si>
  <si>
    <t>Good depth benchmark, weak seller pool: pair with Amazon.</t>
  </si>
  <si>
    <t>Online stationery specialist (Japanese &amp; European)</t>
  </si>
  <si>
    <t>10,000+ products (jetpens.com, About Us).</t>
  </si>
  <si>
    <t>Design-led stationery; the benchmark for 'aesthetic' pens and pouches.</t>
  </si>
  <si>
    <t>Brands sold via US distributors (Pilot, Uni, Kokuyo...).</t>
  </si>
  <si>
    <t>HTTP 403 (Cloudflare).</t>
  </si>
  <si>
    <t>Style reference for pencil cases, washi, journals</t>
  </si>
  <si>
    <t>Enthusiast skew: use as a style reference, not the primary.</t>
  </si>
  <si>
    <t>Party, craft &amp; classroom catalogue</t>
  </si>
  <si>
    <t>A major classroom-decor and teacher catalogue.</t>
  </si>
  <si>
    <t>Themed classroom sets (boho, calm, pastel).</t>
  </si>
  <si>
    <t>Mostly own-sourced.</t>
  </si>
  <si>
    <t>HTTP 403 (security verification).</t>
  </si>
  <si>
    <t>Classroom decor (secondary)</t>
  </si>
  <si>
    <t>Weak seller pool; style and theme reference.</t>
  </si>
  <si>
    <t>Office Depot / ODP (not used as primary)</t>
  </si>
  <si>
    <t>Direct like-for-like competitor</t>
  </si>
  <si>
    <t>Assortment mirrors Staples' utility range, with a marketplace on officedepot.com.</t>
  </si>
  <si>
    <t>Utility-first.</t>
  </si>
  <si>
    <t>Not tested.</t>
  </si>
  <si>
    <t>Sanity check only</t>
  </si>
  <si>
    <t>Little gap signal: comparing like with like finds few design-led archetypes.</t>
  </si>
  <si>
    <t>Paths considered and not recommended (with the reason)</t>
  </si>
  <si>
    <t>Gate failures are also in the scorecard. Tier 3 paths stay in the backlog and can be promoted by changing weights or cut-offs.</t>
  </si>
  <si>
    <t>Status</t>
  </si>
  <si>
    <t>Reason</t>
  </si>
  <si>
    <t>Revisit when</t>
  </si>
  <si>
    <t>A pseudo-L3 split by rug type is accepted as an exception</t>
  </si>
  <si>
    <t>Same: only with a pseudo-L3 split</t>
  </si>
  <si>
    <t>Never as a design play; commodity</t>
  </si>
  <si>
    <t>The Party City partnership scope changes</t>
  </si>
  <si>
    <t>Staples adds a baseline (mugs)</t>
  </si>
  <si>
    <t>Pseudo-L3 split</t>
  </si>
  <si>
    <t>Never; mis-shelved node</t>
  </si>
  <si>
    <t>Travel becomes a marketplace theme</t>
  </si>
  <si>
    <t>Market signal for decor clocks strengthens</t>
  </si>
  <si>
    <t>Merged with desk mats (Mouse Pads &amp; Wrist Rests)</t>
  </si>
  <si>
    <t>Weights shift toward its strengths</t>
  </si>
  <si>
    <t>Only for a separate premium-pen (JetPens) study</t>
  </si>
  <si>
    <t>BTS tech attach is prioritised</t>
  </si>
  <si>
    <t>Paired with Sit &amp; Stand Desks</t>
  </si>
  <si>
    <t>Paired with walking pads as a 'wellness desk' story</t>
  </si>
  <si>
    <t>Keep as the control shelf in the PoC</t>
  </si>
  <si>
    <t>-</t>
  </si>
  <si>
    <t>Furniture &gt; Decor &gt; Wall Art &gt; Wall Art/Decor (and sister Wall Art leaves)</t>
  </si>
  <si>
    <t>CL140795</t>
  </si>
  <si>
    <t>Not scored</t>
  </si>
  <si>
    <t>Staples already lists 10,000+ wall-art items (drop-ship catalogue): the gap is already closed.</t>
  </si>
  <si>
    <t>Never</t>
  </si>
  <si>
    <t>Evidence behind the scores</t>
  </si>
  <si>
    <t>Reliability: High = company / official release; Medium = trade press or analyst; Low = vendor blog or market-research PR. 'Opened' = page read directly, not only the search summary.</t>
  </si>
  <si>
    <t>Claim / figure</t>
  </si>
  <si>
    <t>Source</t>
  </si>
  <si>
    <t>URL / location</t>
  </si>
  <si>
    <t>Date</t>
  </si>
  <si>
    <t>Reliability</t>
  </si>
  <si>
    <t>Opened?</t>
  </si>
  <si>
    <t>Used for</t>
  </si>
  <si>
    <t>Staples BTS 2026: Recess Club &amp; Jellygram exclusive pouches / notebooks; Sincerely Jules planners; Vera Bradley; 750+ items under $10; Party City in-store</t>
  </si>
  <si>
    <t>Staples press release</t>
  </si>
  <si>
    <t>https://www.businesswire.com/news/home/20260706408220/en/Staples-Holds-Last-Years-Prices-on-Back-to-School-Essentials-as-The-Most-Wonderful-Time-of-the-Year-Returns</t>
  </si>
  <si>
    <t>2026-07-06</t>
  </si>
  <si>
    <t>High</t>
  </si>
  <si>
    <t>No (403); search summary</t>
  </si>
  <si>
    <t>Pencil cases, planners, familiarity</t>
  </si>
  <si>
    <t>Blue Sky x Sincerely Jules: 27-piece academic collection sold at Staples</t>
  </si>
  <si>
    <t>GlobeNewswire</t>
  </si>
  <si>
    <t>https://www.globenewswire.com/news-release/2026/06/01/3304284/0/en/Blue-Sky-and-Sincerely-Jules-Bring-Vintage-Style-to-Academic-Planners-at-Staples.html</t>
  </si>
  <si>
    <t>2026-06-01</t>
  </si>
  <si>
    <t>No; search summary</t>
  </si>
  <si>
    <t>Planners</t>
  </si>
  <si>
    <t>Staples x Party City: shop-in-shops in 700+ stores and on Staples.com (décor, tableware, gift bags, favors)</t>
  </si>
  <si>
    <t>Business Wire</t>
  </si>
  <si>
    <t>https://www.businesswire.com/news/home/20260421927178/en/Staples-and-Party-City-Announce-Strategic-Partnership-to-Make-Celebrations-Easy</t>
  </si>
  <si>
    <t>2026-04-21</t>
  </si>
  <si>
    <t>Gate G4 (gift wrap / gift bags)</t>
  </si>
  <si>
    <t>85% of parents bought a backpack; lifestyle backpacks +3% $ (2025); stereo headphones +6% $; writing instruments &amp; art paper +2% $</t>
  </si>
  <si>
    <t>Circana</t>
  </si>
  <si>
    <t>https://www.circana.com/post/best-in-class-what-circana-s-insights-reveal-about-2026-back-to-school-trends</t>
  </si>
  <si>
    <t>2026</t>
  </si>
  <si>
    <t>Medium-High</t>
  </si>
  <si>
    <t>Backpacks, headphones</t>
  </si>
  <si>
    <t>Teachers spent $895 out of pocket on average (2024-25); median school supply budget $200</t>
  </si>
  <si>
    <t>AdoptAClassroom.org</t>
  </si>
  <si>
    <t>https://www.adoptaclassroom.org/2025/06/09/2025-teacher-survey-spending-stats-classroom-needs/</t>
  </si>
  <si>
    <t>2025-06-09</t>
  </si>
  <si>
    <t>Medium</t>
  </si>
  <si>
    <t>Classroom decor</t>
  </si>
  <si>
    <t>Target Plus: invite-only, 'curation at scale', dozens of new hand-picked brands; JanSport named</t>
  </si>
  <si>
    <t>Target corporate</t>
  </si>
  <si>
    <t>https://corporate.target.com/news-features/article/2026/07/target-plus-growth</t>
  </si>
  <si>
    <t>2026-07-01</t>
  </si>
  <si>
    <t>Competitor choice; curated-marketplace peer</t>
  </si>
  <si>
    <t>3P sellers = 60-61% of Amazon paid units (Q1-Q2 2026)</t>
  </si>
  <si>
    <t>Marketplace Pulse</t>
  </si>
  <si>
    <t>https://www.marketplacepulse.com/stats/amazon-percent-of-units-by-third-party-sellers</t>
  </si>
  <si>
    <t>Amazon K4</t>
  </si>
  <si>
    <t>Amazon Business: $60B+ annualised gross sales; 11M+ organisations</t>
  </si>
  <si>
    <t>https://www.aboutamazon.com/news/company-news/what-is-amazon-business</t>
  </si>
  <si>
    <t>Amazon profile</t>
  </si>
  <si>
    <t>Wayfair: 11,000+ suppliers, 14M+ products, drop-ship model</t>
  </si>
  <si>
    <t>Secondary (dropship guides); sell.wayfair.com</t>
  </si>
  <si>
    <t>https://sell.wayfair.com/</t>
  </si>
  <si>
    <t>2025-26</t>
  </si>
  <si>
    <t>Wayfair K4</t>
  </si>
  <si>
    <t>Wayfair Q1-2026: 21.4M active customers, return to customer growth</t>
  </si>
  <si>
    <t>Wayfair IR</t>
  </si>
  <si>
    <t>https://investor.wayfair.com/news/news-details/2026/Wayfair-Announces-First-Quarter-2026-Results-Reports-Strong-Share-Capture-and-a-Return-to-Active-Customer-Growth/default.aspx</t>
  </si>
  <si>
    <t>Wayfair profile</t>
  </si>
  <si>
    <t>Michaels: ~200k online SKUs, +1.3M via marketplace</t>
  </si>
  <si>
    <t>eMarketer</t>
  </si>
  <si>
    <t>https://www.emarketer.com/content/lessons-macy-s-michaels-h-m-launching-third-party-marketplace</t>
  </si>
  <si>
    <t>2023-24</t>
  </si>
  <si>
    <t>Michaels K1</t>
  </si>
  <si>
    <t>Container Store 2026 reset: liquidating ~30% of select categories / SKUs; BB&amp;B co-branded stores</t>
  </si>
  <si>
    <t>Beyond / Business Wire; Chain Store Age</t>
  </si>
  <si>
    <t>https://www.businesswire.com/news/home/20260423281194/en/The-Container-Store-Launches-Nationwide-Overhaul-Across-98-Stores</t>
  </si>
  <si>
    <t>2026-04-23</t>
  </si>
  <si>
    <t>Container Store caution</t>
  </si>
  <si>
    <t>Uline stocks 45,000+ products</t>
  </si>
  <si>
    <t>uline.com</t>
  </si>
  <si>
    <t>https://www.uline.com/</t>
  </si>
  <si>
    <t>Uline K1</t>
  </si>
  <si>
    <t>JetPens carries 10,000+ products</t>
  </si>
  <si>
    <t>jetpens.com</t>
  </si>
  <si>
    <t>https://www.jetpens.com/AboutUs</t>
  </si>
  <si>
    <t>JetPens profile</t>
  </si>
  <si>
    <t>Dick's hydration brands: YETI, HydroJug, Owala, Stanley, CamelBak; dedicated BTS hydration page</t>
  </si>
  <si>
    <t>dickssportinggoods.com</t>
  </si>
  <si>
    <t>https://www.dickssportinggoods.com/f/drinkware</t>
  </si>
  <si>
    <t>Water bottles</t>
  </si>
  <si>
    <t>Owala FreeSip is the top design in 2026; HydroJug Traveler reached #1 in Amazon Tumblers early 2026</t>
  </si>
  <si>
    <t>The Kitchn / Ad Age (search summary)</t>
  </si>
  <si>
    <t>https://adage.com/article/marketing-news-strategy/how-stanley-owala-and-rivals-are-battling-water-bottle-sales/2542271/</t>
  </si>
  <si>
    <t>'Resimercial' is the default office design expectation in 2026 (soft seating, warm wood, rugs)</t>
  </si>
  <si>
    <t>AFR Furniture Rental blog; Conklin</t>
  </si>
  <si>
    <t>https://www.rentfurniture.com/blog/2026/03/12/why-resimercial-office-design-still-wins-the-modern-workplace/</t>
  </si>
  <si>
    <t>2026-03-12</t>
  </si>
  <si>
    <t>Low-Medium</t>
  </si>
  <si>
    <t>Accent chairs, desks, plants</t>
  </si>
  <si>
    <t>2026 home-office trends: warm wood, pastels / sage, better lighting; plants the most popular personalisation</t>
  </si>
  <si>
    <t>Decorilla / Homedit</t>
  </si>
  <si>
    <t>https://www.decorilla.com/online-decorating/home-office-trends-2026</t>
  </si>
  <si>
    <t>Low</t>
  </si>
  <si>
    <t>Desk lamps, faux plants, desk organizers</t>
  </si>
  <si>
    <t>Retro / typewriter and pastel keyboards mainstream; Logitech POP ICON combo sold out at $40 (Feb-2026)</t>
  </si>
  <si>
    <t>9to5Toys and review sites</t>
  </si>
  <si>
    <t>https://9to5toys.com/2026/02/04/logitech-pop-icon-keyboard-mouse-combo-down-to-40/</t>
  </si>
  <si>
    <t>2026-02-04</t>
  </si>
  <si>
    <t>Keyboards</t>
  </si>
  <si>
    <t>2026 classroom decor: boho, pastel, calm / SEL themes</t>
  </si>
  <si>
    <t>Teacher blogs (Differentiation Corner)</t>
  </si>
  <si>
    <t>https://www.differentiationcorner.com/2026/03/13/10-calming-classroom-themes-decor-teachers-are-loving-right-now/</t>
  </si>
  <si>
    <t>2026-03-13</t>
  </si>
  <si>
    <t>Bento-style lunch boxes: search interest peaks Jul-Aug; adult work lunches a major use</t>
  </si>
  <si>
    <t>Blog + market sizing</t>
  </si>
  <si>
    <t>https://www.mombloglife.com/bento-style-lunchboxes-back-to-school-2026/</t>
  </si>
  <si>
    <t>Lunch</t>
  </si>
  <si>
    <t>Mini Bluetooth thermal label printers viral for pantry, classroom and TikTok-Shop sellers</t>
  </si>
  <si>
    <t>Label vendor blog / TikTok</t>
  </si>
  <si>
    <t>https://mcauleylabels.com/blogs/articles/label-printer-for-tiktok-shop-sellers</t>
  </si>
  <si>
    <t>Label makers</t>
  </si>
  <si>
    <t>Custom / recycled poly mailers and 'unboxing' packaging trend for small sellers</t>
  </si>
  <si>
    <t>Packaging vendor blogs</t>
  </si>
  <si>
    <t>https://theboxology.us/blog/top-mailer-box-packaging-trends-2026/</t>
  </si>
  <si>
    <t>Retail boxes, mailers</t>
  </si>
  <si>
    <t>Walking-pad market: North America ~56% share (2025); hybrid work and corporate wellness drivers</t>
  </si>
  <si>
    <t>Straits Research</t>
  </si>
  <si>
    <t>https://straitsresearch.com/report/walking-pad-market</t>
  </si>
  <si>
    <t>2025</t>
  </si>
  <si>
    <t>Fitness machines</t>
  </si>
  <si>
    <t>Acoustic felt panels used as a design element in 2026 offices</t>
  </si>
  <si>
    <t>Acoustics vendor blog</t>
  </si>
  <si>
    <t>https://www.easyfelt.co.uk/blogs/interior-trends-2026-acoustics-as-a-design-feature</t>
  </si>
  <si>
    <t>Partitions, privacy panels</t>
  </si>
  <si>
    <t>Staples navigation tree: 1,877 nodes, 1,240 terminal, item counts per leaf (21-Sep-2026 snapshot)</t>
  </si>
  <si>
    <t>Internal</t>
  </si>
  <si>
    <t>Excels/1. Staples_Navigation_Tree_repaired.xlsx</t>
  </si>
  <si>
    <t>2026-09-21</t>
  </si>
  <si>
    <t>Every path, G1, G3</t>
  </si>
  <si>
    <t>Staples product sample: 26,861 SKUs (leaf coverage = 'SKUs in hand')</t>
  </si>
  <si>
    <t>data/interim/sku_staples.parquet</t>
  </si>
  <si>
    <t>2026-09-27</t>
  </si>
  <si>
    <t>C8 data readiness</t>
  </si>
  <si>
    <t>Pilot results per shelf (recommendations, Strong tier, mapping confidence, Spearman)</t>
  </si>
  <si>
    <t>Internal PoC run</t>
  </si>
  <si>
    <t>outputs/tables/shelf_selection.csv</t>
  </si>
  <si>
    <t>2026-09-28</t>
  </si>
  <si>
    <t>Chairs &amp; desks scores</t>
  </si>
  <si>
    <t>Plain-HTTP access test of 15 competitor sites (status codes in 'Competitor Profiles')</t>
  </si>
  <si>
    <t>Own test</t>
  </si>
  <si>
    <t>curl, 29-Sep-2026</t>
  </si>
  <si>
    <t>2026-09-29</t>
  </si>
  <si>
    <t>K5 data access</t>
  </si>
  <si>
    <t>Staples navigation tree: all terminal nodes (reference)</t>
  </si>
  <si>
    <t>Copied from Excels/1. Staples_Navigation_Tree_repaired.xlsx (snapshot 21-Sep-2026). Filter L1/L2 to verify any path.</t>
  </si>
  <si>
    <t>Items</t>
  </si>
  <si>
    <t>Path ID (this study)</t>
  </si>
  <si>
    <t>Full path</t>
  </si>
  <si>
    <t>URL</t>
  </si>
  <si>
    <t>Carafes, Pitchers &amp; Tumblers</t>
  </si>
  <si>
    <t>CL168371</t>
  </si>
  <si>
    <t>Appliances &amp; Kitchenware &gt; Kitchenware &gt; Dining &amp; Tableware &gt; Carafes, Pitchers &amp; Tumblers</t>
  </si>
  <si>
    <t>https://www.staples.com/Carafes-Pitchers-Tumblers/cat_CL168371</t>
  </si>
  <si>
    <t>https://www.staples.com/Drinkware-Glassware/cat_CL212425</t>
  </si>
  <si>
    <t>Flatware &amp; Cutlery</t>
  </si>
  <si>
    <t>CL212442</t>
  </si>
  <si>
    <t>Appliances &amp; Kitchenware &gt; Kitchenware &gt; Dining &amp; Tableware &gt; Flatware &amp; Cutlery</t>
  </si>
  <si>
    <t>https://www.staples.com/Household-Flatware-Cutlery/cat_CL212442</t>
  </si>
  <si>
    <t>Salt and Pepper Shakers &amp; Mills</t>
  </si>
  <si>
    <t>CL211915</t>
  </si>
  <si>
    <t>Appliances &amp; Kitchenware &gt; Kitchenware &gt; Dining &amp; Tableware &gt; Salt and Pepper Shakers &amp; Mills</t>
  </si>
  <si>
    <t>https://www.staples.com/Salt-and-Pepper-Shakers-Mills/cat_CL211915</t>
  </si>
  <si>
    <t>Tableware</t>
  </si>
  <si>
    <t>CL212612</t>
  </si>
  <si>
    <t>Appliances &amp; Kitchenware &gt; Kitchenware &gt; Dining &amp; Tableware &gt; Tableware</t>
  </si>
  <si>
    <t>https://www.staples.com/Tableware/cat_CL212612</t>
  </si>
  <si>
    <t>Kitchen Accessories</t>
  </si>
  <si>
    <t>Aprons</t>
  </si>
  <si>
    <t>CL214790</t>
  </si>
  <si>
    <t>Appliances &amp; Kitchenware &gt; Kitchenware &gt; Kitchen Accessories &gt; Aprons</t>
  </si>
  <si>
    <t>https://www.staples.com/Aprons/cat_CL214790</t>
  </si>
  <si>
    <t>Kitchen Storage &amp; Organization</t>
  </si>
  <si>
    <t>CL142181</t>
  </si>
  <si>
    <t>Appliances &amp; Kitchenware &gt; Kitchenware &gt; Kitchen Accessories &gt; Kitchen Storage &amp; Organization</t>
  </si>
  <si>
    <t>https://www.staples.com/Kitchen-Storage-Organization/cat_CL142181</t>
  </si>
  <si>
    <t>Oven Mitts &amp; Potholders</t>
  </si>
  <si>
    <t>CL212018</t>
  </si>
  <si>
    <t>Appliances &amp; Kitchenware &gt; Kitchenware &gt; Kitchen Accessories &gt; Oven Mitts &amp; Potholders</t>
  </si>
  <si>
    <t>https://www.staples.com/Oven-Mitts-Potholders/cat_CL212018</t>
  </si>
  <si>
    <t>Kitchen Tools</t>
  </si>
  <si>
    <t>Bakeware</t>
  </si>
  <si>
    <t>CL212010</t>
  </si>
  <si>
    <t>Appliances &amp; Kitchenware &gt; Kitchenware &gt; Kitchen Tools &gt; Bakeware</t>
  </si>
  <si>
    <t>https://www.staples.com/Bakeware/cat_CL212010</t>
  </si>
  <si>
    <t>Cake, Cookie &amp; Pastry Decorations</t>
  </si>
  <si>
    <t>CL212026</t>
  </si>
  <si>
    <t>Appliances &amp; Kitchenware &gt; Kitchenware &gt; Kitchen Tools &gt; Cake, Cookie &amp; Pastry Decorations</t>
  </si>
  <si>
    <t>https://www.staples.com/Cake-Cookie-Pastry-Decorations/cat_CL212026</t>
  </si>
  <si>
    <t>Cooking Utensils</t>
  </si>
  <si>
    <t>CL211913</t>
  </si>
  <si>
    <t>Appliances &amp; Kitchenware &gt; Kitchenware &gt; Kitchen Tools &gt; Cooking Utensils</t>
  </si>
  <si>
    <t>https://www.staples.com/Cooking-Utensils/cat_CL211913</t>
  </si>
  <si>
    <t>Cutting Boards</t>
  </si>
  <si>
    <t>CL211908</t>
  </si>
  <si>
    <t>Appliances &amp; Kitchenware &gt; Kitchenware &gt; Kitchen Tools &gt; Cutting Boards</t>
  </si>
  <si>
    <t>https://www.staples.com/Cutting-Boards/cat_CL211908</t>
  </si>
  <si>
    <t>Food Mills, Shavers &amp; Spice Grinders</t>
  </si>
  <si>
    <t>CL212012</t>
  </si>
  <si>
    <t>Appliances &amp; Kitchenware &gt; Kitchenware &gt; Kitchen Tools &gt; Food Mills, Shavers &amp; Spice Grinders</t>
  </si>
  <si>
    <t>https://www.staples.com/Food-Mills-Shavers-Spice-Grinders/cat_CL212012</t>
  </si>
  <si>
    <t>Grilling Products</t>
  </si>
  <si>
    <t>CL204423</t>
  </si>
  <si>
    <t>Appliances &amp; Kitchenware &gt; Kitchenware &gt; Kitchen Tools &gt; Grilling Products</t>
  </si>
  <si>
    <t>https://www.staples.com/Grilling-Products/cat_CL204423</t>
  </si>
  <si>
    <t>Kitchen Pizza Tools</t>
  </si>
  <si>
    <t>CL212016</t>
  </si>
  <si>
    <t>Appliances &amp; Kitchenware &gt; Kitchenware &gt; Kitchen Tools &gt; Kitchen Pizza Tools</t>
  </si>
  <si>
    <t>https://www.staples.com/Kitchen-Pizza-Tools/cat_CL212016</t>
  </si>
  <si>
    <t>Kitchen Tools &amp; Gadgets</t>
  </si>
  <si>
    <t>CL166366</t>
  </si>
  <si>
    <t>Appliances &amp; Kitchenware &gt; Kitchenware &gt; Kitchen Tools &gt; Kitchen Tools &amp; Gadgets</t>
  </si>
  <si>
    <t>https://www.staples.com/Kitchen-Tools-Gadgets/cat_CL166366</t>
  </si>
  <si>
    <t>Meat Preparation Equipment</t>
  </si>
  <si>
    <t>CL211912</t>
  </si>
  <si>
    <t>Appliances &amp; Kitchenware &gt; Kitchenware &gt; Kitchen Tools &gt; Meat Preparation Equipment</t>
  </si>
  <si>
    <t>https://www.staples.com/Meat-Preparation-Equipment/cat_CL211912</t>
  </si>
  <si>
    <t>Mixing Bowls</t>
  </si>
  <si>
    <t>CL212022</t>
  </si>
  <si>
    <t>Appliances &amp; Kitchenware &gt; Kitchenware &gt; Kitchen Tools &gt; Mixing Bowls</t>
  </si>
  <si>
    <t>https://www.staples.com/Mixing-Bowls/cat_CL212022</t>
  </si>
  <si>
    <t>Pots &amp; Pans</t>
  </si>
  <si>
    <t>CL166364</t>
  </si>
  <si>
    <t>Appliances &amp; Kitchenware &gt; Kitchenware &gt; Kitchen Tools &gt; Pots &amp; Pans</t>
  </si>
  <si>
    <t>https://www.staples.com/Pots-Pans/cat_CL166364</t>
  </si>
  <si>
    <t>Salad Spinners</t>
  </si>
  <si>
    <t>CL212034</t>
  </si>
  <si>
    <t>Appliances &amp; Kitchenware &gt; Kitchenware &gt; Kitchen Tools &gt; Salad Spinners</t>
  </si>
  <si>
    <t>https://www.staples.com/Salad-Spinners/cat_CL212034</t>
  </si>
  <si>
    <t>Sifters, Strainers &amp; Colanders</t>
  </si>
  <si>
    <t>CL212015</t>
  </si>
  <si>
    <t>Appliances &amp; Kitchenware &gt; Kitchenware &gt; Kitchen Tools &gt; Sifters, Strainers &amp; Colanders</t>
  </si>
  <si>
    <t>https://www.staples.com/Sifters-Strainers-Colanders/cat_CL212015</t>
  </si>
  <si>
    <t>Skillets &amp; Braising Pans</t>
  </si>
  <si>
    <t>CL214710</t>
  </si>
  <si>
    <t>Appliances &amp; Kitchenware &gt; Kitchenware &gt; Kitchen Tools &gt; Skillets &amp; Braising Pans</t>
  </si>
  <si>
    <t>https://www.staples.com/Skillets-Braising-Pans/cat_CL214710</t>
  </si>
  <si>
    <t>Major Appliances</t>
  </si>
  <si>
    <t>Dishwashers</t>
  </si>
  <si>
    <t>CL165541</t>
  </si>
  <si>
    <t>Appliances &amp; Kitchenware &gt; Major Appliances &gt; Dishwashers</t>
  </si>
  <si>
    <t>https://www.staples.com/Dishwashers/cat_CL165541</t>
  </si>
  <si>
    <t>Food Warmers</t>
  </si>
  <si>
    <t>CL211845</t>
  </si>
  <si>
    <t>Appliances &amp; Kitchenware &gt; Major Appliances &gt; Food Warmers</t>
  </si>
  <si>
    <t>https://www.staples.com/Food-Warmers/cat_CL211845</t>
  </si>
  <si>
    <t>Freezers</t>
  </si>
  <si>
    <t>CL215705</t>
  </si>
  <si>
    <t>Appliances &amp; Kitchenware &gt; Major Appliances &gt; Freezers</t>
  </si>
  <si>
    <t>https://www.staples.com/Reach-in-Refrigerators-Freezers/cat_CL215705</t>
  </si>
  <si>
    <t>Range Hoods</t>
  </si>
  <si>
    <t>CL214789</t>
  </si>
  <si>
    <t>Appliances &amp; Kitchenware &gt; Major Appliances &gt; Range Hoods</t>
  </si>
  <si>
    <t>https://www.staples.com/Range-Hoods/cat_CL214789</t>
  </si>
  <si>
    <t>Refrigerators</t>
  </si>
  <si>
    <t>CL140861</t>
  </si>
  <si>
    <t>Appliances &amp; Kitchenware &gt; Major Appliances &gt; Refrigerators</t>
  </si>
  <si>
    <t>https://www.staples.com/Refrigerators/cat_CL140861</t>
  </si>
  <si>
    <t>Small Appliances</t>
  </si>
  <si>
    <t>Bread Machines</t>
  </si>
  <si>
    <t>CL212136</t>
  </si>
  <si>
    <t>Appliances &amp; Kitchenware &gt; Small Appliances &gt; Bread Machines</t>
  </si>
  <si>
    <t>https://www.staples.com/Bread-Machines/cat_CL212136</t>
  </si>
  <si>
    <t>Deep Fryers</t>
  </si>
  <si>
    <t>CL211551</t>
  </si>
  <si>
    <t>Appliances &amp; Kitchenware &gt; Small Appliances &gt; Deep Fryers</t>
  </si>
  <si>
    <t>https://www.staples.com/Deep-Fryers/cat_CL211551</t>
  </si>
  <si>
    <t>Egg Cookers &amp; Servers</t>
  </si>
  <si>
    <t>CL212017</t>
  </si>
  <si>
    <t>Appliances &amp; Kitchenware &gt; Small Appliances &gt; Egg Cookers &amp; Servers</t>
  </si>
  <si>
    <t>https://www.staples.com/Egg-Cookers-Servers/cat_CL212017</t>
  </si>
  <si>
    <t>Fondue Sets</t>
  </si>
  <si>
    <t>CL212884</t>
  </si>
  <si>
    <t>Appliances &amp; Kitchenware &gt; Small Appliances &gt; Fondue Sets</t>
  </si>
  <si>
    <t>https://www.staples.com/Fondue-Sets/cat_CL212884</t>
  </si>
  <si>
    <t>Food Dehydrators</t>
  </si>
  <si>
    <t>CL212882</t>
  </si>
  <si>
    <t>Appliances &amp; Kitchenware &gt; Small Appliances &gt; Food Dehydrators</t>
  </si>
  <si>
    <t>https://www.staples.com/Food-Dehydrators/cat_CL212882</t>
  </si>
  <si>
    <t>Griddles, Grills &amp; Waffle Makers</t>
  </si>
  <si>
    <t>CL166365</t>
  </si>
  <si>
    <t>Appliances &amp; Kitchenware &gt; Small Appliances &gt; Griddles, Grills &amp; Waffle Makers</t>
  </si>
  <si>
    <t>https://www.staples.com/Griddles-Grills-Waffle-Makers/cat_CL166365</t>
  </si>
  <si>
    <t>Ice Cream &amp; Yogurt Makers</t>
  </si>
  <si>
    <t>CL212943</t>
  </si>
  <si>
    <t>Appliances &amp; Kitchenware &gt; Small Appliances &gt; Ice Cream &amp; Yogurt Makers</t>
  </si>
  <si>
    <t>https://www.staples.com/Ice-Cream-Yogurt-Makers/cat_CL212943</t>
  </si>
  <si>
    <t>Ice Makers &amp; Snow Cone Machines</t>
  </si>
  <si>
    <t>CL212944</t>
  </si>
  <si>
    <t>Appliances &amp; Kitchenware &gt; Small Appliances &gt; Ice Makers &amp; Snow Cone Machines</t>
  </si>
  <si>
    <t>https://www.staples.com/Ice-Makers-Snow-Cone-Machines/cat_CL212944</t>
  </si>
  <si>
    <t>Microwaves</t>
  </si>
  <si>
    <t>CL141070</t>
  </si>
  <si>
    <t>Appliances &amp; Kitchenware &gt; Small Appliances &gt; Microwaves</t>
  </si>
  <si>
    <t>https://www.staples.com/Microwaves/cat_CL141070</t>
  </si>
  <si>
    <t>Pasta Makers</t>
  </si>
  <si>
    <t>CL212945</t>
  </si>
  <si>
    <t>Appliances &amp; Kitchenware &gt; Small Appliances &gt; Pasta Makers</t>
  </si>
  <si>
    <t>https://www.staples.com/Pasta-Makers/cat_CL212945</t>
  </si>
  <si>
    <t>Popcorn Machines</t>
  </si>
  <si>
    <t>CL212722</t>
  </si>
  <si>
    <t>Appliances &amp; Kitchenware &gt; Small Appliances &gt; Popcorn Machines</t>
  </si>
  <si>
    <t>https://www.staples.com/Popcorn-Machines/cat_CL212722</t>
  </si>
  <si>
    <t>Rice Cookers &amp; Steamers</t>
  </si>
  <si>
    <t>CL166368</t>
  </si>
  <si>
    <t>Appliances &amp; Kitchenware &gt; Small Appliances &gt; Rice Cookers &amp; Steamers</t>
  </si>
  <si>
    <t>https://www.staples.com/Rice-Cookers-Steamers/cat_CL166368</t>
  </si>
  <si>
    <t>Slow Cookers &amp; Roasters</t>
  </si>
  <si>
    <t>CL166369</t>
  </si>
  <si>
    <t>Appliances &amp; Kitchenware &gt; Small Appliances &gt; Slow Cookers &amp; Roasters</t>
  </si>
  <si>
    <t>https://www.staples.com/Slow-Cookers-Roasters/cat_CL166369</t>
  </si>
  <si>
    <t>Art &amp; Drawing Pens</t>
  </si>
  <si>
    <t>CL350820</t>
  </si>
  <si>
    <t>Arts &amp; Crafts &gt; Art &amp; Drawing Pens</t>
  </si>
  <si>
    <t>https://www.staples.com/Art-Drawing-Pens/cat_CL350820</t>
  </si>
  <si>
    <t>Art Brushes</t>
  </si>
  <si>
    <t>CL218950</t>
  </si>
  <si>
    <t>Arts &amp; Crafts &gt; Art Brushes</t>
  </si>
  <si>
    <t>https://www.staples.com/Art-Brushes/cat_CL218950</t>
  </si>
  <si>
    <t>Art Paper &amp; Rolls</t>
  </si>
  <si>
    <t>CL142773</t>
  </si>
  <si>
    <t>Arts &amp; Crafts &gt; Art Paper &amp; Rolls</t>
  </si>
  <si>
    <t>https://www.staples.com/Art-Paper-Rolls/cat_CL142773</t>
  </si>
  <si>
    <t>Canvas &amp; Art Boards</t>
  </si>
  <si>
    <t>CL219042</t>
  </si>
  <si>
    <t>Arts &amp; Crafts &gt; Canvas &amp; Art Boards</t>
  </si>
  <si>
    <t>https://www.staples.com/Canvas-Art-Boards/cat_CL219042</t>
  </si>
  <si>
    <t>Chalk</t>
  </si>
  <si>
    <t>CL110502</t>
  </si>
  <si>
    <t>Arts &amp; Crafts &gt; Chalk</t>
  </si>
  <si>
    <t>https://www.staples.com/Chalk/cat_CL110502</t>
  </si>
  <si>
    <t>Charcoal</t>
  </si>
  <si>
    <t>CL350822</t>
  </si>
  <si>
    <t>Arts &amp; Crafts &gt; Charcoal</t>
  </si>
  <si>
    <t>https://www.staples.com/Charcoal/cat_CL350822</t>
  </si>
  <si>
    <t>Coloring Books</t>
  </si>
  <si>
    <t>CL219108</t>
  </si>
  <si>
    <t>Arts &amp; Crafts &gt; Coloring Books</t>
  </si>
  <si>
    <t>https://www.staples.com/Coloring-Books/cat_CL219108</t>
  </si>
  <si>
    <t>https://www.staples.com/Art-Portfolios-Craft-Storage/cat_CL166121</t>
  </si>
  <si>
    <t>Craft Kits</t>
  </si>
  <si>
    <t>CL167623</t>
  </si>
  <si>
    <t>Arts &amp; Crafts &gt; Crafting &gt; Craft Kits</t>
  </si>
  <si>
    <t>https://www.staples.com/Craft-Kits/cat_CL167623</t>
  </si>
  <si>
    <t>Craft Supplies</t>
  </si>
  <si>
    <t>CL142735</t>
  </si>
  <si>
    <t>Arts &amp; Crafts &gt; Crafting &gt; Craft Supplies</t>
  </si>
  <si>
    <t>https://www.staples.com/Craft-Supplies/cat_CL142735</t>
  </si>
  <si>
    <t>Crayons</t>
  </si>
  <si>
    <t>CL221590</t>
  </si>
  <si>
    <t>Arts &amp; Crafts &gt; Crayons</t>
  </si>
  <si>
    <t>https://www.staples.com/Crayons/cat_CL221590</t>
  </si>
  <si>
    <t>Drafting Supplies</t>
  </si>
  <si>
    <t>CL100100</t>
  </si>
  <si>
    <t>Arts &amp; Crafts &gt; Drafting Supplies</t>
  </si>
  <si>
    <t>https://www.staples.com/Drafting-Supplies/cat_CL100100</t>
  </si>
  <si>
    <t>Drawing &amp; Colored Pencils</t>
  </si>
  <si>
    <t>CL221589</t>
  </si>
  <si>
    <t>Arts &amp; Crafts &gt; Drawing &amp; Colored Pencils</t>
  </si>
  <si>
    <t>https://www.staples.com/Drawing-Colored-Pencils/cat_CL221589</t>
  </si>
  <si>
    <t>Drawing Tools &amp; Supplies</t>
  </si>
  <si>
    <t>CL110202</t>
  </si>
  <si>
    <t>Arts &amp; Crafts &gt; Drawing Tools &amp; Supplies</t>
  </si>
  <si>
    <t>https://www.staples.com/Drawing-Tools-Supplies/cat_CL110202</t>
  </si>
  <si>
    <t>Paint</t>
  </si>
  <si>
    <t>CL140420</t>
  </si>
  <si>
    <t>Arts &amp; Crafts &gt; Paint</t>
  </si>
  <si>
    <t>https://www.staples.com/Paint/cat_CL140420</t>
  </si>
  <si>
    <t>Painting Accessories</t>
  </si>
  <si>
    <t>CL350823</t>
  </si>
  <si>
    <t>Arts &amp; Crafts &gt; Painting Accessories</t>
  </si>
  <si>
    <t>https://www.staples.com/Painting-Accessories/cat_CL350823</t>
  </si>
  <si>
    <t>Pastels</t>
  </si>
  <si>
    <t>CL350821</t>
  </si>
  <si>
    <t>Arts &amp; Crafts &gt; Pastels</t>
  </si>
  <si>
    <t>https://www.staples.com/Pastels/cat_CL350821</t>
  </si>
  <si>
    <t>Die Cutting</t>
  </si>
  <si>
    <t>CL211144</t>
  </si>
  <si>
    <t>Arts &amp; Crafts &gt; Scrapbooking &gt; Die Cutting</t>
  </si>
  <si>
    <t>https://www.staples.com/Die-Cutting/cat_CL211144</t>
  </si>
  <si>
    <t>Scrapbooking Albums &amp; Kits</t>
  </si>
  <si>
    <t>CL167620</t>
  </si>
  <si>
    <t>Arts &amp; Crafts &gt; Scrapbooking &gt; Scrapbooking Albums &amp; Kits</t>
  </si>
  <si>
    <t>https://www.staples.com/Scrapbooking-Albums-Kits/cat_CL167620</t>
  </si>
  <si>
    <t>Stamps &amp; Stencils</t>
  </si>
  <si>
    <t>CL166122</t>
  </si>
  <si>
    <t>Arts &amp; Crafts &gt; Scrapbooking &gt; Stamps &amp; Stencils</t>
  </si>
  <si>
    <t>https://www.staples.com/Stamps-Stencils/cat_CL166122</t>
  </si>
  <si>
    <t>Sketch Pads &amp; Books</t>
  </si>
  <si>
    <t>CL167639</t>
  </si>
  <si>
    <t>Arts &amp; Crafts &gt; Sketch Pads &amp; Books</t>
  </si>
  <si>
    <t>https://www.staples.com/Sketch-Pads-Books/cat_CL167639</t>
  </si>
  <si>
    <t>https://www.staples.com/Headphones/cat_CL210844</t>
  </si>
  <si>
    <t>Headsets &amp; Microphones</t>
  </si>
  <si>
    <t>Headsets</t>
  </si>
  <si>
    <t>CL140478</t>
  </si>
  <si>
    <t>Audio &gt; Headsets &amp; Microphones &gt; Headsets</t>
  </si>
  <si>
    <t>https://www.staples.com/Headsets/cat_CL140478</t>
  </si>
  <si>
    <t>Portable Audio</t>
  </si>
  <si>
    <t>Home Theater Audio</t>
  </si>
  <si>
    <t>Home Theater Speaker Systems</t>
  </si>
  <si>
    <t>CL167255</t>
  </si>
  <si>
    <t>Audio &gt; Portable Audio &gt; Home Theater Audio &gt; Home Theater Speaker Systems</t>
  </si>
  <si>
    <t>https://www.staples.com/Home-Theater-Speaker-Systems/cat_CL167255</t>
  </si>
  <si>
    <t>Home Theater Speakers</t>
  </si>
  <si>
    <t>CL167929</t>
  </si>
  <si>
    <t>Audio &gt; Portable Audio &gt; Home Theater Audio &gt; Home Theater Speakers</t>
  </si>
  <si>
    <t>https://www.staples.com/Home-Theater-Speakers/cat_CL167929</t>
  </si>
  <si>
    <t>Receivers &amp; Amplifiers</t>
  </si>
  <si>
    <t>CL167927</t>
  </si>
  <si>
    <t>Audio &gt; Portable Audio &gt; Home Theater Audio &gt; Receivers &amp; Amplifiers</t>
  </si>
  <si>
    <t>https://www.staples.com/Receivers-Amplifiers/cat_CL167927</t>
  </si>
  <si>
    <t>Speaker Stands</t>
  </si>
  <si>
    <t>CL211566</t>
  </si>
  <si>
    <t>Audio &gt; Portable Audio &gt; Home Theater Audio &gt; Speaker Stands</t>
  </si>
  <si>
    <t>https://www.staples.com/Speaker-Stands/cat_CL211566</t>
  </si>
  <si>
    <t>Portable Speakers &amp; Radios</t>
  </si>
  <si>
    <t>CL167926</t>
  </si>
  <si>
    <t>Audio &gt; Portable Audio &gt; Portable Speakers &amp; Radios</t>
  </si>
  <si>
    <t>https://www.staples.com/Portable-Speakers-Radios/cat_CL167926</t>
  </si>
  <si>
    <t>Two Way Radios</t>
  </si>
  <si>
    <t>CL215743</t>
  </si>
  <si>
    <t>Audio &gt; Portable Audio &gt; Two Way Radios</t>
  </si>
  <si>
    <t>https://www.staples.com/Two-Way-Radios/cat_CL215743</t>
  </si>
  <si>
    <t>Voice Recorders</t>
  </si>
  <si>
    <t>CL140515</t>
  </si>
  <si>
    <t>Audio &gt; Portable Audio &gt; Voice Recorders</t>
  </si>
  <si>
    <t>https://www.staples.com/Voice-Recorders/cat_CL140515</t>
  </si>
  <si>
    <t>Laptop Bags</t>
  </si>
  <si>
    <t>CL140978</t>
  </si>
  <si>
    <t>Bags, Backpacks &amp; Luggage &gt; Backpacks &amp; Laptop Bags &gt; Laptop Bags</t>
  </si>
  <si>
    <t>https://www.staples.com/Laptop-Bags/cat_CL140978</t>
  </si>
  <si>
    <t>Messenger Bags</t>
  </si>
  <si>
    <t>CL142738</t>
  </si>
  <si>
    <t>Bags, Backpacks &amp; Luggage &gt; Backpacks &amp; Laptop Bags &gt; Messenger Bags</t>
  </si>
  <si>
    <t>https://www.staples.com/Messenger-Bags/cat_CL142738</t>
  </si>
  <si>
    <t>Briefcases</t>
  </si>
  <si>
    <t>CL216485</t>
  </si>
  <si>
    <t>Bags, Backpacks &amp; Luggage &gt; Briefcases &amp; Padfolios &gt; Briefcases</t>
  </si>
  <si>
    <t>https://www.staples.com/Briefcases/cat_CL216485</t>
  </si>
  <si>
    <t>Padfolios</t>
  </si>
  <si>
    <t>CL140837</t>
  </si>
  <si>
    <t>Bags, Backpacks &amp; Luggage &gt; Briefcases &amp; Padfolios &gt; Padfolios</t>
  </si>
  <si>
    <t>https://www.staples.com/Padfolios/cat_CL140837</t>
  </si>
  <si>
    <t>Sport &amp; Duffel Bags</t>
  </si>
  <si>
    <t>CL167328</t>
  </si>
  <si>
    <t>Bags, Backpacks &amp; Luggage &gt; Luggage &amp; Travel Accessories &gt; Luggage &amp; Duffel Bags &gt; Sport &amp; Duffel Bags</t>
  </si>
  <si>
    <t>https://www.staples.com/Sport-Duffel-Bags/cat_CL167328</t>
  </si>
  <si>
    <t>https://www.staples.com/Suitcases-Luggage-Sets/cat_CL140613</t>
  </si>
  <si>
    <t>Travel Accessories</t>
  </si>
  <si>
    <t>Luggage Tags, Locks &amp; Covers</t>
  </si>
  <si>
    <t>CL354642</t>
  </si>
  <si>
    <t>Bags, Backpacks &amp; Luggage &gt; Luggage &amp; Travel Accessories &gt; Travel Accessories &gt; Luggage Tags, Locks &amp; Covers</t>
  </si>
  <si>
    <t>https://www.staples.com/Luggage-Tags-Locks-Covers/cat_CL354642</t>
  </si>
  <si>
    <t>Personal Travel Accessories</t>
  </si>
  <si>
    <t>CL140835</t>
  </si>
  <si>
    <t>Bags, Backpacks &amp; Luggage &gt; Luggage &amp; Travel Accessories &gt; Travel Accessories &gt; Personal Travel Accessories</t>
  </si>
  <si>
    <t>https://www.staples.com/Personal-Travel-Accessories/cat_CL140835</t>
  </si>
  <si>
    <t>Toiletry Bags, Packing Cubes &amp; Travel Pouches</t>
  </si>
  <si>
    <t>CL354640</t>
  </si>
  <si>
    <t>Bags, Backpacks &amp; Luggage &gt; Luggage &amp; Travel Accessories &gt; Travel Accessories &gt; Toiletry Bags, Packing Cubes &amp; Travel Pouches</t>
  </si>
  <si>
    <t>https://www.staples.com/Toiletry-Bags-Packing-Cubes-Travel-Pouches/cat_CL354640</t>
  </si>
  <si>
    <t>Batteries &amp; Power</t>
  </si>
  <si>
    <t>Battery Shop</t>
  </si>
  <si>
    <t>Camera &amp; Camcorder Batteries &amp; Chargers</t>
  </si>
  <si>
    <t>CL142400</t>
  </si>
  <si>
    <t>Batteries &amp; Power &gt; Battery Shop &gt; Camera &amp; Camcorder Batteries &amp; Chargers</t>
  </si>
  <si>
    <t>https://www.staples.com/Camera-Camcorder-Batteries-Chargers/cat_CL142400</t>
  </si>
  <si>
    <t>Computer &amp; Laptop Batteries</t>
  </si>
  <si>
    <t>CL142585</t>
  </si>
  <si>
    <t>Batteries &amp; Power &gt; Battery Shop &gt; Computer &amp; Laptop Batteries</t>
  </si>
  <si>
    <t>https://www.staples.com/Computer-Laptop-Batteries/cat_CL142585</t>
  </si>
  <si>
    <t>Cordless Phone Batteries</t>
  </si>
  <si>
    <t>CL142797</t>
  </si>
  <si>
    <t>Batteries &amp; Power &gt; Battery Shop &gt; Cordless Phone Batteries</t>
  </si>
  <si>
    <t>https://www.staples.com/Cordless-Phone-Batteries/cat_CL142797</t>
  </si>
  <si>
    <t>General Purpose Batteries</t>
  </si>
  <si>
    <t>CL80302</t>
  </si>
  <si>
    <t>Batteries &amp; Power &gt; Battery Shop &gt; General Purpose Batteries</t>
  </si>
  <si>
    <t>https://www.staples.com/General-Purpose-Batteries/cat_CL80302</t>
  </si>
  <si>
    <t>Hearing Aid Batteries</t>
  </si>
  <si>
    <t>CL164717</t>
  </si>
  <si>
    <t>Batteries &amp; Power &gt; Battery Shop &gt; Hearing Aid Batteries</t>
  </si>
  <si>
    <t>https://www.staples.com/Hearing-Aid-Batteries/cat_CL164717</t>
  </si>
  <si>
    <t>Specialty Batteries</t>
  </si>
  <si>
    <t>CL167241</t>
  </si>
  <si>
    <t>Batteries &amp; Power &gt; Battery Shop &gt; Specialty Batteries</t>
  </si>
  <si>
    <t>https://www.staples.com/Specialty-Batteries/cat_CL167241</t>
  </si>
  <si>
    <t>Power Management</t>
  </si>
  <si>
    <t>Battery Backup &amp; UPS</t>
  </si>
  <si>
    <t>CL141931</t>
  </si>
  <si>
    <t>Batteries &amp; Power &gt; Power Management &gt; Battery Backup &amp; UPS</t>
  </si>
  <si>
    <t>https://www.staples.com/Battery-Backup-UPS/cat_CL141931</t>
  </si>
  <si>
    <t>Extension Cords</t>
  </si>
  <si>
    <t>CL167221</t>
  </si>
  <si>
    <t>Batteries &amp; Power &gt; Power Management &gt; Extension Cords</t>
  </si>
  <si>
    <t>https://www.staples.com/Extension-Cords/cat_CL167221</t>
  </si>
  <si>
    <t>Power Distribution Units</t>
  </si>
  <si>
    <t>CL167350</t>
  </si>
  <si>
    <t>Batteries &amp; Power &gt; Power Management &gt; Power Distribution Units</t>
  </si>
  <si>
    <t>https://www.staples.com/Power-Distribution-Units/cat_CL167350</t>
  </si>
  <si>
    <t>Power Inverters</t>
  </si>
  <si>
    <t>CL165020</t>
  </si>
  <si>
    <t>Batteries &amp; Power &gt; Power Management &gt; Power Inverters</t>
  </si>
  <si>
    <t>https://www.staples.com/Power-Inverters/cat_CL165020</t>
  </si>
  <si>
    <t>Surge Protectors &amp; Power Strips</t>
  </si>
  <si>
    <t>CL163615</t>
  </si>
  <si>
    <t>Batteries &amp; Power &gt; Power Management &gt; Surge Protectors &amp; Power Strips</t>
  </si>
  <si>
    <t>https://www.staples.com/Surge-Protectors-Power-Strips/cat_CL163615</t>
  </si>
  <si>
    <t>UPS Accessories</t>
  </si>
  <si>
    <t>CL350763</t>
  </si>
  <si>
    <t>Batteries &amp; Power &gt; Power Management &gt; UPS Accessories</t>
  </si>
  <si>
    <t>https://www.staples.com/UPS-Accessories/cat_CL350763</t>
  </si>
  <si>
    <t>Cleaning Chemicals &amp; Wipes</t>
  </si>
  <si>
    <t>Air Fresheners &amp; Deodorizers</t>
  </si>
  <si>
    <t>CL142818</t>
  </si>
  <si>
    <t>Cleaning Supplies &gt; Cleaning Chemicals &amp; Wipes &gt; Air Fresheners &amp; Deodorizers</t>
  </si>
  <si>
    <t>https://www.staples.com/Air-Fresheners-Deodorizers/cat_CL142818</t>
  </si>
  <si>
    <t>Carpet Care</t>
  </si>
  <si>
    <t>CL220880</t>
  </si>
  <si>
    <t>Cleaning Supplies &gt; Cleaning Chemicals &amp; Wipes &gt; Carpet Care</t>
  </si>
  <si>
    <t>https://www.staples.com/Carpet-Care/cat_CL220880</t>
  </si>
  <si>
    <t>Cleaning Chemicals</t>
  </si>
  <si>
    <t>CL142820</t>
  </si>
  <si>
    <t>Cleaning Supplies &gt; Cleaning Chemicals &amp; Wipes &gt; Cleaning Chemicals</t>
  </si>
  <si>
    <t>https://www.staples.com/Cleaning-Chemicals/cat_CL142820</t>
  </si>
  <si>
    <t>Dilution Control Systems &amp; Chemicals</t>
  </si>
  <si>
    <t>Dilution Control Chemicals</t>
  </si>
  <si>
    <t>CL350595</t>
  </si>
  <si>
    <t>Cleaning Supplies &gt; Cleaning Chemicals &amp; Wipes &gt; Dilution Control Systems &amp; Chemicals &gt; Dilution Control Chemicals</t>
  </si>
  <si>
    <t>https://www.staples.com/Dilution-Control-Chemicals/cat_CL350595</t>
  </si>
  <si>
    <t>Dilution Control System &amp; Accessories</t>
  </si>
  <si>
    <t>CL350596</t>
  </si>
  <si>
    <t>Cleaning Supplies &gt; Cleaning Chemicals &amp; Wipes &gt; Dilution Control Systems &amp; Chemicals &gt; Dilution Control System &amp; Accessories</t>
  </si>
  <si>
    <t>https://www.staples.com/Dilution-Control-System-Accessories/cat_CL350596</t>
  </si>
  <si>
    <t>Disinfectant Wipes</t>
  </si>
  <si>
    <t>CL220881</t>
  </si>
  <si>
    <t>Cleaning Supplies &gt; Cleaning Chemicals &amp; Wipes &gt; Disinfectant Wipes</t>
  </si>
  <si>
    <t>https://www.staples.com/Disinfectant-Wipes/cat_CL220881</t>
  </si>
  <si>
    <t>Hard Floor Care</t>
  </si>
  <si>
    <t>CL220977</t>
  </si>
  <si>
    <t>Cleaning Supplies &gt; Cleaning Chemicals &amp; Wipes &gt; Hard Floor Care</t>
  </si>
  <si>
    <t>https://www.staples.com/Hard-Floor-Care/cat_CL220977</t>
  </si>
  <si>
    <t>Urinal Screens</t>
  </si>
  <si>
    <t>CL354888</t>
  </si>
  <si>
    <t>Cleaning Supplies &gt; Cleaning Chemicals &amp; Wipes &gt; Urinal Screens</t>
  </si>
  <si>
    <t>https://www.staples.com/Urinal-Screens/cat_CL354888</t>
  </si>
  <si>
    <t>Cleaning Tools</t>
  </si>
  <si>
    <t>Cleaning Brushes &amp; Toilet Plungers</t>
  </si>
  <si>
    <t>CL220905</t>
  </si>
  <si>
    <t>Cleaning Supplies &gt; Cleaning Tools &gt; Cleaning Brushes &amp; Toilet Plungers</t>
  </si>
  <si>
    <t>https://www.staples.com/Cleaning-Brushes-Toilet-Plungers/cat_CL220905</t>
  </si>
  <si>
    <t>Cleaning Carts, Caddies &amp; Accessories</t>
  </si>
  <si>
    <t>Cleaning Caddies</t>
  </si>
  <si>
    <t>CL354616</t>
  </si>
  <si>
    <t>Cleaning Supplies &gt; Cleaning Tools &gt; Cleaning Carts, Caddies &amp; Accessories &gt; Cleaning Caddies</t>
  </si>
  <si>
    <t>https://www.staples.com/Cleaning-Caddies/cat_CL354616</t>
  </si>
  <si>
    <t>Cleaning Cart Accessories</t>
  </si>
  <si>
    <t>CL354617</t>
  </si>
  <si>
    <t>Cleaning Supplies &gt; Cleaning Tools &gt; Cleaning Carts, Caddies &amp; Accessories &gt; Cleaning Cart Accessories</t>
  </si>
  <si>
    <t>https://www.staples.com/Cleaning-Cart-Accessories/cat_CL354617</t>
  </si>
  <si>
    <t>Cleaning Carts</t>
  </si>
  <si>
    <t>CL220906</t>
  </si>
  <si>
    <t>Cleaning Supplies &gt; Cleaning Tools &gt; Cleaning Carts, Caddies &amp; Accessories &gt; Cleaning Carts</t>
  </si>
  <si>
    <t>https://www.staples.com/Cleaning-Carts/cat_CL220906</t>
  </si>
  <si>
    <t>Cleaning Cloths &amp; Rags</t>
  </si>
  <si>
    <t>CL220907</t>
  </si>
  <si>
    <t>Cleaning Supplies &gt; Cleaning Tools &gt; Cleaning Cloths &amp; Rags</t>
  </si>
  <si>
    <t>https://www.staples.com/Cleaning-Cloths-Rags/cat_CL220907</t>
  </si>
  <si>
    <t>Dusters</t>
  </si>
  <si>
    <t>CL165592</t>
  </si>
  <si>
    <t>Cleaning Supplies &gt; Cleaning Tools &gt; Dusters</t>
  </si>
  <si>
    <t>https://www.staples.com/Dusters/cat_CL165592</t>
  </si>
  <si>
    <t>Mops, Brooms &amp; Dustpans</t>
  </si>
  <si>
    <t>Mop Buckets &amp; Wringers</t>
  </si>
  <si>
    <t>CL220908</t>
  </si>
  <si>
    <t>Cleaning Supplies &gt; Cleaning Tools &gt; Mops, Brooms &amp; Dustpans &gt; Mop Buckets &amp; Wringers</t>
  </si>
  <si>
    <t>https://www.staples.com/Mop-Buckets-Wringers/cat_CL220908</t>
  </si>
  <si>
    <t>Mop Heads &amp; Refill Pads</t>
  </si>
  <si>
    <t>CL354620</t>
  </si>
  <si>
    <t>Cleaning Supplies &gt; Cleaning Tools &gt; Mops, Brooms &amp; Dustpans &gt; Mop Heads &amp; Refill Pads</t>
  </si>
  <si>
    <t>https://www.staples.com/Mop-Heads-Refill-Pads/cat_CL354620</t>
  </si>
  <si>
    <t>Mops</t>
  </si>
  <si>
    <t>CL220909</t>
  </si>
  <si>
    <t>Cleaning Supplies &gt; Cleaning Tools &gt; Mops, Brooms &amp; Dustpans &gt; Mops</t>
  </si>
  <si>
    <t>https://www.staples.com/Mops/cat_CL220909</t>
  </si>
  <si>
    <t>Sponges &amp; Scrubbers</t>
  </si>
  <si>
    <t>CL142819</t>
  </si>
  <si>
    <t>Cleaning Supplies &gt; Cleaning Tools &gt; Sponges &amp; Scrubbers</t>
  </si>
  <si>
    <t>https://www.staples.com/Sponges-Scrubbers/cat_CL142819</t>
  </si>
  <si>
    <t>Spray Bottles &amp; Sprayers</t>
  </si>
  <si>
    <t>CL216655</t>
  </si>
  <si>
    <t>Cleaning Supplies &gt; Cleaning Tools &gt; Spray Bottles &amp; Sprayers</t>
  </si>
  <si>
    <t>https://www.staples.com/Spray-Bottles-Sprayers/cat_CL216655</t>
  </si>
  <si>
    <t>Squeegees</t>
  </si>
  <si>
    <t>CL204491</t>
  </si>
  <si>
    <t>Cleaning Supplies &gt; Cleaning Tools &gt; Squeegees</t>
  </si>
  <si>
    <t>https://www.staples.com/Squeegees/cat_CL204491</t>
  </si>
  <si>
    <t>Dish Soap</t>
  </si>
  <si>
    <t>CL215693</t>
  </si>
  <si>
    <t>Cleaning Supplies &gt; Dish Soap</t>
  </si>
  <si>
    <t>https://www.staples.com/Dish-Soap/cat_CL215693</t>
  </si>
  <si>
    <t>Dishwasher Detergent</t>
  </si>
  <si>
    <t>CL354475</t>
  </si>
  <si>
    <t>Cleaning Supplies &gt; Dishwasher Detergent</t>
  </si>
  <si>
    <t>https://www.staples.com/Dishwasher-Detergent/cat_CL354475</t>
  </si>
  <si>
    <t>Floor &amp; Carpet Cleaning Equipment</t>
  </si>
  <si>
    <t>Auto Scrubbers</t>
  </si>
  <si>
    <t>CL220895</t>
  </si>
  <si>
    <t>Cleaning Supplies &gt; Floor &amp; Carpet Cleaning Equipment &gt; Auto Scrubbers</t>
  </si>
  <si>
    <t>https://www.staples.com/Auto-Scrubbers/cat_CL220895</t>
  </si>
  <si>
    <t>Carpet Extractors &amp; Cleaners</t>
  </si>
  <si>
    <t>CL220896</t>
  </si>
  <si>
    <t>Cleaning Supplies &gt; Floor &amp; Carpet Cleaning Equipment &gt; Carpet Extractors &amp; Cleaners</t>
  </si>
  <si>
    <t>https://www.staples.com/Carpet-Extractors-Cleaners/cat_CL220896</t>
  </si>
  <si>
    <t>Floor Finish Applicators</t>
  </si>
  <si>
    <t>CL220882</t>
  </si>
  <si>
    <t>Cleaning Supplies &gt; Floor &amp; Carpet Cleaning Equipment &gt; Floor Finish Applicators</t>
  </si>
  <si>
    <t>https://www.staples.com/Floor-Finishes-Seals-Applicators/cat_CL220882</t>
  </si>
  <si>
    <t>Floor Machines &amp; Burnishers</t>
  </si>
  <si>
    <t>CL220706</t>
  </si>
  <si>
    <t>Cleaning Supplies &gt; Floor &amp; Carpet Cleaning Equipment &gt; Floor Machines &amp; Burnishers</t>
  </si>
  <si>
    <t>https://www.staples.com/Floor-Machines-Burnishers/cat_CL220706</t>
  </si>
  <si>
    <t>Floor Pads</t>
  </si>
  <si>
    <t>CL220705</t>
  </si>
  <si>
    <t>Cleaning Supplies &gt; Floor &amp; Carpet Cleaning Equipment &gt; Floor Pads</t>
  </si>
  <si>
    <t>https://www.staples.com/Floor-Pads/cat_CL220705</t>
  </si>
  <si>
    <t>Vacuum Parts &amp; Accessories</t>
  </si>
  <si>
    <t>CL355155</t>
  </si>
  <si>
    <t>Cleaning Supplies &gt; Floor &amp; Carpet Cleaning Equipment &gt; Vacuum Parts &amp; Accessories</t>
  </si>
  <si>
    <t>https://www.staples.com/Vacuum-Parts-Accessories/cat_CL355155</t>
  </si>
  <si>
    <t>Vacuums</t>
  </si>
  <si>
    <t>CL140733</t>
  </si>
  <si>
    <t>Cleaning Supplies &gt; Floor &amp; Carpet Cleaning Equipment &gt; Vacuums</t>
  </si>
  <si>
    <t>https://www.staples.com/Vacuums/cat_CL140733</t>
  </si>
  <si>
    <t>Wet/Dry Vacuums</t>
  </si>
  <si>
    <t>CL220897</t>
  </si>
  <si>
    <t>Cleaning Supplies &gt; Floor &amp; Carpet Cleaning Equipment &gt; Wet/Dry Vacuums</t>
  </si>
  <si>
    <t>https://www.staples.com/Wet-Dry-Vacuums/cat_CL220897</t>
  </si>
  <si>
    <t>Hand Soaps &amp; Sanitizers</t>
  </si>
  <si>
    <t>Hand Sanitizer</t>
  </si>
  <si>
    <t>CL220928</t>
  </si>
  <si>
    <t>Cleaning Supplies &gt; Hand Soaps &amp; Sanitizers &gt; Hand Sanitizer</t>
  </si>
  <si>
    <t>https://www.staples.com/Hand-Sanitizer/cat_CL220928</t>
  </si>
  <si>
    <t>Hand Soap</t>
  </si>
  <si>
    <t>CL141836</t>
  </si>
  <si>
    <t>Cleaning Supplies &gt; Hand Soaps &amp; Sanitizers &gt; Hand Soap</t>
  </si>
  <si>
    <t>https://www.staples.com/Hand-Soap/cat_CL141836</t>
  </si>
  <si>
    <t>Hand Soap &amp; Sanitizer Dispensers</t>
  </si>
  <si>
    <t>CL350700</t>
  </si>
  <si>
    <t>Cleaning Supplies &gt; Hand Soaps &amp; Sanitizers &gt; Hand Soap &amp; Sanitizer Dispensers</t>
  </si>
  <si>
    <t>https://www.staples.com/Hand-Soap-Sanitizer-Dispensers/cat_CL350700</t>
  </si>
  <si>
    <t>Janitorial Paper &amp; Dispensers</t>
  </si>
  <si>
    <t>Dispensers &amp; Restroom Equipment</t>
  </si>
  <si>
    <t>Toilet Paper Dispensers</t>
  </si>
  <si>
    <t>CL350641</t>
  </si>
  <si>
    <t>Cleaning Supplies &gt; Janitorial Paper &amp; Dispensers &gt; Dispensers &amp; Restroom Equipment &gt; Toilet Paper Dispensers</t>
  </si>
  <si>
    <t>https://www.staples.com/Toilet-Paper-Dispensers/cat_CL350641</t>
  </si>
  <si>
    <t>Laundry Care</t>
  </si>
  <si>
    <t>Dryer Sheets</t>
  </si>
  <si>
    <t>CL354276</t>
  </si>
  <si>
    <t>Cleaning Supplies &gt; Laundry Care &gt; Dryer Sheets</t>
  </si>
  <si>
    <t>https://www.staples.com/Dryer-Sheets/cat_CL354276</t>
  </si>
  <si>
    <t>Fabric Softener</t>
  </si>
  <si>
    <t>CL354271</t>
  </si>
  <si>
    <t>Cleaning Supplies &gt; Laundry Care &gt; Fabric Softener</t>
  </si>
  <si>
    <t>https://www.staples.com/Fabric-Softener/cat_CL354271</t>
  </si>
  <si>
    <t>Laundry Detergent</t>
  </si>
  <si>
    <t>CL168322</t>
  </si>
  <si>
    <t>Cleaning Supplies &gt; Laundry Care &gt; Laundry Detergent</t>
  </si>
  <si>
    <t>https://www.staples.com/Laundry-Detergent/cat_CL168322</t>
  </si>
  <si>
    <t>Laundry Room Organization</t>
  </si>
  <si>
    <t>Clothes Drying</t>
  </si>
  <si>
    <t>CL354467</t>
  </si>
  <si>
    <t>Cleaning Supplies &gt; Laundry Care &gt; Laundry Room Organization &gt; Clothes Drying</t>
  </si>
  <si>
    <t>https://www.staples.com/Clothes-Drying/cat_CL354467</t>
  </si>
  <si>
    <t>Laundry Accessories</t>
  </si>
  <si>
    <t>CL354468</t>
  </si>
  <si>
    <t>Cleaning Supplies &gt; Laundry Care &gt; Laundry Room Organization &gt; Laundry Accessories</t>
  </si>
  <si>
    <t>https://www.staples.com/Laundry-Accessories/cat_CL354468</t>
  </si>
  <si>
    <t>Laundry Baskets, Hampers &amp; Sorters</t>
  </si>
  <si>
    <t>CL168188</t>
  </si>
  <si>
    <t>Cleaning Supplies &gt; Laundry Care &gt; Laundry Room Organization &gt; Laundry Baskets, Hampers &amp; Sorters</t>
  </si>
  <si>
    <t>https://www.staples.com/Laundry-Baskets-Hampers-Sorters/cat_CL168188</t>
  </si>
  <si>
    <t>Laundry Sanitizers &amp; Bleach</t>
  </si>
  <si>
    <t>CL354272</t>
  </si>
  <si>
    <t>Cleaning Supplies &gt; Laundry Care &gt; Laundry Sanitizers &amp; Bleach</t>
  </si>
  <si>
    <t>https://www.staples.com/Laundry-Sanitizers-Bleach/cat_CL354272</t>
  </si>
  <si>
    <t>Laundry Stain Removers</t>
  </si>
  <si>
    <t>CL354277</t>
  </si>
  <si>
    <t>Cleaning Supplies &gt; Laundry Care &gt; Laundry Stain Removers</t>
  </si>
  <si>
    <t>https://www.staples.com/Laundry-Stain-Removers/cat_CL354277</t>
  </si>
  <si>
    <t>Scent Boosters</t>
  </si>
  <si>
    <t>CL354273</t>
  </si>
  <si>
    <t>Cleaning Supplies &gt; Laundry Care &gt; Scent Boosters</t>
  </si>
  <si>
    <t>https://www.staples.com/Scent-Boosters/cat_CL354273</t>
  </si>
  <si>
    <t>Pest Control</t>
  </si>
  <si>
    <t>CL214284</t>
  </si>
  <si>
    <t>Cleaning Supplies &gt; Pest Control</t>
  </si>
  <si>
    <t>https://www.staples.com/Pest-Control/cat_CL214284</t>
  </si>
  <si>
    <t>Sink Strainers</t>
  </si>
  <si>
    <t>CL211858</t>
  </si>
  <si>
    <t>Cleaning Supplies &gt; Sink Strainers</t>
  </si>
  <si>
    <t>https://www.staples.com/Sink-Strainers/cat_CL211858</t>
  </si>
  <si>
    <t>Trash Bags</t>
  </si>
  <si>
    <t>CL141923</t>
  </si>
  <si>
    <t>Cleaning Supplies &gt; Waste &amp; Recycling &gt; Trash Bags</t>
  </si>
  <si>
    <t>https://www.staples.com/Trash-Bags/cat_CL141923</t>
  </si>
  <si>
    <t>https://www.staples.com/Trash-Cans-Recycling-Bins/cat_CL141928</t>
  </si>
  <si>
    <t>Waste Receptacle Lids &amp; Accessories</t>
  </si>
  <si>
    <t>CL350740</t>
  </si>
  <si>
    <t>Cleaning Supplies &gt; Waste &amp; Recycling &gt; Waste Receptacle Lids &amp; Accessories</t>
  </si>
  <si>
    <t>https://www.staples.com/Waste-Receptacle-Lids-Accessories/cat_CL350740</t>
  </si>
  <si>
    <t>Breakroom Appliances</t>
  </si>
  <si>
    <t>Blenders &amp; Food Processors</t>
  </si>
  <si>
    <t>CL166367</t>
  </si>
  <si>
    <t>Coffee, Water &amp; Snacks &gt; Breakroom Appliances &gt; Blenders &amp; Food Processors</t>
  </si>
  <si>
    <t>https://www.staples.com/Blenders-Food-Processors/cat_CL166367</t>
  </si>
  <si>
    <t>Drink Makers</t>
  </si>
  <si>
    <t>CL217406</t>
  </si>
  <si>
    <t>Coffee, Water &amp; Snacks &gt; Breakroom Appliances &gt; Drink Makers</t>
  </si>
  <si>
    <t>https://www.staples.com/Drink-Makers/cat_CL217406</t>
  </si>
  <si>
    <t>Juicers</t>
  </si>
  <si>
    <t>CL211562</t>
  </si>
  <si>
    <t>Coffee, Water &amp; Snacks &gt; Breakroom Appliances &gt; Juicers</t>
  </si>
  <si>
    <t>https://www.staples.com/Juicers/cat_CL211562</t>
  </si>
  <si>
    <t>Napkin Dispensers</t>
  </si>
  <si>
    <t>CL350646</t>
  </si>
  <si>
    <t>Coffee, Water &amp; Snacks &gt; Breakroom Appliances &gt; Napkin Dispensers</t>
  </si>
  <si>
    <t>https://www.staples.com/Napkin-Dispensers/cat_CL350646</t>
  </si>
  <si>
    <t>Paper Towel Dispensers</t>
  </si>
  <si>
    <t>CL350640</t>
  </si>
  <si>
    <t>Coffee, Water &amp; Snacks &gt; Breakroom Appliances &gt; Paper Towel Dispensers</t>
  </si>
  <si>
    <t>https://www.staples.com/Paper-Towel-Dispensers/cat_CL350640</t>
  </si>
  <si>
    <t>Toaster Ovens</t>
  </si>
  <si>
    <t>CL210338</t>
  </si>
  <si>
    <t>Coffee, Water &amp; Snacks &gt; Breakroom Appliances &gt; Toaster Ovens</t>
  </si>
  <si>
    <t>https://www.staples.com/Toaster-Ovens/cat_CL210338</t>
  </si>
  <si>
    <t>Water Filters &amp; Dispensers</t>
  </si>
  <si>
    <t>CL140865</t>
  </si>
  <si>
    <t>Coffee, Water &amp; Snacks &gt; Breakroom Appliances &gt; Water Filters &amp; Dispensers</t>
  </si>
  <si>
    <t>https://www.staples.com/Water-Filters-Dispensers/cat_CL140865</t>
  </si>
  <si>
    <t>Candy, Gum &amp; Mints</t>
  </si>
  <si>
    <t>Chocolate</t>
  </si>
  <si>
    <t>CL165436</t>
  </si>
  <si>
    <t>Coffee, Water &amp; Snacks &gt; Candy, Gum &amp; Mints &gt; Chocolate</t>
  </si>
  <si>
    <t>https://www.staples.com/Chocolate/cat_CL165436</t>
  </si>
  <si>
    <t>Gum &amp; Mints</t>
  </si>
  <si>
    <t>CL215536</t>
  </si>
  <si>
    <t>Coffee, Water &amp; Snacks &gt; Candy, Gum &amp; Mints &gt; Gum &amp; Mints</t>
  </si>
  <si>
    <t>https://www.staples.com/Gum-Mints/cat_CL215536</t>
  </si>
  <si>
    <t>Gummy &amp; Chewy Candy</t>
  </si>
  <si>
    <t>CL354485</t>
  </si>
  <si>
    <t>Coffee, Water &amp; Snacks &gt; Candy, Gum &amp; Mints &gt; Gummy &amp; Chewy Candy</t>
  </si>
  <si>
    <t>https://www.staples.com/Gummy-Chewy-Candy/cat_CL354485</t>
  </si>
  <si>
    <t>Hard Candy &amp; Lollipops</t>
  </si>
  <si>
    <t>CL354490</t>
  </si>
  <si>
    <t>Coffee, Water &amp; Snacks &gt; Candy, Gum &amp; Mints &gt; Hard Candy &amp; Lollipops</t>
  </si>
  <si>
    <t>https://www.staples.com/Hard-Candy-Lollipops/cat_CL354490</t>
  </si>
  <si>
    <t>Coffee</t>
  </si>
  <si>
    <t>CL141073</t>
  </si>
  <si>
    <t>Coffee, Water &amp; Snacks &gt; Coffee</t>
  </si>
  <si>
    <t>https://www.staples.com/Coffee/cat_CL141073</t>
  </si>
  <si>
    <t>https://www.staples.com/Carafes-Kettles-Decanters/cat_CL142180</t>
  </si>
  <si>
    <t>Cocoa</t>
  </si>
  <si>
    <t>CL164878</t>
  </si>
  <si>
    <t>Coffee, Water &amp; Snacks &gt; Coffee, Coffee Makers &amp; Supplies &gt; Cocoa</t>
  </si>
  <si>
    <t>https://www.staples.com/Cocoa/cat_CL164878</t>
  </si>
  <si>
    <t>Coffee Filters</t>
  </si>
  <si>
    <t>CL350715</t>
  </si>
  <si>
    <t>Coffee, Water &amp; Snacks &gt; Coffee, Coffee Makers &amp; Supplies &gt; Coffee Filters</t>
  </si>
  <si>
    <t>https://www.staples.com/Coffee-Filters/cat_CL350715</t>
  </si>
  <si>
    <t>Coffee Grinders</t>
  </si>
  <si>
    <t>CL211026</t>
  </si>
  <si>
    <t>Coffee, Water &amp; Snacks &gt; Coffee, Coffee Makers &amp; Supplies &gt; Coffee Grinders</t>
  </si>
  <si>
    <t>https://www.staples.com/Coffee-Grinders/cat_CL211026</t>
  </si>
  <si>
    <t>https://www.staples.com/Coffee-Makers-Espresso-Machines/cat_CL140860</t>
  </si>
  <si>
    <t>Coffee Organizers &amp; Dispensers</t>
  </si>
  <si>
    <t>CL214775</t>
  </si>
  <si>
    <t>Coffee, Water &amp; Snacks &gt; Coffee, Coffee Makers &amp; Supplies &gt; Coffee Organizers &amp; Dispensers</t>
  </si>
  <si>
    <t>https://www.staples.com/Coffee-Organizers-Dispensers/cat_CL214775</t>
  </si>
  <si>
    <t>Tea</t>
  </si>
  <si>
    <t>CL162668</t>
  </si>
  <si>
    <t>Coffee, Water &amp; Snacks &gt; Coffee, Coffee Makers &amp; Supplies &gt; Tea</t>
  </si>
  <si>
    <t>https://www.staples.com/Tea/cat_CL162668</t>
  </si>
  <si>
    <t>Paper Products</t>
  </si>
  <si>
    <t>Facial Tissue</t>
  </si>
  <si>
    <t>CL141828</t>
  </si>
  <si>
    <t>Coffee, Water &amp; Snacks &gt; Paper Products &gt; Facial Tissue</t>
  </si>
  <si>
    <t>https://www.staples.com/Facial-Tissue/cat_CL141828</t>
  </si>
  <si>
    <t>Paper Towels</t>
  </si>
  <si>
    <t>CL141826</t>
  </si>
  <si>
    <t>Coffee, Water &amp; Snacks &gt; Paper Products &gt; Paper Towels</t>
  </si>
  <si>
    <t>https://www.staples.com/Paper-Towels/cat_CL141826</t>
  </si>
  <si>
    <t>Toilet Paper &amp; Bath Tissue</t>
  </si>
  <si>
    <t>CL141829</t>
  </si>
  <si>
    <t>Coffee, Water &amp; Snacks &gt; Paper Products &gt; Toilet Paper &amp; Bath Tissue</t>
  </si>
  <si>
    <t>https://www.staples.com/Toilet-Paper-Bath-Tissue/cat_CL141829</t>
  </si>
  <si>
    <t>Toilet Seat Covers</t>
  </si>
  <si>
    <t>CL220927</t>
  </si>
  <si>
    <t>Coffee, Water &amp; Snacks &gt; Paper Products &gt; Toilet Seat Covers</t>
  </si>
  <si>
    <t>https://www.staples.com/Toilet-Seat-Covers/cat_CL220927</t>
  </si>
  <si>
    <t>Single Serve Coffee, Tea &amp; Cocoa</t>
  </si>
  <si>
    <t>CL164886</t>
  </si>
  <si>
    <t>Coffee, Water &amp; Snacks &gt; Single Serve Coffee, Tea &amp; Cocoa</t>
  </si>
  <si>
    <t>https://www.staples.com/Single-Serve-Coffee/cat_CL164886</t>
  </si>
  <si>
    <t>Snacks &amp; Food</t>
  </si>
  <si>
    <t>Chips</t>
  </si>
  <si>
    <t>CL354488</t>
  </si>
  <si>
    <t>Coffee, Water &amp; Snacks &gt; Snacks &amp; Food &gt; Chips</t>
  </si>
  <si>
    <t>https://www.staples.com/Chips/cat_CL354488</t>
  </si>
  <si>
    <t>Cookies</t>
  </si>
  <si>
    <t>CL354486</t>
  </si>
  <si>
    <t>Coffee, Water &amp; Snacks &gt; Snacks &amp; Food &gt; Cookies</t>
  </si>
  <si>
    <t>https://www.staples.com/Cookies/cat_CL354486</t>
  </si>
  <si>
    <t>Crackers</t>
  </si>
  <si>
    <t>CL354491</t>
  </si>
  <si>
    <t>Coffee, Water &amp; Snacks &gt; Snacks &amp; Food &gt; Crackers</t>
  </si>
  <si>
    <t>https://www.staples.com/Crackers/cat_CL354491</t>
  </si>
  <si>
    <t>Fresh, Frozen &amp; Dry Groceries</t>
  </si>
  <si>
    <t>Condiments</t>
  </si>
  <si>
    <t>CL166263</t>
  </si>
  <si>
    <t>Coffee, Water &amp; Snacks &gt; Snacks &amp; Food &gt; Fresh, Frozen &amp; Dry Groceries &gt; Condiments</t>
  </si>
  <si>
    <t>https://www.staples.com/Condiments/cat_CL166263</t>
  </si>
  <si>
    <t>Dry Goods</t>
  </si>
  <si>
    <t>CL354497</t>
  </si>
  <si>
    <t>Coffee, Water &amp; Snacks &gt; Snacks &amp; Food &gt; Fresh, Frozen &amp; Dry Groceries &gt; Dry Goods</t>
  </si>
  <si>
    <t>https://www.staples.com/Dry-Goods/cat_CL354497</t>
  </si>
  <si>
    <t>Fresh Groceries</t>
  </si>
  <si>
    <t>CL350325</t>
  </si>
  <si>
    <t>Coffee, Water &amp; Snacks &gt; Snacks &amp; Food &gt; Fresh, Frozen &amp; Dry Groceries &gt; Fresh Groceries</t>
  </si>
  <si>
    <t>https://www.staples.com/Fresh-Groceries/cat_CL350325</t>
  </si>
  <si>
    <t>Frozen Foods</t>
  </si>
  <si>
    <t>CL350545</t>
  </si>
  <si>
    <t>Coffee, Water &amp; Snacks &gt; Snacks &amp; Food &gt; Fresh, Frozen &amp; Dry Groceries &gt; Frozen Foods</t>
  </si>
  <si>
    <t>https://www.staples.com/Frozen-Foods/cat_CL350545</t>
  </si>
  <si>
    <t>Sugar &amp; Sweeteners</t>
  </si>
  <si>
    <t>CL141079</t>
  </si>
  <si>
    <t>Coffee, Water &amp; Snacks &gt; Snacks &amp; Food &gt; Fresh, Frozen &amp; Dry Groceries &gt; Sugar &amp; Sweeteners</t>
  </si>
  <si>
    <t>https://www.staples.com/Sugar-Sweeteners/cat_CL141079</t>
  </si>
  <si>
    <t>Fruit Snacks</t>
  </si>
  <si>
    <t>CL354487</t>
  </si>
  <si>
    <t>Coffee, Water &amp; Snacks &gt; Snacks &amp; Food &gt; Fruit Snacks</t>
  </si>
  <si>
    <t>https://www.staples.com/Fruit-Snacks/cat_CL354487</t>
  </si>
  <si>
    <t>Jerky &amp; Meat Sticks</t>
  </si>
  <si>
    <t>CL354492</t>
  </si>
  <si>
    <t>Coffee, Water &amp; Snacks &gt; Snacks &amp; Food &gt; Jerky &amp; Meat Sticks</t>
  </si>
  <si>
    <t>https://www.staples.com/Jerky-Meat-Sticks/cat_CL354492</t>
  </si>
  <si>
    <t>Nuts &amp; Seeds</t>
  </si>
  <si>
    <t>CL354493</t>
  </si>
  <si>
    <t>Coffee, Water &amp; Snacks &gt; Snacks &amp; Food &gt; Nuts &amp; Seeds</t>
  </si>
  <si>
    <t>https://www.staples.com/Nuts-Seeds/cat_CL354493</t>
  </si>
  <si>
    <t>Popcorn</t>
  </si>
  <si>
    <t>CL354494</t>
  </si>
  <si>
    <t>Coffee, Water &amp; Snacks &gt; Snacks &amp; Food &gt; Popcorn</t>
  </si>
  <si>
    <t>https://www.staples.com/Popcorn/cat_CL354494</t>
  </si>
  <si>
    <t>Pretzels</t>
  </si>
  <si>
    <t>CL354495</t>
  </si>
  <si>
    <t>Coffee, Water &amp; Snacks &gt; Snacks &amp; Food &gt; Pretzels</t>
  </si>
  <si>
    <t>https://www.staples.com/Pretzels/cat_CL354495</t>
  </si>
  <si>
    <t>Snack &amp; Trail Mixes</t>
  </si>
  <si>
    <t>CL354496</t>
  </si>
  <si>
    <t>Coffee, Water &amp; Snacks &gt; Snacks &amp; Food &gt; Snack &amp; Trail Mixes</t>
  </si>
  <si>
    <t>https://www.staples.com/Snack-Trail-Mixes/cat_CL354496</t>
  </si>
  <si>
    <t>Snacks &amp; Granola Bars</t>
  </si>
  <si>
    <t>CL166198</t>
  </si>
  <si>
    <t>Coffee, Water &amp; Snacks &gt; Snacks &amp; Food &gt; Snacks &amp; Granola Bars</t>
  </si>
  <si>
    <t>https://www.staples.com/Snacks-Granola-Bars/cat_CL166198</t>
  </si>
  <si>
    <t>Variety Snack Packs</t>
  </si>
  <si>
    <t>CL354489</t>
  </si>
  <si>
    <t>Coffee, Water &amp; Snacks &gt; Snacks &amp; Food &gt; Variety Snack Packs</t>
  </si>
  <si>
    <t>https://www.staples.com/Variety-Snack-Packs/cat_CL354489</t>
  </si>
  <si>
    <t>Energy &amp; Sports Drinks</t>
  </si>
  <si>
    <t>CL165674</t>
  </si>
  <si>
    <t>Coffee, Water &amp; Snacks &gt; Water &amp; Beverages &gt; Energy &amp; Sports Drinks</t>
  </si>
  <si>
    <t>https://www.staples.com/Energy-Sports-Drinks/cat_CL165674</t>
  </si>
  <si>
    <t>Juice</t>
  </si>
  <si>
    <t>CL216257</t>
  </si>
  <si>
    <t>Coffee, Water &amp; Snacks &gt; Water &amp; Beverages &gt; Juice</t>
  </si>
  <si>
    <t>https://www.staples.com/Juice/cat_CL216257</t>
  </si>
  <si>
    <t>Liquid &amp; Powdered Drink Mixes</t>
  </si>
  <si>
    <t>CL350770</t>
  </si>
  <si>
    <t>Coffee, Water &amp; Snacks &gt; Water &amp; Beverages &gt; Liquid &amp; Powdered Drink Mixes</t>
  </si>
  <si>
    <t>https://www.staples.com/Liquid-Powdered-Drink-Mixes/cat_CL350770</t>
  </si>
  <si>
    <t>Milk &amp; Creamer</t>
  </si>
  <si>
    <t>CL219104</t>
  </si>
  <si>
    <t>Coffee, Water &amp; Snacks &gt; Water &amp; Beverages &gt; Milk &amp; Creamer</t>
  </si>
  <si>
    <t>https://www.staples.com/Milk-Creamer/cat_CL219104</t>
  </si>
  <si>
    <t>Soda</t>
  </si>
  <si>
    <t>CL141075</t>
  </si>
  <si>
    <t>Coffee, Water &amp; Snacks &gt; Water &amp; Beverages &gt; Soda</t>
  </si>
  <si>
    <t>https://www.staples.com/Soda/cat_CL141075</t>
  </si>
  <si>
    <t>Water</t>
  </si>
  <si>
    <t>CL141077</t>
  </si>
  <si>
    <t>Coffee, Water &amp; Snacks &gt; Water &amp; Beverages &gt; Water</t>
  </si>
  <si>
    <t>https://www.staples.com/Water/cat_CL141077</t>
  </si>
  <si>
    <t>Computer Software</t>
  </si>
  <si>
    <t>Accounting Software</t>
  </si>
  <si>
    <t>CL217456</t>
  </si>
  <si>
    <t>Computer Software &gt; Accounting Software</t>
  </si>
  <si>
    <t>https://www.staples.com/Accounting-Software/cat_CL217456</t>
  </si>
  <si>
    <t>Antivirus Software</t>
  </si>
  <si>
    <t>CL167734</t>
  </si>
  <si>
    <t>Computer Software &gt; Antivirus Software</t>
  </si>
  <si>
    <t>https://www.staples.com/Antivirus-Software/cat_CL167734</t>
  </si>
  <si>
    <t>Education &amp; Language Learning Software</t>
  </si>
  <si>
    <t>CL167771</t>
  </si>
  <si>
    <t>Computer Software &gt; Education &amp; Language Learning Software</t>
  </si>
  <si>
    <t>https://www.staples.com/Education-Language-Learning-Software/cat_CL167771</t>
  </si>
  <si>
    <t>Finance Software</t>
  </si>
  <si>
    <t>CL217457</t>
  </si>
  <si>
    <t>Computer Software &gt; Finance Software</t>
  </si>
  <si>
    <t>https://www.staples.com/Finance-Software/cat_CL217457</t>
  </si>
  <si>
    <t>Hobbies &amp; Personal Interest Software</t>
  </si>
  <si>
    <t>CL167741</t>
  </si>
  <si>
    <t>Computer Software &gt; Hobbies &amp; Personal Interest Software</t>
  </si>
  <si>
    <t>https://www.staples.com/Hobbies-Personal-Interest-Software/cat_CL167741</t>
  </si>
  <si>
    <t>Legal Software</t>
  </si>
  <si>
    <t>CL215595</t>
  </si>
  <si>
    <t>Computer Software &gt; Legal Software</t>
  </si>
  <si>
    <t>https://www.staples.com/Legal-Software/cat_CL215595</t>
  </si>
  <si>
    <t>Microsoft Office</t>
  </si>
  <si>
    <t>CL217460</t>
  </si>
  <si>
    <t>Computer Software &gt; Microsoft Office</t>
  </si>
  <si>
    <t>https://www.staples.com/Microsoft-Office/cat_CL217460</t>
  </si>
  <si>
    <t>Office &amp; Business Software</t>
  </si>
  <si>
    <t>CL167739</t>
  </si>
  <si>
    <t>Computer Software &gt; Office &amp; Business Software</t>
  </si>
  <si>
    <t>https://www.staples.com/Office-Business-Software/cat_CL167739</t>
  </si>
  <si>
    <t>PC Games &amp; Accessories</t>
  </si>
  <si>
    <t>PC Gaming Accessories</t>
  </si>
  <si>
    <t>CL216576</t>
  </si>
  <si>
    <t>Computer Software &gt; PC Games &amp; Accessories &gt; PC Gaming Accessories</t>
  </si>
  <si>
    <t>https://www.staples.com/PC-Gaming-Accessories/cat_CL216576</t>
  </si>
  <si>
    <t>PDF Software</t>
  </si>
  <si>
    <t>CL217461</t>
  </si>
  <si>
    <t>Computer Software &gt; PDF Software</t>
  </si>
  <si>
    <t>https://www.staples.com/PDF-Software/cat_CL217461</t>
  </si>
  <si>
    <t>Photo Editing &amp; Graphic Design Software</t>
  </si>
  <si>
    <t>CL167778</t>
  </si>
  <si>
    <t>Computer Software &gt; Photo Editing &amp; Graphic Design Software</t>
  </si>
  <si>
    <t>https://www.staples.com/Photo-Editing-Graphic-Design-Software/cat_CL167778</t>
  </si>
  <si>
    <t>Tax Software</t>
  </si>
  <si>
    <t>CL166056</t>
  </si>
  <si>
    <t>Computer Software &gt; Tax Software</t>
  </si>
  <si>
    <t>https://www.staples.com/Tax-Software/cat_CL166056</t>
  </si>
  <si>
    <t>Video Editing &amp; Music Software</t>
  </si>
  <si>
    <t>CL167735</t>
  </si>
  <si>
    <t>Computer Software &gt; Video Editing &amp; Music Software</t>
  </si>
  <si>
    <t>https://www.staples.com/Video-Editing-Music-Software/cat_CL167735</t>
  </si>
  <si>
    <t>Windows Operating Systems</t>
  </si>
  <si>
    <t>CL167740</t>
  </si>
  <si>
    <t>Computer Software &gt; Windows Operating Systems</t>
  </si>
  <si>
    <t>https://www.staples.com/Windows-Operating-Systems/cat_CL167740</t>
  </si>
  <si>
    <t>Cables &amp; Cable Accessories</t>
  </si>
  <si>
    <t>Adapters &amp; Splitters</t>
  </si>
  <si>
    <t>CL216881</t>
  </si>
  <si>
    <t>Computers &amp; Accessories &gt; Computer Accessories &amp; Peripherals &gt; Cables &amp; Cable Accessories &gt; Adapters &amp; Splitters</t>
  </si>
  <si>
    <t>https://www.staples.com/Adapters-Splitters/cat_CL216881</t>
  </si>
  <si>
    <t>Cable Management</t>
  </si>
  <si>
    <t>CL142092</t>
  </si>
  <si>
    <t>Computers &amp; Accessories &gt; Computer Accessories &amp; Peripherals &gt; Cables &amp; Cable Accessories &gt; Cable Management</t>
  </si>
  <si>
    <t>https://www.staples.com/Cable-Management/cat_CL142092</t>
  </si>
  <si>
    <t>Cables</t>
  </si>
  <si>
    <t>CL140452</t>
  </si>
  <si>
    <t>Computers &amp; Accessories &gt; Computer Accessories &amp; Peripherals &gt; Cables &amp; Cable Accessories &gt; Cables</t>
  </si>
  <si>
    <t>https://www.staples.com/Cables/cat_CL140452</t>
  </si>
  <si>
    <t>USB Hubs</t>
  </si>
  <si>
    <t>CL162937</t>
  </si>
  <si>
    <t>Computers &amp; Accessories &gt; Computer Accessories &amp; Peripherals &gt; Cables &amp; Cable Accessories &gt; USB Hubs</t>
  </si>
  <si>
    <t>https://www.staples.com/USB-Hubs/cat_CL162937</t>
  </si>
  <si>
    <t>Computer Cleaning &amp; Maintenance</t>
  </si>
  <si>
    <t>CL142034</t>
  </si>
  <si>
    <t>Computers &amp; Accessories &gt; Computer Accessories &amp; Peripherals &gt; Computer Cleaning &amp; Maintenance</t>
  </si>
  <si>
    <t>https://www.staples.com/Computer-Cleaning-Maintenance/cat_CL142034</t>
  </si>
  <si>
    <t>Computer Mice</t>
  </si>
  <si>
    <t>CL141983</t>
  </si>
  <si>
    <t>Computers &amp; Accessories &gt; Computer Accessories &amp; Peripherals &gt; Computer Mice</t>
  </si>
  <si>
    <t>https://www.staples.com/Computer-Mice/cat_CL141983</t>
  </si>
  <si>
    <t>Computer Privacy Screens &amp; Protectors</t>
  </si>
  <si>
    <t>CL161004</t>
  </si>
  <si>
    <t>Computers &amp; Accessories &gt; Computer Accessories &amp; Peripherals &gt; Computer Privacy Screens &amp; Protectors</t>
  </si>
  <si>
    <t>https://www.staples.com/Computer-Privacy-Screens-Protectors/cat_CL161004</t>
  </si>
  <si>
    <t>Computer Speakers</t>
  </si>
  <si>
    <t>CL140479</t>
  </si>
  <si>
    <t>Computers &amp; Accessories &gt; Computer Accessories &amp; Peripherals &gt; Computer Speakers</t>
  </si>
  <si>
    <t>https://www.staples.com/Computer-Speakers/cat_CL140479</t>
  </si>
  <si>
    <t>Graphic Tablets</t>
  </si>
  <si>
    <t>CL163234</t>
  </si>
  <si>
    <t>Computers &amp; Accessories &gt; Computer Accessories &amp; Peripherals &gt; Graphic Tablets</t>
  </si>
  <si>
    <t>https://www.staples.com/Graphic-Tablets/cat_CL163234</t>
  </si>
  <si>
    <t>Keyboard &amp; Mouse Combos</t>
  </si>
  <si>
    <t>CL215784</t>
  </si>
  <si>
    <t>Computers &amp; Accessories &gt; Computer Accessories &amp; Peripherals &gt; Keyboard &amp; Mouse Combos</t>
  </si>
  <si>
    <t>https://www.staples.com/Keyboard-Mouse-Combos/cat_CL215784</t>
  </si>
  <si>
    <t>Keyboard Trays</t>
  </si>
  <si>
    <t>CL141473</t>
  </si>
  <si>
    <t>Computers &amp; Accessories &gt; Computer Accessories &amp; Peripherals &gt; Keyboard Trays</t>
  </si>
  <si>
    <t>https://www.staples.com/Keyboard-Trays/cat_CL141473</t>
  </si>
  <si>
    <t>Laptop Chargers &amp; Adapters</t>
  </si>
  <si>
    <t>CL165024</t>
  </si>
  <si>
    <t>Computers &amp; Accessories &gt; Computer Accessories &amp; Peripherals &gt; Laptop Accessories &gt; Laptop Chargers &amp; Adapters</t>
  </si>
  <si>
    <t>https://www.staples.com/Laptop-Chargers-Adapters/cat_CL165024</t>
  </si>
  <si>
    <t>Laptop Docking Stations</t>
  </si>
  <si>
    <t>CL165023</t>
  </si>
  <si>
    <t>Computers &amp; Accessories &gt; Computer Accessories &amp; Peripherals &gt; Laptop Accessories &gt; Laptop Docking Stations</t>
  </si>
  <si>
    <t>https://www.staples.com/Laptop-Docking-Stations/cat_CL165023</t>
  </si>
  <si>
    <t>Laptop Locks</t>
  </si>
  <si>
    <t>CL141483</t>
  </si>
  <si>
    <t>Computers &amp; Accessories &gt; Computer Accessories &amp; Peripherals &gt; Laptop Accessories &gt; Laptop Locks</t>
  </si>
  <si>
    <t>https://www.staples.com/Laptop-Locks/cat_CL141483</t>
  </si>
  <si>
    <t>Laptop Cooling Pads</t>
  </si>
  <si>
    <t>CL142670</t>
  </si>
  <si>
    <t>Computers &amp; Accessories &gt; Computer Accessories &amp; Peripherals &gt; Laptop Cooling Pads</t>
  </si>
  <si>
    <t>https://www.staples.com/Laptop-Cooling-Pads/cat_CL142670</t>
  </si>
  <si>
    <t>Multi-Factor Authentication</t>
  </si>
  <si>
    <t>CL354963</t>
  </si>
  <si>
    <t>Computers &amp; Accessories &gt; Computer Accessories &amp; Peripherals &gt; Multi-Factor Authentication</t>
  </si>
  <si>
    <t>https://www.staples.com/Multi-Factor-Authentication/cat_CL354963</t>
  </si>
  <si>
    <t>Webcams</t>
  </si>
  <si>
    <t>CL140467</t>
  </si>
  <si>
    <t>Computers &amp; Accessories &gt; Computer Accessories &amp; Peripherals &gt; Webcams</t>
  </si>
  <si>
    <t>https://www.staples.com/Webcams/cat_CL140467</t>
  </si>
  <si>
    <t>Computer Monitors</t>
  </si>
  <si>
    <t>CL142219</t>
  </si>
  <si>
    <t>Computers &amp; Accessories &gt; Computer Monitors &amp; Stands &gt; Computer Monitors</t>
  </si>
  <si>
    <t>https://www.staples.com/Computer-Monitors/cat_CL142219</t>
  </si>
  <si>
    <t>https://www.staples.com/Monitor-Stands-Mounts/cat_CL141470</t>
  </si>
  <si>
    <t>Computer Parts &amp; Components</t>
  </si>
  <si>
    <t>Computer Cards</t>
  </si>
  <si>
    <t>CL140474</t>
  </si>
  <si>
    <t>Computers &amp; Accessories &gt; Computer Parts &amp; Components &gt; Computer Cards</t>
  </si>
  <si>
    <t>https://www.staples.com/Computer-Cards/cat_CL140474</t>
  </si>
  <si>
    <t>Computer Fans</t>
  </si>
  <si>
    <t>CL350745</t>
  </si>
  <si>
    <t>Computers &amp; Accessories &gt; Computer Parts &amp; Components &gt; Computer Fans</t>
  </si>
  <si>
    <t>https://www.staples.com/Computer-Fans/cat_CL350745</t>
  </si>
  <si>
    <t>Computer Processors / CPUs</t>
  </si>
  <si>
    <t>CL167348</t>
  </si>
  <si>
    <t>Computers &amp; Accessories &gt; Computer Parts &amp; Components &gt; Computer Processors / CPUs</t>
  </si>
  <si>
    <t>https://www.staples.com/Computer-Processors-CPUs/cat_CL167348</t>
  </si>
  <si>
    <t>Graphics Cards</t>
  </si>
  <si>
    <t>CL215749</t>
  </si>
  <si>
    <t>Computers &amp; Accessories &gt; Computer Parts &amp; Components &gt; Graphics Cards</t>
  </si>
  <si>
    <t>https://www.staples.com/Graphics-Cards/cat_CL215749</t>
  </si>
  <si>
    <t>Internal Hard Drives</t>
  </si>
  <si>
    <t>CL211163</t>
  </si>
  <si>
    <t>Computers &amp; Accessories &gt; Computer Parts &amp; Components &gt; Internal Hard Drives</t>
  </si>
  <si>
    <t>https://www.staples.com/Internal-Hard-Drives/cat_CL211163</t>
  </si>
  <si>
    <t>Memory</t>
  </si>
  <si>
    <t>CL142707</t>
  </si>
  <si>
    <t>Computers &amp; Accessories &gt; Computer Parts &amp; Components &gt; Memory</t>
  </si>
  <si>
    <t>https://www.staples.com/Memory/cat_CL142707</t>
  </si>
  <si>
    <t>Motherboards</t>
  </si>
  <si>
    <t>CL167352</t>
  </si>
  <si>
    <t>Computers &amp; Accessories &gt; Computer Parts &amp; Components &gt; Motherboards</t>
  </si>
  <si>
    <t>https://www.staples.com/Motherboards/cat_CL167352</t>
  </si>
  <si>
    <t>Power Supplies</t>
  </si>
  <si>
    <t>CL141992</t>
  </si>
  <si>
    <t>Computers &amp; Accessories &gt; Computer Parts &amp; Components &gt; Power Supplies</t>
  </si>
  <si>
    <t>https://www.staples.com/Power-Supplies/cat_CL141992</t>
  </si>
  <si>
    <t>RAID Controllers</t>
  </si>
  <si>
    <t>CL167414</t>
  </si>
  <si>
    <t>Computers &amp; Accessories &gt; Computer Parts &amp; Components &gt; RAID Controllers</t>
  </si>
  <si>
    <t>https://www.staples.com/RAID-Controllers/cat_CL167414</t>
  </si>
  <si>
    <t>Tower Computer Cases</t>
  </si>
  <si>
    <t>CL141990</t>
  </si>
  <si>
    <t>Computers &amp; Accessories &gt; Computer Parts &amp; Components &gt; Tower Computer Cases</t>
  </si>
  <si>
    <t>https://www.staples.com/Tower-Computer-Cases/cat_CL141990</t>
  </si>
  <si>
    <t>Video Capture Devices</t>
  </si>
  <si>
    <t>CL168164</t>
  </si>
  <si>
    <t>Computers &amp; Accessories &gt; Computer Parts &amp; Components &gt; Video Capture Devices</t>
  </si>
  <si>
    <t>https://www.staples.com/Video-Capture-Devices/cat_CL168164</t>
  </si>
  <si>
    <t>Desktop Computers</t>
  </si>
  <si>
    <t>CL167288</t>
  </si>
  <si>
    <t>Computers &amp; Accessories &gt; Desktop Computers</t>
  </si>
  <si>
    <t>https://www.staples.com/Desktop-Computers/cat_CL167288</t>
  </si>
  <si>
    <t>Laptops</t>
  </si>
  <si>
    <t>CL167289</t>
  </si>
  <si>
    <t>Computers &amp; Accessories &gt; Laptops</t>
  </si>
  <si>
    <t>https://www.staples.com/Laptops/cat_CL167289</t>
  </si>
  <si>
    <t>Servers &amp; Accessories</t>
  </si>
  <si>
    <t>KVM Cables &amp; Switches</t>
  </si>
  <si>
    <t>CL141991</t>
  </si>
  <si>
    <t>Computers &amp; Accessories &gt; Servers &amp; Accessories &gt; KVM Cables &amp; Switches</t>
  </si>
  <si>
    <t>https://www.staples.com/KVM-Cables-Switches/cat_CL141991</t>
  </si>
  <si>
    <t>Server Racks &amp; Cabinets</t>
  </si>
  <si>
    <t>CL168997</t>
  </si>
  <si>
    <t>Computers &amp; Accessories &gt; Servers &amp; Accessories &gt; Server Racks &amp; Cabinets</t>
  </si>
  <si>
    <t>https://www.staples.com/Server-Racks-Cabinets/cat_CL168997</t>
  </si>
  <si>
    <t>Servers</t>
  </si>
  <si>
    <t>CL207763</t>
  </si>
  <si>
    <t>Computers &amp; Accessories &gt; Servers &amp; Accessories &gt; Servers</t>
  </si>
  <si>
    <t>https://www.staples.com/Servers/cat_CL207763</t>
  </si>
  <si>
    <t>Rug Pads</t>
  </si>
  <si>
    <t>CL212465</t>
  </si>
  <si>
    <t>Decor &gt; Rug Pads</t>
  </si>
  <si>
    <t>https://www.staples.com/Rug-Pads/cat_CL212465</t>
  </si>
  <si>
    <t>https://www.staples.com/Rugs/cat_CL167008</t>
  </si>
  <si>
    <t>Expanded Assortment</t>
  </si>
  <si>
    <t>Books &amp; Magazines</t>
  </si>
  <si>
    <t>Sports &amp; Recreation Books</t>
  </si>
  <si>
    <t>CL213868</t>
  </si>
  <si>
    <t>Expanded Assortment &gt; Books &amp; Magazines &gt; Sports &amp; Recreation Books</t>
  </si>
  <si>
    <t>https://www.staples.com/Sports-Recreation-Books/cat_CL213868</t>
  </si>
  <si>
    <t>Clothing, Shoes &amp; Accessories</t>
  </si>
  <si>
    <t>Salon &amp; Spa Apparel</t>
  </si>
  <si>
    <t>Spa Mitts &amp; Footwear</t>
  </si>
  <si>
    <t>CL214073</t>
  </si>
  <si>
    <t>Expanded Assortment &gt; Clothing, Shoes &amp; Accessories &gt; Salon &amp; Spa Apparel &gt; Spa Mitts &amp; Footwear</t>
  </si>
  <si>
    <t>https://www.staples.com/Spa-Mitts-Footwear/cat_CL214073</t>
  </si>
  <si>
    <t>Shoe Care</t>
  </si>
  <si>
    <t>CL204514</t>
  </si>
  <si>
    <t>Expanded Assortment &gt; Clothing, Shoes &amp; Accessories &gt; Shoe Care</t>
  </si>
  <si>
    <t>https://www.staples.com/Shoe-Care/cat_CL204514</t>
  </si>
  <si>
    <t>Women's Accessories</t>
  </si>
  <si>
    <t>Women's Socks &amp; Tights</t>
  </si>
  <si>
    <t>CL214045</t>
  </si>
  <si>
    <t>Expanded Assortment &gt; Clothing, Shoes &amp; Accessories &gt; Women's Accessories &gt; Women's Socks &amp; Tights</t>
  </si>
  <si>
    <t>https://www.staples.com/Women-s-Socks-Tights/cat_CL214045</t>
  </si>
  <si>
    <t>CG3172</t>
  </si>
  <si>
    <t>Expanded Assortment &gt; Fitness</t>
  </si>
  <si>
    <t>https://www.staples.com/Health-Fitness/cat_CG3172</t>
  </si>
  <si>
    <t>Paint &amp; Paint Supplies</t>
  </si>
  <si>
    <t>Paint Brushes</t>
  </si>
  <si>
    <t>CL167169</t>
  </si>
  <si>
    <t>Expanded Assortment &gt; Paint &amp; Paint Supplies &gt; Paint Brushes</t>
  </si>
  <si>
    <t>https://www.staples.com/Paint-Brushes/cat_CL167169</t>
  </si>
  <si>
    <t>Paint Rollers</t>
  </si>
  <si>
    <t>CL167170</t>
  </si>
  <si>
    <t>Expanded Assortment &gt; Paint &amp; Paint Supplies &gt; Paint Rollers</t>
  </si>
  <si>
    <t>https://www.staples.com/Paint-Rollers/cat_CL167170</t>
  </si>
  <si>
    <t>Paint Trays &amp; Liners</t>
  </si>
  <si>
    <t>CL167171</t>
  </si>
  <si>
    <t>Expanded Assortment &gt; Paint &amp; Paint Supplies &gt; Paint Trays &amp; Liners</t>
  </si>
  <si>
    <t>https://www.staples.com/Paint-Trays-Liners/cat_CL167171</t>
  </si>
  <si>
    <t>Personal Care &amp; Eyewear</t>
  </si>
  <si>
    <t>Electric Shavers</t>
  </si>
  <si>
    <t>CL166387</t>
  </si>
  <si>
    <t>Expanded Assortment &gt; Personal Care &amp; Eyewear &gt; Electric Shavers</t>
  </si>
  <si>
    <t>https://www.staples.com/Electric-Shavers/cat_CL166387</t>
  </si>
  <si>
    <t>Toothpaste</t>
  </si>
  <si>
    <t>CL168366</t>
  </si>
  <si>
    <t>Expanded Assortment &gt; Personal Care &amp; Eyewear &gt; Toothpaste</t>
  </si>
  <si>
    <t>https://www.staples.com/Toothpaste/cat_CL168366</t>
  </si>
  <si>
    <t>Pet Supplies &amp; Accessories</t>
  </si>
  <si>
    <t>Bird Supplies</t>
  </si>
  <si>
    <t>Bird Food, Treats and Healthcare</t>
  </si>
  <si>
    <t>CL350257</t>
  </si>
  <si>
    <t>Expanded Assortment &gt; Pet Supplies &amp; Accessories &gt; Bird Supplies &gt; Bird Food, Treats and Healthcare</t>
  </si>
  <si>
    <t>https://www.staples.com/Bird-Food-Treats-and-Healthcare/cat_CL350257</t>
  </si>
  <si>
    <t>Adhesives, Sealants and Patching</t>
  </si>
  <si>
    <t>Adhesives</t>
  </si>
  <si>
    <t>Commercial Adhesives</t>
  </si>
  <si>
    <t>CL350535</t>
  </si>
  <si>
    <t>Facilities &gt; Adhesives, Sealants and Patching &gt; Adhesives &gt; Commercial Adhesives</t>
  </si>
  <si>
    <t>https://www.staples.com/Commercial-Adhesives/cat_CL350535</t>
  </si>
  <si>
    <t>Sealants &amp; Caulking</t>
  </si>
  <si>
    <t>CL167177</t>
  </si>
  <si>
    <t>Facilities &gt; Adhesives, Sealants and Patching &gt; Adhesives &gt; Sealants &amp; Caulking</t>
  </si>
  <si>
    <t>https://www.staples.com/Sealants-Caulking/cat_CL167177</t>
  </si>
  <si>
    <t>Concrete &amp; Asphalt Maintenance</t>
  </si>
  <si>
    <t>Cleaners and Sealers</t>
  </si>
  <si>
    <t>CL350515</t>
  </si>
  <si>
    <t>Facilities &gt; Adhesives, Sealants and Patching &gt; Concrete &amp; Asphalt Maintenance &gt; Cleaners and Sealers</t>
  </si>
  <si>
    <t>https://www.staples.com/Cleaners-and-Sealers/cat_CL350515</t>
  </si>
  <si>
    <t>Air Filter Accessories</t>
  </si>
  <si>
    <t>CL350602</t>
  </si>
  <si>
    <t>Facilities &gt; Air Quality &gt; Air Filter Accessories</t>
  </si>
  <si>
    <t>https://www.staples.com/Air-Filter-Accessories/cat_CL350602</t>
  </si>
  <si>
    <t>Air Purifier Filters</t>
  </si>
  <si>
    <t>CL218808</t>
  </si>
  <si>
    <t>Facilities &gt; Air Quality &gt; Air Purifier Filters</t>
  </si>
  <si>
    <t>https://www.staples.com/Air-Purifier-Filters/cat_CL218808</t>
  </si>
  <si>
    <t>https://www.staples.com/Air-Purifiers/cat_CL140858</t>
  </si>
  <si>
    <t>Dehumidifiers</t>
  </si>
  <si>
    <t>CL216587</t>
  </si>
  <si>
    <t>Facilities &gt; Air Quality &gt; Dehumidifiers</t>
  </si>
  <si>
    <t>https://www.staples.com/Dehumidifiers/cat_CL216587</t>
  </si>
  <si>
    <t>Humidifiers</t>
  </si>
  <si>
    <t>CL165542</t>
  </si>
  <si>
    <t>Facilities &gt; Air Quality &gt; Humidifiers</t>
  </si>
  <si>
    <t>https://www.staples.com/Humidifiers/cat_CL165542</t>
  </si>
  <si>
    <t>Pleated Air Filters</t>
  </si>
  <si>
    <t>CL350600</t>
  </si>
  <si>
    <t>Facilities &gt; Air Quality &gt; Pleated Air Filters</t>
  </si>
  <si>
    <t>https://www.staples.com/Pleated-Air-Filters/cat_CL350600</t>
  </si>
  <si>
    <t>Bathroom Fixtures</t>
  </si>
  <si>
    <t>Changing Stations and Accessories</t>
  </si>
  <si>
    <t>CL354500</t>
  </si>
  <si>
    <t>Facilities &gt; Bathroom Fixtures &gt; Changing Stations and Accessories</t>
  </si>
  <si>
    <t>https://www.staples.com/Changing-Stations-and-Accessories/cat_CL354500</t>
  </si>
  <si>
    <t>Facial Tissue Dispensers</t>
  </si>
  <si>
    <t>CL350650</t>
  </si>
  <si>
    <t>Facilities &gt; Bathroom Fixtures &gt; Facial Tissue Dispensers</t>
  </si>
  <si>
    <t>https://www.staples.com/Facial-Tissue-Dispensers/cat_CL350650</t>
  </si>
  <si>
    <t>Hand Dryers</t>
  </si>
  <si>
    <t>CL210355</t>
  </si>
  <si>
    <t>Facilities &gt; Bathroom Fixtures &gt; Hand Dryers</t>
  </si>
  <si>
    <t>https://www.staples.com/Hand-Dryers/cat_CL210355</t>
  </si>
  <si>
    <t>Sanitary Dispensers</t>
  </si>
  <si>
    <t>CL350372</t>
  </si>
  <si>
    <t>Facilities &gt; Bathroom Fixtures &gt; Sanitary Dispensers</t>
  </si>
  <si>
    <t>https://www.staples.com/Sanitary-Dispensers-Receptacles/cat_CL350372</t>
  </si>
  <si>
    <t>Sanitary Receptacles &amp; Accessories</t>
  </si>
  <si>
    <t>CL354861</t>
  </si>
  <si>
    <t>Facilities &gt; Bathroom Fixtures &gt; Sanitary Receptacles &amp; Accessories</t>
  </si>
  <si>
    <t>https://www.staples.com/Sanitary-Receptacles-Accessories/cat_CL354861</t>
  </si>
  <si>
    <t>Toilet Seat Cover Dispensers</t>
  </si>
  <si>
    <t>CL350642</t>
  </si>
  <si>
    <t>Facilities &gt; Bathroom Fixtures &gt; Toilet Seat Cover Dispensers</t>
  </si>
  <si>
    <t>https://www.staples.com/Toilet-Seat-Cover-Dispensers/cat_CL350642</t>
  </si>
  <si>
    <t>Commercial Lighting, Ballasts &amp; Bulbs</t>
  </si>
  <si>
    <t>Ballasts</t>
  </si>
  <si>
    <t>CL220922</t>
  </si>
  <si>
    <t>Facilities &gt; Commercial Lighting, Ballasts &amp; Bulbs &gt; Ballasts</t>
  </si>
  <si>
    <t>https://www.staples.com/Ballasts/cat_CL220922</t>
  </si>
  <si>
    <t>Commercial Lighting</t>
  </si>
  <si>
    <t>CL220923</t>
  </si>
  <si>
    <t>Facilities &gt; Commercial Lighting, Ballasts &amp; Bulbs &gt; Commercial Lighting</t>
  </si>
  <si>
    <t>https://www.staples.com/Commercial-Lighting/cat_CL220923</t>
  </si>
  <si>
    <t>Light Bulbs</t>
  </si>
  <si>
    <t>CL165713</t>
  </si>
  <si>
    <t>Facilities &gt; Commercial Lighting, Ballasts &amp; Bulbs &gt; Light Bulbs</t>
  </si>
  <si>
    <t>https://www.staples.com/Light-Bulbs/cat_CL165713</t>
  </si>
  <si>
    <t>Electrical and Wiring</t>
  </si>
  <si>
    <t>Electrical</t>
  </si>
  <si>
    <t>Plugs and Connectors</t>
  </si>
  <si>
    <t>CL350585</t>
  </si>
  <si>
    <t>Facilities &gt; Electrical and Wiring &gt; Electrical &gt; Plugs and Connectors</t>
  </si>
  <si>
    <t>https://www.staples.com/Plugs-and-Connectors/cat_CL350585</t>
  </si>
  <si>
    <t>Receptacles</t>
  </si>
  <si>
    <t>CL350586</t>
  </si>
  <si>
    <t>Facilities &gt; Electrical and Wiring &gt; Electrical &gt; Receptacles</t>
  </si>
  <si>
    <t>https://www.staples.com/Receptacles/cat_CL350586</t>
  </si>
  <si>
    <t>Switches and Controls</t>
  </si>
  <si>
    <t>CL350590</t>
  </si>
  <si>
    <t>Facilities &gt; Electrical and Wiring &gt; Electrical &gt; Switches and Controls</t>
  </si>
  <si>
    <t>https://www.staples.com/Switches-and-Controls/cat_CL350590</t>
  </si>
  <si>
    <t>Wall Plates</t>
  </si>
  <si>
    <t>CL350587</t>
  </si>
  <si>
    <t>Facilities &gt; Electrical and Wiring &gt; Electrical &gt; Wall Plates</t>
  </si>
  <si>
    <t>https://www.staples.com/Wall-Plates/cat_CL350587</t>
  </si>
  <si>
    <t>Facilities Signs</t>
  </si>
  <si>
    <t>Labor Law Posters</t>
  </si>
  <si>
    <t>CL140895</t>
  </si>
  <si>
    <t>Facilities &gt; Facilities Signs &gt; Labor Law Posters</t>
  </si>
  <si>
    <t>https://www.staples.com/Labor-Law-Posters/cat_CL140895</t>
  </si>
  <si>
    <t>Safety Labels &amp; Tags</t>
  </si>
  <si>
    <t>CL212203</t>
  </si>
  <si>
    <t>Facilities &gt; Facilities Signs &gt; Safety Labels &amp; Tags</t>
  </si>
  <si>
    <t>https://www.staples.com/Safety-Labels-Tags/cat_CL212203</t>
  </si>
  <si>
    <t>Safety Signs</t>
  </si>
  <si>
    <t>CL167011</t>
  </si>
  <si>
    <t>Facilities &gt; Facilities Signs &gt; Safety Signs</t>
  </si>
  <si>
    <t>https://www.staples.com/Safety-Signs/cat_CL167011</t>
  </si>
  <si>
    <t>Flashlights &amp; Lanterns</t>
  </si>
  <si>
    <t>CL167126</t>
  </si>
  <si>
    <t>Facilities &gt; Flashlights &amp; Lanterns</t>
  </si>
  <si>
    <t>https://www.staples.com/Flashlights-Lanterns/cat_CL167126</t>
  </si>
  <si>
    <t>Brooms &amp; Dustpans</t>
  </si>
  <si>
    <t>CL141837</t>
  </si>
  <si>
    <t>Facilities &gt; Floor Mats &amp; Flooring &gt; Brooms &amp; Dustpans</t>
  </si>
  <si>
    <t>https://www.staples.com/Brooms-Dustpans/cat_CL141837</t>
  </si>
  <si>
    <t>https://www.staples.com/Floor-Mats/cat_CL214671</t>
  </si>
  <si>
    <t>Grounds Maintenance</t>
  </si>
  <si>
    <t>Outdoor Tools</t>
  </si>
  <si>
    <t>Lawn &amp; Garden Tools</t>
  </si>
  <si>
    <t>CL213521</t>
  </si>
  <si>
    <t>Facilities &gt; Grounds Maintenance &gt; Outdoor Tools &gt; Lawn &amp; Garden Tools</t>
  </si>
  <si>
    <t>https://www.staples.com/Lawn-Garden-Tools/cat_CL213521</t>
  </si>
  <si>
    <t>Pressure Washers &amp; Accessories</t>
  </si>
  <si>
    <t>CL211529</t>
  </si>
  <si>
    <t>Facilities &gt; Grounds Maintenance &gt; Outdoor Tools &gt; Pressure Washers &amp; Accessories</t>
  </si>
  <si>
    <t>https://www.staples.com/Pressure-Washers-Accessories/cat_CL211529</t>
  </si>
  <si>
    <t>Rakes &amp; Leaf Blowers</t>
  </si>
  <si>
    <t>CL167236</t>
  </si>
  <si>
    <t>Facilities &gt; Grounds Maintenance &gt; Outdoor Tools &gt; Rakes &amp; Leaf Blowers</t>
  </si>
  <si>
    <t>https://www.staples.com/Rakes-Leaf-Blowers/cat_CL167236</t>
  </si>
  <si>
    <t>Snow Removal</t>
  </si>
  <si>
    <t>Salt Spreaders</t>
  </si>
  <si>
    <t>CL354892</t>
  </si>
  <si>
    <t>Facilities &gt; Grounds Maintenance &gt; Snow Removal &gt; Salt Spreaders</t>
  </si>
  <si>
    <t>https://www.staples.com/Salt-Spreaders/cat_CL354892</t>
  </si>
  <si>
    <t>Snow Blowers</t>
  </si>
  <si>
    <t>CL214730</t>
  </si>
  <si>
    <t>Facilities &gt; Grounds Maintenance &gt; Snow Removal &gt; Snow Blowers</t>
  </si>
  <si>
    <t>https://www.staples.com/Snow-Blowers/cat_CL214730</t>
  </si>
  <si>
    <t>Snow Shovels, Pushers &amp; Scrapers</t>
  </si>
  <si>
    <t>CL350605</t>
  </si>
  <si>
    <t>Facilities &gt; Grounds Maintenance &gt; Snow Removal &gt; Snow Shovels, Pushers &amp; Scrapers</t>
  </si>
  <si>
    <t>https://www.staples.com/Snow-Shovels/cat_CL350605</t>
  </si>
  <si>
    <t>Watering Equipment</t>
  </si>
  <si>
    <t>Lawn Sprinklers</t>
  </si>
  <si>
    <t>CL214265</t>
  </si>
  <si>
    <t>Facilities &gt; Grounds Maintenance &gt; Watering Equipment &gt; Lawn Sprinklers</t>
  </si>
  <si>
    <t>https://www.staples.com/Lawn-Sprinklers/cat_CL214265</t>
  </si>
  <si>
    <t>Water Hoses &amp; Accessories</t>
  </si>
  <si>
    <t>CL167134</t>
  </si>
  <si>
    <t>Facilities &gt; Grounds Maintenance &gt; Watering Equipment &gt; Water Hoses &amp; Accessories</t>
  </si>
  <si>
    <t>https://www.staples.com/Water-Hoses-Accessories/cat_CL167134</t>
  </si>
  <si>
    <t>Hand &amp; Power Tools</t>
  </si>
  <si>
    <t>Hand Tools</t>
  </si>
  <si>
    <t>Box Cutters &amp; Utility Knives</t>
  </si>
  <si>
    <t>CL163583</t>
  </si>
  <si>
    <t>Facilities &gt; Hand &amp; Power Tools &gt; Hand Tools &gt; Box Cutters &amp; Utility Knives</t>
  </si>
  <si>
    <t>https://www.staples.com/Box-Cutters-Utility-Knives/cat_CL163583</t>
  </si>
  <si>
    <t>Clamps</t>
  </si>
  <si>
    <t>CL350405</t>
  </si>
  <si>
    <t>Facilities &gt; Hand &amp; Power Tools &gt; Hand Tools &gt; Clamps</t>
  </si>
  <si>
    <t>https://www.staples.com/Clamps/cat_CL350405</t>
  </si>
  <si>
    <t>Crowbars &amp; Pry Bars</t>
  </si>
  <si>
    <t>CL350409</t>
  </si>
  <si>
    <t>Facilities &gt; Hand &amp; Power Tools &gt; Hand Tools &gt; Crowbars &amp; Pry Bars</t>
  </si>
  <si>
    <t>https://www.staples.com/Crowbars-Pry-Bars/cat_CL350409</t>
  </si>
  <si>
    <t>Fastening Tools</t>
  </si>
  <si>
    <t>CL350406</t>
  </si>
  <si>
    <t>Facilities &gt; Hand &amp; Power Tools &gt; Hand Tools &gt; Fastening Tools</t>
  </si>
  <si>
    <t>https://www.staples.com/Fastening-Tools/cat_CL350406</t>
  </si>
  <si>
    <t>Hammers &amp; Striking Tools</t>
  </si>
  <si>
    <t>CL350408</t>
  </si>
  <si>
    <t>Facilities &gt; Hand &amp; Power Tools &gt; Hand Tools &gt; Hammers &amp; Striking Tools</t>
  </si>
  <si>
    <t>https://www.staples.com/Hammers-Striking-Tools/cat_CL350408</t>
  </si>
  <si>
    <t>Hand Saws</t>
  </si>
  <si>
    <t>CL166896</t>
  </si>
  <si>
    <t>Facilities &gt; Hand &amp; Power Tools &gt; Hand Tools &gt; Hand Saws</t>
  </si>
  <si>
    <t>https://www.staples.com/Hand-Saws/cat_CL166896</t>
  </si>
  <si>
    <t>Hand Tool Sets</t>
  </si>
  <si>
    <t>CL350416</t>
  </si>
  <si>
    <t>Facilities &gt; Hand &amp; Power Tools &gt; Hand Tools &gt; Hand Tool Sets</t>
  </si>
  <si>
    <t>https://www.staples.com/Hand-Tool-Sets/cat_CL350416</t>
  </si>
  <si>
    <t>Pliers</t>
  </si>
  <si>
    <t>CL350411</t>
  </si>
  <si>
    <t>Facilities &gt; Hand &amp; Power Tools &gt; Hand Tools &gt; Pliers</t>
  </si>
  <si>
    <t>https://www.staples.com/Pliers/cat_CL350411</t>
  </si>
  <si>
    <t>Screwdrivers &amp; Nutdrivers</t>
  </si>
  <si>
    <t>CL350412</t>
  </si>
  <si>
    <t>Facilities &gt; Hand &amp; Power Tools &gt; Hand Tools &gt; Screwdrivers &amp; Nutdrivers</t>
  </si>
  <si>
    <t>https://www.staples.com/Screwdrivers-Nutdrivers/cat_CL350412</t>
  </si>
  <si>
    <t>Testers &amp; Indicators</t>
  </si>
  <si>
    <t>CL350417</t>
  </si>
  <si>
    <t>Facilities &gt; Hand &amp; Power Tools &gt; Hand Tools &gt; Testers &amp; Indicators</t>
  </si>
  <si>
    <t>https://www.staples.com/Testers-Indicators/cat_CL350417</t>
  </si>
  <si>
    <t>Wrenches</t>
  </si>
  <si>
    <t>CL350413</t>
  </si>
  <si>
    <t>Facilities &gt; Hand &amp; Power Tools &gt; Hand Tools &gt; Wrenches</t>
  </si>
  <si>
    <t>https://www.staples.com/Wrenches/cat_CL350413</t>
  </si>
  <si>
    <t>Measuring &amp; Layout Tools</t>
  </si>
  <si>
    <t>Inspection Mirrors</t>
  </si>
  <si>
    <t>CL350439</t>
  </si>
  <si>
    <t>Facilities &gt; Hand &amp; Power Tools &gt; Measuring &amp; Layout Tools &gt; Inspection Mirrors</t>
  </si>
  <si>
    <t>https://www.staples.com/Inspection-Mirrors/cat_CL350439</t>
  </si>
  <si>
    <t>Levels, Compasses, and Calipers</t>
  </si>
  <si>
    <t>CL350438</t>
  </si>
  <si>
    <t>Facilities &gt; Hand &amp; Power Tools &gt; Measuring &amp; Layout Tools &gt; Levels, Compasses, and Calipers</t>
  </si>
  <si>
    <t>https://www.staples.com/Levels-Compasses-and-Calipers/cat_CL350438</t>
  </si>
  <si>
    <t>Measuring Wheels</t>
  </si>
  <si>
    <t>CL166979</t>
  </si>
  <si>
    <t>Facilities &gt; Hand &amp; Power Tools &gt; Measuring &amp; Layout Tools &gt; Measuring Wheels</t>
  </si>
  <si>
    <t>https://www.staples.com/Measuring-Wheels/cat_CL166979</t>
  </si>
  <si>
    <t>Stud Finders</t>
  </si>
  <si>
    <t>CL350445</t>
  </si>
  <si>
    <t>Facilities &gt; Hand &amp; Power Tools &gt; Measuring &amp; Layout Tools &gt; Stud Finders</t>
  </si>
  <si>
    <t>https://www.staples.com/Stud-Finders/cat_CL350445</t>
  </si>
  <si>
    <t>Tape Measures</t>
  </si>
  <si>
    <t>CL167137</t>
  </si>
  <si>
    <t>Facilities &gt; Hand &amp; Power Tools &gt; Measuring &amp; Layout Tools &gt; Tape Measures</t>
  </si>
  <si>
    <t>https://www.staples.com/Tape-Measures/cat_CL167137</t>
  </si>
  <si>
    <t>Power Tools</t>
  </si>
  <si>
    <t>Cordless Tools &amp; Accessories</t>
  </si>
  <si>
    <t>CL350421</t>
  </si>
  <si>
    <t>Facilities &gt; Hand &amp; Power Tools &gt; Power Tools &gt; Cordless Tools &amp; Accessories</t>
  </si>
  <si>
    <t>https://www.staples.com/Cordless-Tools-Accessories/cat_CL350421</t>
  </si>
  <si>
    <t>Drills</t>
  </si>
  <si>
    <t>CL167243</t>
  </si>
  <si>
    <t>Facilities &gt; Hand &amp; Power Tools &gt; Power Tools &gt; Drills</t>
  </si>
  <si>
    <t>https://www.staples.com/Drills/cat_CL167243</t>
  </si>
  <si>
    <t>Pneumatic Tools</t>
  </si>
  <si>
    <t>CL208103</t>
  </si>
  <si>
    <t>Facilities &gt; Hand &amp; Power Tools &gt; Power Tools &gt; Pneumatic Tools</t>
  </si>
  <si>
    <t>https://www.staples.com/Pneumatic-Tools/cat_CL208103</t>
  </si>
  <si>
    <t>Power Tool Sets</t>
  </si>
  <si>
    <t>CL350418</t>
  </si>
  <si>
    <t>Facilities &gt; Hand &amp; Power Tools &gt; Power Tools &gt; Power Tool Sets</t>
  </si>
  <si>
    <t>https://www.staples.com/Power-Tool-Sets/cat_CL350418</t>
  </si>
  <si>
    <t>Screw Extractors &amp; Sets</t>
  </si>
  <si>
    <t>CL350424</t>
  </si>
  <si>
    <t>Facilities &gt; Hand &amp; Power Tools &gt; Power Tools &gt; Screw Extractors &amp; Sets</t>
  </si>
  <si>
    <t>https://www.staples.com/Screw-Extractors-Sets/cat_CL350424</t>
  </si>
  <si>
    <t>Tool Storage</t>
  </si>
  <si>
    <t>Soft Sided Storage</t>
  </si>
  <si>
    <t>CL167227</t>
  </si>
  <si>
    <t>Facilities &gt; Hand &amp; Power Tools &gt; Tool Storage &gt; Soft Sided Storage</t>
  </si>
  <si>
    <t>https://www.staples.com/Soft-Sided-Storage/cat_CL167227</t>
  </si>
  <si>
    <t>Tool Boxes &amp; Cases</t>
  </si>
  <si>
    <t>CL207849</t>
  </si>
  <si>
    <t>Facilities &gt; Hand &amp; Power Tools &gt; Tool Storage &gt; Tool Boxes &amp; Cases</t>
  </si>
  <si>
    <t>https://www.staples.com/Tool-Boxes-Cases/cat_CL207849</t>
  </si>
  <si>
    <t>Tool Chests &amp; Side Cabinets</t>
  </si>
  <si>
    <t>CL166990</t>
  </si>
  <si>
    <t>Facilities &gt; Hand &amp; Power Tools &gt; Tool Storage &gt; Tool Chests &amp; Side Cabinets</t>
  </si>
  <si>
    <t>https://www.staples.com/Tool-Chests-Side-Cabinets/cat_CL166990</t>
  </si>
  <si>
    <t>Hardware</t>
  </si>
  <si>
    <t>Ceiling</t>
  </si>
  <si>
    <t>Ceiling Tiles</t>
  </si>
  <si>
    <t>CL350375</t>
  </si>
  <si>
    <t>Facilities &gt; Hardware &gt; Ceiling &gt; Ceiling Tiles</t>
  </si>
  <si>
    <t>https://www.staples.com/Ceiling-Tiles/cat_CL350375</t>
  </si>
  <si>
    <t>Chain, Rope &amp; Tie Downs</t>
  </si>
  <si>
    <t>Chain Accessories</t>
  </si>
  <si>
    <t>CL350705</t>
  </si>
  <si>
    <t>Facilities &gt; Hardware &gt; Chain, Rope &amp; Tie Downs &gt; Chain Accessories</t>
  </si>
  <si>
    <t>https://www.staples.com/Chain-Accessories/cat_CL350705</t>
  </si>
  <si>
    <t>Chains</t>
  </si>
  <si>
    <t>CL167068</t>
  </si>
  <si>
    <t>Facilities &gt; Hardware &gt; Chain, Rope &amp; Tie Downs &gt; Chains</t>
  </si>
  <si>
    <t>https://www.staples.com/Chains/cat_CL167068</t>
  </si>
  <si>
    <t>Straps &amp; Bungee Cords</t>
  </si>
  <si>
    <t>CL167076</t>
  </si>
  <si>
    <t>Facilities &gt; Hardware &gt; Chain, Rope &amp; Tie Downs &gt; Straps &amp; Bungee Cords</t>
  </si>
  <si>
    <t>https://www.staples.com/Straps-Bungee-Cords/cat_CL167076</t>
  </si>
  <si>
    <t>Door Hardware</t>
  </si>
  <si>
    <t>Commercial Locksets</t>
  </si>
  <si>
    <t>CL350382</t>
  </si>
  <si>
    <t>Facilities &gt; Hardware &gt; Door Hardware &gt; Commercial Locksets</t>
  </si>
  <si>
    <t>https://www.staples.com/Commercial-Locksets/cat_CL350382</t>
  </si>
  <si>
    <t>Door Closers</t>
  </si>
  <si>
    <t>CL350376</t>
  </si>
  <si>
    <t>Facilities &gt; Hardware &gt; Door Hardware &gt; Door Closers</t>
  </si>
  <si>
    <t>https://www.staples.com/Door-Closers/cat_CL350376</t>
  </si>
  <si>
    <t>Door Stops &amp; Bumpers</t>
  </si>
  <si>
    <t>CL140430</t>
  </si>
  <si>
    <t>Facilities &gt; Hardware &gt; Door Hardware &gt; Door Stops &amp; Bumpers</t>
  </si>
  <si>
    <t>https://www.staples.com/Door-Stops-Bumpers/cat_CL140430</t>
  </si>
  <si>
    <t>Push Plates &amp; Pulls</t>
  </si>
  <si>
    <t>CL350385</t>
  </si>
  <si>
    <t>Facilities &gt; Hardware &gt; Door Hardware &gt; Push Plates &amp; Pulls</t>
  </si>
  <si>
    <t>https://www.staples.com/Push-Plates-Pulls/cat_CL350385</t>
  </si>
  <si>
    <t>Wheels &amp; Casters</t>
  </si>
  <si>
    <t>CL167066</t>
  </si>
  <si>
    <t>Facilities &gt; Hardware &gt; Wheels &amp; Casters</t>
  </si>
  <si>
    <t>https://www.staples.com/Wheels-Casters/cat_CL167066</t>
  </si>
  <si>
    <t>Heating &amp; Cooling</t>
  </si>
  <si>
    <t>Air Conditioners</t>
  </si>
  <si>
    <t>CL162664</t>
  </si>
  <si>
    <t>Facilities &gt; Heating &amp; Cooling &gt; Air Conditioners</t>
  </si>
  <si>
    <t>https://www.staples.com/Air-Conditioners/cat_CL162664</t>
  </si>
  <si>
    <t>Bathroom Fans</t>
  </si>
  <si>
    <t>CL212795</t>
  </si>
  <si>
    <t>Facilities &gt; Heating &amp; Cooling &gt; Bathroom Fans</t>
  </si>
  <si>
    <t>https://www.staples.com/Bathroom-Fans/cat_CL212795</t>
  </si>
  <si>
    <t>General Purpose Fans</t>
  </si>
  <si>
    <t>CL80002</t>
  </si>
  <si>
    <t>Facilities &gt; Heating &amp; Cooling &gt; General Purpose Fans</t>
  </si>
  <si>
    <t>https://www.staples.com/General-Purpose-Fans/cat_CL80002</t>
  </si>
  <si>
    <t>Heaters</t>
  </si>
  <si>
    <t>CL80001</t>
  </si>
  <si>
    <t>Facilities &gt; Heating &amp; Cooling &gt; Heaters</t>
  </si>
  <si>
    <t>https://www.staples.com/Heaters/cat_CL80001</t>
  </si>
  <si>
    <t>Industrial Fans</t>
  </si>
  <si>
    <t>CL354480</t>
  </si>
  <si>
    <t>Facilities &gt; Heating &amp; Cooling &gt; Industrial Fans</t>
  </si>
  <si>
    <t>https://www.staples.com/Industrial-Fans/cat_CL354480</t>
  </si>
  <si>
    <t>Thermostats</t>
  </si>
  <si>
    <t>CL208107</t>
  </si>
  <si>
    <t>Facilities &gt; Heating &amp; Cooling &gt; Thermostats</t>
  </si>
  <si>
    <t>https://www.staples.com/Thermostats/cat_CL208107</t>
  </si>
  <si>
    <t>Ladders &amp; Step Stools</t>
  </si>
  <si>
    <t>CL142174</t>
  </si>
  <si>
    <t>Facilities &gt; Ladders &amp; Step Stools</t>
  </si>
  <si>
    <t>https://www.staples.com/Ladders-Step-Stools/cat_CL142174</t>
  </si>
  <si>
    <t>Locks &amp; Key Control</t>
  </si>
  <si>
    <t>Key Control</t>
  </si>
  <si>
    <t>CL142191</t>
  </si>
  <si>
    <t>Facilities &gt; Locks &amp; Key Control &gt; Key Control</t>
  </si>
  <si>
    <t>https://www.staples.com/Key-Control/cat_CL142191</t>
  </si>
  <si>
    <t>Locking Systems</t>
  </si>
  <si>
    <t>CL208124</t>
  </si>
  <si>
    <t>Facilities &gt; Locks &amp; Key Control &gt; Locking Systems</t>
  </si>
  <si>
    <t>https://www.staples.com/Locking-Systems/cat_CL208124</t>
  </si>
  <si>
    <t>Lockout Devices</t>
  </si>
  <si>
    <t>CL169137</t>
  </si>
  <si>
    <t>Facilities &gt; Locks &amp; Key Control &gt; Lockout Devices</t>
  </si>
  <si>
    <t>https://www.staples.com/Lockout-Devices/cat_CL169137</t>
  </si>
  <si>
    <t>Padlocks</t>
  </si>
  <si>
    <t>CL167001</t>
  </si>
  <si>
    <t>Facilities &gt; Locks &amp; Key Control &gt; Padlocks</t>
  </si>
  <si>
    <t>https://www.staples.com/Padlocks/cat_CL167001</t>
  </si>
  <si>
    <t>Material Handling</t>
  </si>
  <si>
    <t>Hand Trucks &amp; Dollies</t>
  </si>
  <si>
    <t>CL167060</t>
  </si>
  <si>
    <t>Facilities &gt; Material Handling &gt; Hand Trucks &amp; Dollies</t>
  </si>
  <si>
    <t>https://www.staples.com/Hand-Trucks-Dollies/cat_CL167060</t>
  </si>
  <si>
    <t>Paint Supplies</t>
  </si>
  <si>
    <t>Interior Paint</t>
  </si>
  <si>
    <t>CL350500</t>
  </si>
  <si>
    <t>Facilities &gt; Paint Supplies &gt; Paint &gt; Interior Paint</t>
  </si>
  <si>
    <t>https://www.staples.com/Interior-Paint/cat_CL350500</t>
  </si>
  <si>
    <t>Spray Paint</t>
  </si>
  <si>
    <t>CL350499</t>
  </si>
  <si>
    <t>Facilities &gt; Paint Supplies &gt; Paint &gt; Spray Paint</t>
  </si>
  <si>
    <t>https://www.staples.com/Spray-Paint/cat_CL350499</t>
  </si>
  <si>
    <t>Paint Accessories</t>
  </si>
  <si>
    <t>Extension Poles</t>
  </si>
  <si>
    <t>CL350505</t>
  </si>
  <si>
    <t>Facilities &gt; Paint Supplies &gt; Paint Accessories &gt; Extension Poles</t>
  </si>
  <si>
    <t>https://www.staples.com/Extension-Poles/cat_CL350505</t>
  </si>
  <si>
    <t>CL350495</t>
  </si>
  <si>
    <t>Facilities &gt; Paint Supplies &gt; Paint Accessories &gt; Paint Brushes</t>
  </si>
  <si>
    <t>https://www.staples.com/Paint-Brushes/cat_CL350495</t>
  </si>
  <si>
    <t>Paint Buckets</t>
  </si>
  <si>
    <t>CL350491</t>
  </si>
  <si>
    <t>Facilities &gt; Paint Supplies &gt; Paint Accessories &gt; Paint Buckets</t>
  </si>
  <si>
    <t>https://www.staples.com/Paint-Buckets/cat_CL350491</t>
  </si>
  <si>
    <t>Paint Trays</t>
  </si>
  <si>
    <t>CL350492</t>
  </si>
  <si>
    <t>Facilities &gt; Paint Supplies &gt; Paint Accessories &gt; Paint Trays</t>
  </si>
  <si>
    <t>https://www.staples.com/Paint-Trays/cat_CL350492</t>
  </si>
  <si>
    <t>Roller Covers</t>
  </si>
  <si>
    <t>CL350490</t>
  </si>
  <si>
    <t>Facilities &gt; Paint Supplies &gt; Paint Accessories &gt; Roller Covers</t>
  </si>
  <si>
    <t>https://www.staples.com/Roller-Covers/cat_CL350490</t>
  </si>
  <si>
    <t>Plumbing</t>
  </si>
  <si>
    <t>Bathroom Hardware</t>
  </si>
  <si>
    <t>Bathroom Safety Hardware</t>
  </si>
  <si>
    <t>CL350341</t>
  </si>
  <si>
    <t>Facilities &gt; Plumbing &gt; Bathroom Hardware &gt; Bathroom Safety Hardware</t>
  </si>
  <si>
    <t>https://www.staples.com/Bathroom-Safety-Hardware/cat_CL350341</t>
  </si>
  <si>
    <t>Drains</t>
  </si>
  <si>
    <t>CL350345</t>
  </si>
  <si>
    <t>Facilities &gt; Plumbing &gt; Bathroom Hardware &gt; Drains</t>
  </si>
  <si>
    <t>https://www.staples.com/Drains/cat_CL350345</t>
  </si>
  <si>
    <t>Drinking Fountain Repair &amp; Accessories</t>
  </si>
  <si>
    <t>CL350352</t>
  </si>
  <si>
    <t>Facilities &gt; Plumbing &gt; Drinking Fountain Repair &amp; Accessories</t>
  </si>
  <si>
    <t>https://www.staples.com/Drinking-Fountain-Repair-Accessories/cat_CL350352</t>
  </si>
  <si>
    <t>Drinking Fountains</t>
  </si>
  <si>
    <t>CL350353</t>
  </si>
  <si>
    <t>Facilities &gt; Plumbing &gt; Drinking Fountains</t>
  </si>
  <si>
    <t>https://www.staples.com/Drinking-Fountains/cat_CL350353</t>
  </si>
  <si>
    <t>Faucet Repair Parts</t>
  </si>
  <si>
    <t>CL350343</t>
  </si>
  <si>
    <t>Facilities &gt; Plumbing &gt; Faucet Repair Parts</t>
  </si>
  <si>
    <t>https://www.staples.com/Faucet-Repair-Parts/cat_CL350343</t>
  </si>
  <si>
    <t>Faucets</t>
  </si>
  <si>
    <t>CL350346</t>
  </si>
  <si>
    <t>Facilities &gt; Plumbing &gt; Faucets</t>
  </si>
  <si>
    <t>https://www.staples.com/Faucets/cat_CL350346</t>
  </si>
  <si>
    <t>Sink Repair Parts</t>
  </si>
  <si>
    <t>CL350347</t>
  </si>
  <si>
    <t>Facilities &gt; Plumbing &gt; Sink Repair Parts</t>
  </si>
  <si>
    <t>https://www.staples.com/Sink-Repair-Parts/cat_CL350347</t>
  </si>
  <si>
    <t>Sinks</t>
  </si>
  <si>
    <t>CL350344</t>
  </si>
  <si>
    <t>Facilities &gt; Plumbing &gt; Sinks</t>
  </si>
  <si>
    <t>https://www.staples.com/Sinks/cat_CL350344</t>
  </si>
  <si>
    <t>Toilets and Urinals</t>
  </si>
  <si>
    <t>Flush Valves</t>
  </si>
  <si>
    <t>CL350465</t>
  </si>
  <si>
    <t>Facilities &gt; Plumbing &gt; Toilets and Urinals &gt; Flush Valves</t>
  </si>
  <si>
    <t>https://www.staples.com/Flush-Valves/cat_CL350465</t>
  </si>
  <si>
    <t>Toilet &amp; Urinal Repair Parts</t>
  </si>
  <si>
    <t>CL350350</t>
  </si>
  <si>
    <t>Facilities &gt; Plumbing &gt; Toilets and Urinals &gt; Toilet &amp; Urinal Repair Parts</t>
  </si>
  <si>
    <t>https://www.staples.com/Toilet-Urinal-Repair-Parts/cat_CL350350</t>
  </si>
  <si>
    <t>Toilet Seats</t>
  </si>
  <si>
    <t>CL350395</t>
  </si>
  <si>
    <t>Facilities &gt; Plumbing &gt; Toilets and Urinals &gt; Toilet Seats</t>
  </si>
  <si>
    <t>https://www.staples.com/Toilet-Seats/cat_CL350395</t>
  </si>
  <si>
    <t>Toilets</t>
  </si>
  <si>
    <t>CL350351</t>
  </si>
  <si>
    <t>Facilities &gt; Plumbing &gt; Toilets and Urinals &gt; Toilets</t>
  </si>
  <si>
    <t>https://www.staples.com/Toilets/cat_CL350351</t>
  </si>
  <si>
    <t>Urinals</t>
  </si>
  <si>
    <t>CL350365</t>
  </si>
  <si>
    <t>Facilities &gt; Plumbing &gt; Toilets and Urinals &gt; Urinals</t>
  </si>
  <si>
    <t>https://www.staples.com/Urinals/cat_CL350365</t>
  </si>
  <si>
    <t>Tubs and Showers</t>
  </si>
  <si>
    <t>Handheld Shower Heads</t>
  </si>
  <si>
    <t>CL168503</t>
  </si>
  <si>
    <t>Facilities &gt; Plumbing &gt; Tubs and Showers &gt; Handheld Shower Heads</t>
  </si>
  <si>
    <t>https://www.staples.com/Handheld-Shower-Heads/cat_CL168503</t>
  </si>
  <si>
    <t>Wall Mounted Shower Heads</t>
  </si>
  <si>
    <t>CL211100</t>
  </si>
  <si>
    <t>Facilities &gt; Plumbing &gt; Tubs and Showers &gt; Wall Mounted Shower Heads</t>
  </si>
  <si>
    <t>https://www.staples.com/Wall-Mounted-Shower-Heads/cat_CL211100</t>
  </si>
  <si>
    <t>Spill Containment &amp; Sorbents</t>
  </si>
  <si>
    <t>CL165294</t>
  </si>
  <si>
    <t>Facilities &gt; Spill Containment &amp; Sorbents</t>
  </si>
  <si>
    <t>https://www.staples.com/Spill-Containment-Sorbents/cat_CL165294</t>
  </si>
  <si>
    <t>Washer &amp; Dryer Accessories</t>
  </si>
  <si>
    <t>CL215641</t>
  </si>
  <si>
    <t>Facilities &gt; Washer &amp; Dryer Accessories</t>
  </si>
  <si>
    <t>https://www.staples.com/Washer-Dryer-Accessories/cat_CL215641</t>
  </si>
  <si>
    <t>Work Lights</t>
  </si>
  <si>
    <t>CL167127</t>
  </si>
  <si>
    <t>Facilities &gt; Work Lights</t>
  </si>
  <si>
    <t>https://www.staples.com/Work-Lights/cat_CL167127</t>
  </si>
  <si>
    <t>https://www.staples.com/Fitness-Machines/cat_CL205616</t>
  </si>
  <si>
    <t>Board Accessories</t>
  </si>
  <si>
    <t>CL142825</t>
  </si>
  <si>
    <t>Furniture &gt; Boards &amp; Easels &gt; Board Accessories</t>
  </si>
  <si>
    <t>https://www.staples.com/Board-Accessories/cat_CL142825</t>
  </si>
  <si>
    <t>Chalkboards</t>
  </si>
  <si>
    <t>CL130202</t>
  </si>
  <si>
    <t>Furniture &gt; Boards &amp; Easels &gt; Chalkboards</t>
  </si>
  <si>
    <t>https://www.staples.com/Chalkboards/cat_CL130202</t>
  </si>
  <si>
    <t>https://www.staples.com/Dry-Erase-Whiteboards/cat_CL166382</t>
  </si>
  <si>
    <t>Easels</t>
  </si>
  <si>
    <t>CL163752</t>
  </si>
  <si>
    <t>Furniture &gt; Boards &amp; Easels &gt; Easels</t>
  </si>
  <si>
    <t>https://www.staples.com/Easels/cat_CL163752</t>
  </si>
  <si>
    <t>Bookcases &amp; Bookshelves</t>
  </si>
  <si>
    <t>CL166206</t>
  </si>
  <si>
    <t>Furniture &gt; Bookcases &amp; Bookshelves</t>
  </si>
  <si>
    <t>https://www.staples.com/Bookcases-Bookshelves/cat_CL166206</t>
  </si>
  <si>
    <t>Carts &amp; Stands</t>
  </si>
  <si>
    <t>CL142173</t>
  </si>
  <si>
    <t>Furniture &gt; Carts &amp; Stands &gt; Carts &amp; Stands</t>
  </si>
  <si>
    <t>https://www.staples.com/Carts-Stands/cat_CL142173</t>
  </si>
  <si>
    <t>TV Stands</t>
  </si>
  <si>
    <t>CL211175</t>
  </si>
  <si>
    <t>Furniture &gt; Carts &amp; Stands &gt; TV Stands</t>
  </si>
  <si>
    <t>https://www.staples.com/TV-Stands/cat_CL211175</t>
  </si>
  <si>
    <t>https://www.staples.com/Chair-Mats/cat_CL70205</t>
  </si>
  <si>
    <t>Big and Tall Chairs</t>
  </si>
  <si>
    <t>CL166254</t>
  </si>
  <si>
    <t>Furniture &gt; Chairs &amp; Seating &gt; Big and Tall Chairs</t>
  </si>
  <si>
    <t>https://www.staples.com/Big-and-Tall-Chairs/cat_CL166254</t>
  </si>
  <si>
    <t>Chair Parts &amp; Accessories</t>
  </si>
  <si>
    <t>CL141955</t>
  </si>
  <si>
    <t>Furniture &gt; Chairs &amp; Seating &gt; Chair Parts &amp; Accessories</t>
  </si>
  <si>
    <t>https://www.staples.com/Chair-Parts-Accessories/cat_CL141955</t>
  </si>
  <si>
    <t>https://www.staples.com/Gaming-Chairs/cat_CL210317</t>
  </si>
  <si>
    <t>https://www.staples.com/Kids-Seating/cat_CL210316</t>
  </si>
  <si>
    <t>https://www.staples.com/Office-Chairs/cat_CL166253</t>
  </si>
  <si>
    <t>Recliners, Gliders &amp; Rockers</t>
  </si>
  <si>
    <t>CL210580</t>
  </si>
  <si>
    <t>Furniture &gt; Chairs &amp; Seating &gt; Recliners, Gliders &amp; Rockers</t>
  </si>
  <si>
    <t>https://www.staples.com/Recliners-Gliders-Rockers/cat_CL210580</t>
  </si>
  <si>
    <t>Sofas, Loveseats &amp; Sectionals</t>
  </si>
  <si>
    <t>CL215551</t>
  </si>
  <si>
    <t>Furniture &gt; Chairs &amp; Seating &gt; Sofas &amp; Benches &gt; Sofas, Loveseats &amp; Sectionals</t>
  </si>
  <si>
    <t>https://www.staples.com/Sofas-Loveseats-Sectionals/cat_CL215551</t>
  </si>
  <si>
    <t>Stacking &amp; Folding Chairs</t>
  </si>
  <si>
    <t>CL166358</t>
  </si>
  <si>
    <t>Furniture &gt; Chairs &amp; Seating &gt; Stacking &amp; Folding Chairs</t>
  </si>
  <si>
    <t>https://www.staples.com/Stacking-Folding-Chairs/cat_CL166358</t>
  </si>
  <si>
    <t>Drafting Chairs &amp; Office Stools</t>
  </si>
  <si>
    <t>CL166357</t>
  </si>
  <si>
    <t>Furniture &gt; Chairs &amp; Seating &gt; Stools &amp; Ottomans &gt; Drafting Chairs &amp; Office Stools</t>
  </si>
  <si>
    <t>https://www.staples.com/Drafting-Chairs-Office-Stools/cat_CL166357</t>
  </si>
  <si>
    <t>Foot Rests</t>
  </si>
  <si>
    <t>CL161892</t>
  </si>
  <si>
    <t>Furniture &gt; Chairs &amp; Seating &gt; Stools &amp; Ottomans &gt; Foot Rests</t>
  </si>
  <si>
    <t>https://www.staples.com/Foot-Rests/cat_CL161892</t>
  </si>
  <si>
    <t>https://www.staples.com/Ottomans/cat_CL161807</t>
  </si>
  <si>
    <t>Cubicle &amp; Panel Workstations</t>
  </si>
  <si>
    <t>CL164285</t>
  </si>
  <si>
    <t>Furniture &gt; Cubicle &amp; Panel Systems &gt; Cubicle &amp; Panel Workstations</t>
  </si>
  <si>
    <t>https://www.staples.com/Cubicle-Panel-Workstations/cat_CL164285</t>
  </si>
  <si>
    <t>Cubicle Accessories &amp; Hardware</t>
  </si>
  <si>
    <t>CL163735</t>
  </si>
  <si>
    <t>Furniture &gt; Cubicle &amp; Panel Systems &gt; Cubicle Accessories &amp; Hardware</t>
  </si>
  <si>
    <t>https://www.staples.com/Cubicle-Accessories-Hardware/cat_CL163735</t>
  </si>
  <si>
    <t>https://www.staples.com/Desktop-Privacy-Panels/cat_CL166381</t>
  </si>
  <si>
    <t>https://www.staples.com/Office-Partitions-Dividers/cat_CL70600</t>
  </si>
  <si>
    <t>Privacy Booths</t>
  </si>
  <si>
    <t>CL354786</t>
  </si>
  <si>
    <t>Furniture &gt; Cubicle &amp; Panel Systems &gt; Privacy Booths</t>
  </si>
  <si>
    <t>https://www.staples.com/Privacy-Booths/cat_CL354786</t>
  </si>
  <si>
    <t>Daycare &amp; Nursery</t>
  </si>
  <si>
    <t>Daycare &amp; Nursery Supplies</t>
  </si>
  <si>
    <t>CL210263</t>
  </si>
  <si>
    <t>Furniture &gt; Daycare &amp; Nursery &gt; Daycare &amp; Nursery Supplies</t>
  </si>
  <si>
    <t>https://www.staples.com/Daycare-Nursery-Supplies/cat_CL210263</t>
  </si>
  <si>
    <t>Nursery Furniture</t>
  </si>
  <si>
    <t>CL210257</t>
  </si>
  <si>
    <t>Furniture &gt; Daycare &amp; Nursery &gt; Nursery Furniture</t>
  </si>
  <si>
    <t>https://www.staples.com/Nursery-Furniture/cat_CL210257</t>
  </si>
  <si>
    <t>Play &amp; Rest Mats</t>
  </si>
  <si>
    <t>CL219723</t>
  </si>
  <si>
    <t>Furniture &gt; Daycare &amp; Nursery &gt; Play &amp; Rest Mats</t>
  </si>
  <si>
    <t>https://www.staples.com/Rest-Mats/cat_CL219723</t>
  </si>
  <si>
    <t>Artificial Flowers</t>
  </si>
  <si>
    <t>CL355078</t>
  </si>
  <si>
    <t>Furniture &gt; Decor &gt; Artificial Plants &amp; Flowers &gt; Artificial Flowers</t>
  </si>
  <si>
    <t>https://www.staples.com/Artificial-Flowers/cat_CL355078</t>
  </si>
  <si>
    <t>Artificial Garlands &amp; Swag</t>
  </si>
  <si>
    <t>CL355089</t>
  </si>
  <si>
    <t>Furniture &gt; Decor &gt; Artificial Plants &amp; Flowers &gt; Artificial Garlands &amp; Swag</t>
  </si>
  <si>
    <t>https://www.staples.com/Artificial-Garlands-Swag/cat_CL355089</t>
  </si>
  <si>
    <t>Artificial Trees</t>
  </si>
  <si>
    <t>CL162194</t>
  </si>
  <si>
    <t>Furniture &gt; Decor &gt; Artificial Plants &amp; Flowers &gt; Artificial Trees</t>
  </si>
  <si>
    <t>https://www.staples.com/Artificial-Plants-Flowers/cat_CL162194</t>
  </si>
  <si>
    <t>Artificial Wreathes</t>
  </si>
  <si>
    <t>CL355091</t>
  </si>
  <si>
    <t>Furniture &gt; Decor &gt; Artificial Plants &amp; Flowers &gt; Artificial Wreathes</t>
  </si>
  <si>
    <t>https://www.staples.com/Artificial-Wreathes/cat_CL355091</t>
  </si>
  <si>
    <t>Bath &amp; Shower Accessories</t>
  </si>
  <si>
    <t>CL213825</t>
  </si>
  <si>
    <t>Furniture &gt; Decor &gt; Bath &amp; Shower Accessories</t>
  </si>
  <si>
    <t>https://www.staples.com/Bath-Shower-Accessories/cat_CL213825</t>
  </si>
  <si>
    <t>Bath Mats &amp; Towels</t>
  </si>
  <si>
    <t>CL353955</t>
  </si>
  <si>
    <t>Furniture &gt; Decor &gt; Bath Mats &amp; Towels</t>
  </si>
  <si>
    <t>https://www.staples.com/Bath-Mats-Towels/cat_CL353955</t>
  </si>
  <si>
    <t>Beds &amp; Bedding</t>
  </si>
  <si>
    <t>Bedding</t>
  </si>
  <si>
    <t>CL219748</t>
  </si>
  <si>
    <t>Furniture &gt; Decor &gt; Beds &amp; Bedding &gt; Bedding</t>
  </si>
  <si>
    <t>https://www.staples.com/Bedding/cat_CL219748</t>
  </si>
  <si>
    <t>Beds &amp; Mattresses</t>
  </si>
  <si>
    <t>CL219747</t>
  </si>
  <si>
    <t>Furniture &gt; Decor &gt; Beds &amp; Bedding &gt; Beds &amp; Mattresses</t>
  </si>
  <si>
    <t>https://www.staples.com/Beds-Mattresses/cat_CL219747</t>
  </si>
  <si>
    <t>Blankets &amp; Throws</t>
  </si>
  <si>
    <t>CL168612</t>
  </si>
  <si>
    <t>Furniture &gt; Decor &gt; Beds &amp; Bedding &gt; Blankets &amp; Throws</t>
  </si>
  <si>
    <t>https://www.staples.com/Blankets-Throws/cat_CL168612</t>
  </si>
  <si>
    <t>Headboards</t>
  </si>
  <si>
    <t>CL218878</t>
  </si>
  <si>
    <t>Furniture &gt; Decor &gt; Beds &amp; Bedding &gt; Headboards</t>
  </si>
  <si>
    <t>https://www.staples.com/Headboards/cat_CL218878</t>
  </si>
  <si>
    <t>Mattress Pads &amp; Toppers</t>
  </si>
  <si>
    <t>CL219746</t>
  </si>
  <si>
    <t>Furniture &gt; Decor &gt; Beds &amp; Bedding &gt; Mattress Pads &amp; Toppers</t>
  </si>
  <si>
    <t>https://www.staples.com/Mattress-Pads-Toppers/cat_CL219746</t>
  </si>
  <si>
    <t>Pillows</t>
  </si>
  <si>
    <t>CL212175</t>
  </si>
  <si>
    <t>Furniture &gt; Decor &gt; Beds &amp; Bedding &gt; Pillows</t>
  </si>
  <si>
    <t>https://www.staples.com/Accent-Pillows/cat_CL212175</t>
  </si>
  <si>
    <t>Candles</t>
  </si>
  <si>
    <t>CL354882</t>
  </si>
  <si>
    <t>Furniture &gt; Decor &gt; Candles</t>
  </si>
  <si>
    <t>https://www.staples.com/Candles/cat_CL354882</t>
  </si>
  <si>
    <t>https://www.staples.com/Clocks-Timers/cat_CL161533</t>
  </si>
  <si>
    <t>Curtains, Blinds &amp; Shades</t>
  </si>
  <si>
    <t>CL211408</t>
  </si>
  <si>
    <t>Furniture &gt; Decor &gt; Curtains, Blinds &amp; Shades</t>
  </si>
  <si>
    <t>https://www.staples.com/Curtains-Blinds-Shades/cat_CL211408</t>
  </si>
  <si>
    <t>Decorative Accents</t>
  </si>
  <si>
    <t>CL166251</t>
  </si>
  <si>
    <t>Furniture &gt; Decor &gt; Decorative Accents</t>
  </si>
  <si>
    <t>https://www.staples.com/Decorative-Accents/cat_CL166251</t>
  </si>
  <si>
    <t>https://www.staples.com/Oils-Diffusers/cat_CL354884</t>
  </si>
  <si>
    <t>Home &amp; Office Decor</t>
  </si>
  <si>
    <t>Accent Furniture</t>
  </si>
  <si>
    <t>CL158888</t>
  </si>
  <si>
    <t>Furniture &gt; Decor &gt; Home &amp; Office Decor &gt; Accent Furniture</t>
  </si>
  <si>
    <t>https://www.staples.com/Accent-Furniture/cat_CL158888</t>
  </si>
  <si>
    <t>Accent Room Dividers</t>
  </si>
  <si>
    <t>CL212614</t>
  </si>
  <si>
    <t>Furniture &gt; Decor &gt; Home &amp; Office Decor &gt; Accent Room Dividers</t>
  </si>
  <si>
    <t>https://www.staples.com/Accent-Room-Dividers/cat_CL212614</t>
  </si>
  <si>
    <t>Decorative Baskets, Bowls and Boxes</t>
  </si>
  <si>
    <t>CL212444</t>
  </si>
  <si>
    <t>Furniture &gt; Decor &gt; Home &amp; Office Decor &gt; Decorative Baskets, Bowls and Boxes</t>
  </si>
  <si>
    <t>https://www.staples.com/Decorative-Baskets-Bowls-and-Boxes/cat_CL212444</t>
  </si>
  <si>
    <t>Home &amp; Office Bars</t>
  </si>
  <si>
    <t>CL211051</t>
  </si>
  <si>
    <t>Furniture &gt; Decor &gt; Home &amp; Office Decor &gt; Home &amp; Office Bars</t>
  </si>
  <si>
    <t>https://www.staples.com/Home-Office-Bars/cat_CL211051</t>
  </si>
  <si>
    <t>Home Accents</t>
  </si>
  <si>
    <t>CL213668</t>
  </si>
  <si>
    <t>Furniture &gt; Decor &gt; Home &amp; Office Decor &gt; Home Accents</t>
  </si>
  <si>
    <t>https://www.staples.com/Home-Accents/cat_CL213668</t>
  </si>
  <si>
    <t>Indoor Fireplaces</t>
  </si>
  <si>
    <t>CL163883</t>
  </si>
  <si>
    <t>Furniture &gt; Decor &gt; Home &amp; Office Decor &gt; Indoor Fireplaces</t>
  </si>
  <si>
    <t>https://www.staples.com/Indoor-Fireplaces/cat_CL163883</t>
  </si>
  <si>
    <t>Mirrors</t>
  </si>
  <si>
    <t>CL163751</t>
  </si>
  <si>
    <t>Furniture &gt; Decor &gt; Mirrors</t>
  </si>
  <si>
    <t>https://www.staples.com/Mirrors/cat_CL163751</t>
  </si>
  <si>
    <t>Seasonal Decor</t>
  </si>
  <si>
    <t>Figurines &amp; Tabletop Decor</t>
  </si>
  <si>
    <t>CL355100</t>
  </si>
  <si>
    <t>Furniture &gt; Decor &gt; Seasonal Decor &gt; Figurines &amp; Tabletop Decor</t>
  </si>
  <si>
    <t>https://www.staples.com/Figurines-Tabletop-Decor/cat_CL355100</t>
  </si>
  <si>
    <t>Holiday Lighting</t>
  </si>
  <si>
    <t>CL355103</t>
  </si>
  <si>
    <t>Furniture &gt; Decor &gt; Seasonal Decor &gt; Holiday Lighting</t>
  </si>
  <si>
    <t>https://www.staples.com/Holiday-Lighting/cat_CL355103</t>
  </si>
  <si>
    <t>Inflatables</t>
  </si>
  <si>
    <t>CL355095</t>
  </si>
  <si>
    <t>Furniture &gt; Decor &gt; Seasonal Decor &gt; Inflatables</t>
  </si>
  <si>
    <t>https://www.staples.com/Inflatables/cat_CL355095</t>
  </si>
  <si>
    <t>Ornaments &amp; Tree Decor</t>
  </si>
  <si>
    <t>CL355097</t>
  </si>
  <si>
    <t>Furniture &gt; Decor &gt; Seasonal Decor &gt; Ornaments &amp; Tree Decor</t>
  </si>
  <si>
    <t>https://www.staples.com/Ornaments-Tree-Decor/cat_CL355097</t>
  </si>
  <si>
    <t>Standing Decor</t>
  </si>
  <si>
    <t>CL355099</t>
  </si>
  <si>
    <t>Furniture &gt; Decor &gt; Seasonal Decor &gt; Standing Decor</t>
  </si>
  <si>
    <t>https://www.staples.com/Standing-Decor/cat_CL355099</t>
  </si>
  <si>
    <t>Window &amp; Wall Decor &amp; Signs</t>
  </si>
  <si>
    <t>CL355105</t>
  </si>
  <si>
    <t>Furniture &gt; Decor &gt; Seasonal Decor &gt; Window &amp; Wall Decor &amp; Signs</t>
  </si>
  <si>
    <t>https://www.staples.com/Window-Wall-Decor-Signs/cat_CL355105</t>
  </si>
  <si>
    <t>Shower Curtains &amp; Accessories</t>
  </si>
  <si>
    <t>CL211579</t>
  </si>
  <si>
    <t>Furniture &gt; Decor &gt; Shower Curtains &amp; Accessories</t>
  </si>
  <si>
    <t>https://www.staples.com/Shower-Curtains-Accessories/cat_CL211579</t>
  </si>
  <si>
    <t>Wall Art</t>
  </si>
  <si>
    <t>Abstract Art</t>
  </si>
  <si>
    <t>CL204435</t>
  </si>
  <si>
    <t>Furniture &gt; Decor &gt; Wall Art &gt; Abstract Art</t>
  </si>
  <si>
    <t>https://www.staples.com/Abstract-Art/cat_CL204435</t>
  </si>
  <si>
    <t>Animal Art</t>
  </si>
  <si>
    <t>CL205300</t>
  </si>
  <si>
    <t>Furniture &gt; Decor &gt; Wall Art &gt; Animal Art</t>
  </si>
  <si>
    <t>https://www.staples.com/Animal-Art/cat_CL205300</t>
  </si>
  <si>
    <t>Art by Famous Artists</t>
  </si>
  <si>
    <t>CL205316</t>
  </si>
  <si>
    <t>Furniture &gt; Decor &gt; Wall Art &gt; Art by Famous Artists</t>
  </si>
  <si>
    <t>https://www.staples.com/Art-by-Famous-Artists/cat_CL205316</t>
  </si>
  <si>
    <t>Automotive &amp; Car Art</t>
  </si>
  <si>
    <t>CL205301</t>
  </si>
  <si>
    <t>Furniture &gt; Decor &gt; Wall Art &gt; Automotive &amp; Car Art</t>
  </si>
  <si>
    <t>https://www.staples.com/Automotive-Car-Art/cat_CL205301</t>
  </si>
  <si>
    <t>Contemporary Art</t>
  </si>
  <si>
    <t>CL205302</t>
  </si>
  <si>
    <t>Furniture &gt; Decor &gt; Wall Art &gt; Contemporary Art</t>
  </si>
  <si>
    <t>https://www.staples.com/Contemporary-Art/cat_CL205302</t>
  </si>
  <si>
    <t>Floral Art</t>
  </si>
  <si>
    <t>CL168943</t>
  </si>
  <si>
    <t>Furniture &gt; Decor &gt; Wall Art &gt; Floral Art</t>
  </si>
  <si>
    <t>https://www.staples.com/Floral-Art/cat_CL168943</t>
  </si>
  <si>
    <t>Food &amp; Kitchen Art</t>
  </si>
  <si>
    <t>CL205304</t>
  </si>
  <si>
    <t>Furniture &gt; Decor &gt; Wall Art &gt; Food &amp; Kitchen Art</t>
  </si>
  <si>
    <t>https://www.staples.com/Food-Kitchen-Art/cat_CL205304</t>
  </si>
  <si>
    <t>Garden Landscape</t>
  </si>
  <si>
    <t>CL205330</t>
  </si>
  <si>
    <t>Furniture &gt; Decor &gt; Wall Art &gt; Garden Landscape</t>
  </si>
  <si>
    <t>https://www.staples.com/Garden-Landscape/cat_CL205330</t>
  </si>
  <si>
    <t>Kids &amp; Whimsical Art</t>
  </si>
  <si>
    <t>CL205303</t>
  </si>
  <si>
    <t>Furniture &gt; Decor &gt; Wall Art &gt; Kids &amp; Whimsical Art</t>
  </si>
  <si>
    <t>https://www.staples.com/Kids-Whimsical-Art/cat_CL205303</t>
  </si>
  <si>
    <t>Map Art</t>
  </si>
  <si>
    <t>CL168944</t>
  </si>
  <si>
    <t>Furniture &gt; Decor &gt; Wall Art &gt; Map Art</t>
  </si>
  <si>
    <t>https://www.staples.com/Map-Art/cat_CL168944</t>
  </si>
  <si>
    <t>Motivational Art</t>
  </si>
  <si>
    <t>CL204434</t>
  </si>
  <si>
    <t>Furniture &gt; Decor &gt; Wall Art &gt; Motivational Art</t>
  </si>
  <si>
    <t>https://www.staples.com/Motivational-Art/cat_CL204434</t>
  </si>
  <si>
    <t>Music Art</t>
  </si>
  <si>
    <t>CL205305</t>
  </si>
  <si>
    <t>Furniture &gt; Decor &gt; Wall Art &gt; Music Art</t>
  </si>
  <si>
    <t>https://www.staples.com/Music-Art/cat_CL205305</t>
  </si>
  <si>
    <t>Nature Landscape Art</t>
  </si>
  <si>
    <t>CL168941</t>
  </si>
  <si>
    <t>Furniture &gt; Decor &gt; Wall Art &gt; Nature Landscape Art</t>
  </si>
  <si>
    <t>https://www.staples.com/Nature-Landscape-Art/cat_CL168941</t>
  </si>
  <si>
    <t>People &amp; Fashion Art</t>
  </si>
  <si>
    <t>CL205307</t>
  </si>
  <si>
    <t>Furniture &gt; Decor &gt; Wall Art &gt; People &amp; Fashion Art</t>
  </si>
  <si>
    <t>https://www.staples.com/People-Fashion-Art/cat_CL205307</t>
  </si>
  <si>
    <t>Photography</t>
  </si>
  <si>
    <t>CL168942</t>
  </si>
  <si>
    <t>Furniture &gt; Decor &gt; Wall Art &gt; Photography</t>
  </si>
  <si>
    <t>https://www.staples.com/Photography/cat_CL168942</t>
  </si>
  <si>
    <t>Ships &amp; Maritime Art</t>
  </si>
  <si>
    <t>CL205314</t>
  </si>
  <si>
    <t>Furniture &gt; Decor &gt; Wall Art &gt; Ships &amp; Maritime Art</t>
  </si>
  <si>
    <t>https://www.staples.com/Ships-Maritime-Art/cat_CL205314</t>
  </si>
  <si>
    <t>Sports Art</t>
  </si>
  <si>
    <t>CL205308</t>
  </si>
  <si>
    <t>Furniture &gt; Decor &gt; Wall Art &gt; Sports Art</t>
  </si>
  <si>
    <t>https://www.staples.com/Sports-Art/cat_CL205308</t>
  </si>
  <si>
    <t>Still Life</t>
  </si>
  <si>
    <t>CL205309</t>
  </si>
  <si>
    <t>Furniture &gt; Decor &gt; Wall Art &gt; Still Life</t>
  </si>
  <si>
    <t>https://www.staples.com/Still-Life/cat_CL205309</t>
  </si>
  <si>
    <t>Urban Art</t>
  </si>
  <si>
    <t>CL205337</t>
  </si>
  <si>
    <t>Furniture &gt; Decor &gt; Wall Art &gt; Urban Art</t>
  </si>
  <si>
    <t>https://www.staples.com/Urban-Art/cat_CL205337</t>
  </si>
  <si>
    <t>Vintage Art</t>
  </si>
  <si>
    <t>CL205311</t>
  </si>
  <si>
    <t>Furniture &gt; Decor &gt; Wall Art &gt; Vintage Art</t>
  </si>
  <si>
    <t>https://www.staples.com/Vintage-Art/cat_CL205311</t>
  </si>
  <si>
    <t>Wall Art/Decor</t>
  </si>
  <si>
    <t>Furniture &gt; Decor &gt; Wall Art &gt; Wall Art/Decor</t>
  </si>
  <si>
    <t>https://www.staples.com/Wall-Art-Decor/cat_CL140795</t>
  </si>
  <si>
    <t>Wall Decals</t>
  </si>
  <si>
    <t>CL168951</t>
  </si>
  <si>
    <t>Furniture &gt; Decor &gt; Wall Art &gt; Wall Decals</t>
  </si>
  <si>
    <t>https://www.staples.com/Wall-Decals/cat_CL168951</t>
  </si>
  <si>
    <t>Weather Instruments</t>
  </si>
  <si>
    <t>CL166884</t>
  </si>
  <si>
    <t>Furniture &gt; Decor &gt; Weather Instruments</t>
  </si>
  <si>
    <t>https://www.staples.com/Weather-Instruments/cat_CL166884</t>
  </si>
  <si>
    <t>CPU Holders &amp; Mounts</t>
  </si>
  <si>
    <t>CL350755</t>
  </si>
  <si>
    <t>Furniture &gt; Desks &gt; CPU Holders &amp; Mounts</t>
  </si>
  <si>
    <t>https://www.staples.com/CPU-Holders-Mounts/cat_CL350755</t>
  </si>
  <si>
    <t>Desk Components</t>
  </si>
  <si>
    <t>CL353870</t>
  </si>
  <si>
    <t>Furniture &gt; Desks &gt; Desk Components &amp; Hutches &gt; Desk Components</t>
  </si>
  <si>
    <t>https://www.staples.com/Desk-Components/cat_CL353870</t>
  </si>
  <si>
    <t>https://www.staples.com/Hutches/cat_CL353865</t>
  </si>
  <si>
    <t>https://www.staples.com/Sit-Stand-Desks/cat_CL215523</t>
  </si>
  <si>
    <t>File Cabinets</t>
  </si>
  <si>
    <t>CL70401</t>
  </si>
  <si>
    <t>Furniture &gt; File Cabinets</t>
  </si>
  <si>
    <t>https://www.staples.com/File-Cabinets/cat_CL70401</t>
  </si>
  <si>
    <t>Furniture Assembly</t>
  </si>
  <si>
    <t>CL350270</t>
  </si>
  <si>
    <t>Furniture &gt; Furniture Assembly</t>
  </si>
  <si>
    <t>https://www.staples.com/Furniture-Assembly/cat_CL350270</t>
  </si>
  <si>
    <t>https://www.staples.com/Accent-Coffee-Tables/cat_CL161009</t>
  </si>
  <si>
    <t>Breakroom &amp; Dining Tables</t>
  </si>
  <si>
    <t>CL210327</t>
  </si>
  <si>
    <t>Furniture &gt; Home &amp; Office Tables &gt; Breakroom &amp; Dining Tables</t>
  </si>
  <si>
    <t>https://www.staples.com/Breakroom-Dining-Tables/cat_CL210327</t>
  </si>
  <si>
    <t>Classroom &amp; Kids' Tables</t>
  </si>
  <si>
    <t>CL210315</t>
  </si>
  <si>
    <t>Furniture &gt; Home &amp; Office Tables &gt; Classroom &amp; Kids' Tables</t>
  </si>
  <si>
    <t>https://www.staples.com/Classroom-Kids-Tables/cat_CL210315</t>
  </si>
  <si>
    <t>Conference Room Tables</t>
  </si>
  <si>
    <t>CL70700</t>
  </si>
  <si>
    <t>Furniture &gt; Home &amp; Office Tables &gt; Conference Room Tables</t>
  </si>
  <si>
    <t>https://www.staples.com/Conference-Room-Tables/cat_CL70700</t>
  </si>
  <si>
    <t>Folding Tables</t>
  </si>
  <si>
    <t>CL166212</t>
  </si>
  <si>
    <t>Furniture &gt; Home &amp; Office Tables &gt; Folding Tables</t>
  </si>
  <si>
    <t>https://www.staples.com/Folding-Tables/cat_CL166212</t>
  </si>
  <si>
    <t>Specialty &amp; Drafting Tables</t>
  </si>
  <si>
    <t>CL140724</t>
  </si>
  <si>
    <t>Furniture &gt; Home &amp; Office Tables &gt; Specialty &amp; Drafting Tables</t>
  </si>
  <si>
    <t>https://www.staples.com/Specialty-Drafting-Tables/cat_CL140724</t>
  </si>
  <si>
    <t>Table Components</t>
  </si>
  <si>
    <t>Table Bases</t>
  </si>
  <si>
    <t>CL354625</t>
  </si>
  <si>
    <t>Furniture &gt; Home &amp; Office Tables &gt; Table Components &gt; Table Bases</t>
  </si>
  <si>
    <t>https://www.staples.com/Table-Bases/cat_CL354625</t>
  </si>
  <si>
    <t>Table Tops</t>
  </si>
  <si>
    <t>CL210330</t>
  </si>
  <si>
    <t>Furniture &gt; Home &amp; Office Tables &gt; Table Components &gt; Table Tops</t>
  </si>
  <si>
    <t>https://www.staples.com/Table-Tops/cat_CL210330</t>
  </si>
  <si>
    <t>Training Room Tables</t>
  </si>
  <si>
    <t>CL142481</t>
  </si>
  <si>
    <t>Furniture &gt; Home &amp; Office Tables &gt; Training Room Tables</t>
  </si>
  <si>
    <t>https://www.staples.com/Training-Room-Tables/cat_CL142481</t>
  </si>
  <si>
    <t>Accent Lighting</t>
  </si>
  <si>
    <t>CL204474</t>
  </si>
  <si>
    <t>Furniture &gt; Lamps &amp; Lighting &gt; Accent Lighting</t>
  </si>
  <si>
    <t>https://www.staples.com/Accent-Lighting/cat_CL204474</t>
  </si>
  <si>
    <t>Ceiling Lighting</t>
  </si>
  <si>
    <t>CL168234</t>
  </si>
  <si>
    <t>Furniture &gt; Lamps &amp; Lighting &gt; Ceiling Lighting</t>
  </si>
  <si>
    <t>https://www.staples.com/Ceiling-Lighting/cat_CL168234</t>
  </si>
  <si>
    <t>Craft Lighting &amp; Magnifiers</t>
  </si>
  <si>
    <t>CL142806</t>
  </si>
  <si>
    <t>Furniture &gt; Lamps &amp; Lighting &gt; Craft Lighting &amp; Magnifiers</t>
  </si>
  <si>
    <t>https://www.staples.com/Craft-Lighting-Magnifiers/cat_CL142806</t>
  </si>
  <si>
    <t>Lighting Controls, Dimmers &amp; Accessories</t>
  </si>
  <si>
    <t>Lighting Accessories</t>
  </si>
  <si>
    <t>CL212633</t>
  </si>
  <si>
    <t>Furniture &gt; Lamps &amp; Lighting &gt; Lighting Controls, Dimmers &amp; Accessories &gt; Lighting Accessories</t>
  </si>
  <si>
    <t>https://www.staples.com/Lighting-Accessories/cat_CL212633</t>
  </si>
  <si>
    <t>Lighting Controls &amp; Dimmers</t>
  </si>
  <si>
    <t>CL212635</t>
  </si>
  <si>
    <t>Furniture &gt; Lamps &amp; Lighting &gt; Lighting Controls, Dimmers &amp; Accessories &gt; Lighting Controls &amp; Dimmers</t>
  </si>
  <si>
    <t>https://www.staples.com/Lighting-Controls-Dimmers/cat_CL212635</t>
  </si>
  <si>
    <t>Transformers</t>
  </si>
  <si>
    <t>CL212803</t>
  </si>
  <si>
    <t>Furniture &gt; Lamps &amp; Lighting &gt; Lighting Controls, Dimmers &amp; Accessories &gt; Transformers</t>
  </si>
  <si>
    <t>https://www.staples.com/Transformers/cat_CL212803</t>
  </si>
  <si>
    <t>Outdoor Lighting</t>
  </si>
  <si>
    <t>CL204475</t>
  </si>
  <si>
    <t>Furniture &gt; Lamps &amp; Lighting &gt; Outdoor Lighting</t>
  </si>
  <si>
    <t>https://www.staples.com/Outdoor-Lighting/cat_CL204475</t>
  </si>
  <si>
    <t>Specialty Lighting</t>
  </si>
  <si>
    <t>CL213659</t>
  </si>
  <si>
    <t>Furniture &gt; Lamps &amp; Lighting &gt; Specialty Lighting</t>
  </si>
  <si>
    <t>https://www.staples.com/Specialty-Lighting/cat_CL213659</t>
  </si>
  <si>
    <t>Under Cabinet Lighting</t>
  </si>
  <si>
    <t>CL167875</t>
  </si>
  <si>
    <t>Furniture &gt; Lamps &amp; Lighting &gt; Under Cabinet Lighting</t>
  </si>
  <si>
    <t>https://www.staples.com/Under-Cabinet-Lighting/cat_CL167875</t>
  </si>
  <si>
    <t>Wall Lamps</t>
  </si>
  <si>
    <t>CL212637</t>
  </si>
  <si>
    <t>Furniture &gt; Lamps &amp; Lighting &gt; Wall Lamps</t>
  </si>
  <si>
    <t>https://www.staples.com/Wall-Lamps/cat_CL212637</t>
  </si>
  <si>
    <t>Lecterns &amp; PA Systems</t>
  </si>
  <si>
    <t>Lecterns</t>
  </si>
  <si>
    <t>CL216771</t>
  </si>
  <si>
    <t>Furniture &gt; Lecterns &amp; PA Systems &gt; Lecterns</t>
  </si>
  <si>
    <t>https://www.staples.com/Lecterns/cat_CL216771</t>
  </si>
  <si>
    <t>Microphones</t>
  </si>
  <si>
    <t>CL168302</t>
  </si>
  <si>
    <t>Furniture &gt; Lecterns &amp; PA Systems &gt; Microphones</t>
  </si>
  <si>
    <t>https://www.staples.com/Microphones/cat_CL168302</t>
  </si>
  <si>
    <t>PA Systems &amp; Accessories</t>
  </si>
  <si>
    <t>CL140818</t>
  </si>
  <si>
    <t>Furniture &gt; Lecterns &amp; PA Systems &gt; PA Systems &amp; Accessories</t>
  </si>
  <si>
    <t>https://www.staples.com/PA-Systems-Accessories/cat_CL140818</t>
  </si>
  <si>
    <t>Safes &amp; Secure Storage</t>
  </si>
  <si>
    <t>CL158854</t>
  </si>
  <si>
    <t>Furniture &gt; Safes &amp; Secure Storage</t>
  </si>
  <si>
    <t>https://www.staples.com/Safes-Secure-Storage/cat_CL158854</t>
  </si>
  <si>
    <t>School Furniture</t>
  </si>
  <si>
    <t>Classroom Storage Furniture</t>
  </si>
  <si>
    <t>CL350775</t>
  </si>
  <si>
    <t>Furniture &gt; School Furniture &gt; Classroom Storage Furniture</t>
  </si>
  <si>
    <t>https://www.staples.com/Classroom-Storage-Furniture/cat_CL350775</t>
  </si>
  <si>
    <t>Student Desks &amp; Study Carrels</t>
  </si>
  <si>
    <t>CL164560</t>
  </si>
  <si>
    <t>Furniture &gt; School Furniture &gt; Student Desks &amp; Study Carrels</t>
  </si>
  <si>
    <t>https://www.staples.com/Student-Desks-Study-Carrels/cat_CL164560</t>
  </si>
  <si>
    <t>Standing Desk Mats</t>
  </si>
  <si>
    <t>CL354831</t>
  </si>
  <si>
    <t>Furniture &gt; Standing Desk Mats</t>
  </si>
  <si>
    <t>https://www.staples.com/Standing-Desk-Mats/cat_CL354831</t>
  </si>
  <si>
    <t>Clothing Racks &amp; Closet Organization</t>
  </si>
  <si>
    <t>Closet Storage &amp; Organizers</t>
  </si>
  <si>
    <t>CL215220</t>
  </si>
  <si>
    <t>Furniture &gt; Storage Furniture &gt; Clothing Racks &amp; Closet Organization &gt; Closet Storage &amp; Organizers</t>
  </si>
  <si>
    <t>https://www.staples.com/Closet-Storage-Organizers/cat_CL215220</t>
  </si>
  <si>
    <t>Closet Systems</t>
  </si>
  <si>
    <t>CL216882</t>
  </si>
  <si>
    <t>Furniture &gt; Storage Furniture &gt; Clothing Racks &amp; Closet Organization &gt; Closet Systems</t>
  </si>
  <si>
    <t>https://www.staples.com/Closet-Systems/cat_CL216882</t>
  </si>
  <si>
    <t>Clothes Racks &amp; Portable Closets</t>
  </si>
  <si>
    <t>CL168192</t>
  </si>
  <si>
    <t>Furniture &gt; Storage Furniture &gt; Clothing Racks &amp; Closet Organization &gt; Clothes Racks &amp; Portable Closets</t>
  </si>
  <si>
    <t>https://www.staples.com/Clothes-Racks-Portable-Closets/cat_CL168192</t>
  </si>
  <si>
    <t>Shoe Racks</t>
  </si>
  <si>
    <t>CL168194</t>
  </si>
  <si>
    <t>Furniture &gt; Storage Furniture &gt; Clothing Racks &amp; Closet Organization &gt; Shoe Racks</t>
  </si>
  <si>
    <t>https://www.staples.com/Shoe-Racks/cat_CL168194</t>
  </si>
  <si>
    <t>https://www.staples.com/Coat-Trees-Stands-Hooks/cat_CL167079</t>
  </si>
  <si>
    <t>Display Cases</t>
  </si>
  <si>
    <t>CL216699</t>
  </si>
  <si>
    <t>Furniture &gt; Storage Furniture &gt; Display Cases</t>
  </si>
  <si>
    <t>https://www.staples.com/Display-Cases/cat_CL216699</t>
  </si>
  <si>
    <t>Electronics &amp; Computer Storage Units</t>
  </si>
  <si>
    <t>CL204463</t>
  </si>
  <si>
    <t>Furniture &gt; Storage Furniture &gt; Electronics &amp; Computer Storage Units</t>
  </si>
  <si>
    <t>https://www.staples.com/Electronics-Computer-Storage-Units/cat_CL204463</t>
  </si>
  <si>
    <t>Lockers</t>
  </si>
  <si>
    <t>CL350335</t>
  </si>
  <si>
    <t>Furniture &gt; Storage Furniture &gt; Lockers</t>
  </si>
  <si>
    <t>https://www.staples.com/Lockers/cat_CL350335</t>
  </si>
  <si>
    <t>Media Storage Furniture</t>
  </si>
  <si>
    <t>CL160799</t>
  </si>
  <si>
    <t>Furniture &gt; Storage Furniture &gt; Media Storage Furniture</t>
  </si>
  <si>
    <t>https://www.staples.com/Media-Storage-Furniture/cat_CL160799</t>
  </si>
  <si>
    <t>Shelving</t>
  </si>
  <si>
    <t>CL140911</t>
  </si>
  <si>
    <t>Furniture &gt; Storage Furniture &gt; Shelving</t>
  </si>
  <si>
    <t>https://www.staples.com/Shelving/cat_CL140911</t>
  </si>
  <si>
    <t>Storage Cabinets</t>
  </si>
  <si>
    <t>CL140910</t>
  </si>
  <si>
    <t>Furniture &gt; Storage Furniture &gt; Storage Cabinets</t>
  </si>
  <si>
    <t>https://www.staples.com/Storage-Cabinets/cat_CL140910</t>
  </si>
  <si>
    <t>Storage Cubes</t>
  </si>
  <si>
    <t>CL162022</t>
  </si>
  <si>
    <t>Furniture &gt; Storage Furniture &gt; Storage Cubes</t>
  </si>
  <si>
    <t>https://www.staples.com/Storage-Cubes/cat_CL162022</t>
  </si>
  <si>
    <t>Gaming</t>
  </si>
  <si>
    <t>Gaming Accessories</t>
  </si>
  <si>
    <t>CL354794</t>
  </si>
  <si>
    <t>Gaming &gt; Gaming Accessories</t>
  </si>
  <si>
    <t>https://www.staples.com/Gaming-Accessories/cat_CL354794</t>
  </si>
  <si>
    <t>Gaming Consoles</t>
  </si>
  <si>
    <t>CL354791</t>
  </si>
  <si>
    <t>Gaming &gt; Gaming Consoles</t>
  </si>
  <si>
    <t>https://www.staples.com/Gaming-Consoles/cat_CL354791</t>
  </si>
  <si>
    <t>Gaming Controllers</t>
  </si>
  <si>
    <t>CL354796</t>
  </si>
  <si>
    <t>Gaming &gt; Gaming Controllers</t>
  </si>
  <si>
    <t>https://www.staples.com/Gaming-Controllers/cat_CL354796</t>
  </si>
  <si>
    <t>Handheld Consoles</t>
  </si>
  <si>
    <t>CL354793</t>
  </si>
  <si>
    <t>Gaming &gt; Handheld Consoles</t>
  </si>
  <si>
    <t>https://www.staples.com/Handheld-Consoles/cat_CL354793</t>
  </si>
  <si>
    <t>Video Games</t>
  </si>
  <si>
    <t>CL354795</t>
  </si>
  <si>
    <t>Gaming &gt; Video Games</t>
  </si>
  <si>
    <t>https://www.staples.com/Video-Games/cat_CL354795</t>
  </si>
  <si>
    <t>Virtual Reality Headsets</t>
  </si>
  <si>
    <t>CL221129</t>
  </si>
  <si>
    <t>Gaming &gt; Virtual Reality Headsets</t>
  </si>
  <si>
    <t>https://www.staples.com/Virtual-Reality-Headsets/cat_CL221129</t>
  </si>
  <si>
    <t>Gift Cards</t>
  </si>
  <si>
    <t>CL166326</t>
  </si>
  <si>
    <t>Gift Cards &gt; Gift Cards</t>
  </si>
  <si>
    <t>https://www.staples.com/Gift-Cards/cat_CL166326</t>
  </si>
  <si>
    <t>Staples Gift Cards</t>
  </si>
  <si>
    <t>CL166317</t>
  </si>
  <si>
    <t>Gift Cards &gt; Staples Gift Cards</t>
  </si>
  <si>
    <t>https://www.staples.com/Staples-Gift-Cards/cat_CL166317</t>
  </si>
  <si>
    <t>Artificial Christmas Trees</t>
  </si>
  <si>
    <t>CL210913</t>
  </si>
  <si>
    <t>Gift Shop &gt; Artificial Christmas Trees</t>
  </si>
  <si>
    <t>https://www.staples.com/Seasonal-Decor/cat_CL210913</t>
  </si>
  <si>
    <t>Game Room &amp; Toys</t>
  </si>
  <si>
    <t>Game Room</t>
  </si>
  <si>
    <t>Darts &amp; Dart Boards</t>
  </si>
  <si>
    <t>CL211646</t>
  </si>
  <si>
    <t>Gift Shop &gt; Game Room &amp; Toys &gt; Game Room &gt; Darts &amp; Dart Boards</t>
  </si>
  <si>
    <t>https://www.staples.com/Darts-Dart-Boards/cat_CL211646</t>
  </si>
  <si>
    <t>Game Room &amp; Games</t>
  </si>
  <si>
    <t>CL213666</t>
  </si>
  <si>
    <t>Gift Shop &gt; Game Room &amp; Toys &gt; Game Room &gt; Game Room &amp; Games</t>
  </si>
  <si>
    <t>https://www.staples.com/Game-Room-Games/cat_CL213666</t>
  </si>
  <si>
    <t>Gaming Tables &amp; Accessories</t>
  </si>
  <si>
    <t>CL212806</t>
  </si>
  <si>
    <t>Gift Shop &gt; Game Room &amp; Toys &gt; Game Room &gt; Gaming Tables &amp; Accessories</t>
  </si>
  <si>
    <t>https://www.staples.com/Gaming-Tables-Accessories/cat_CL212806</t>
  </si>
  <si>
    <t>Gift Sets, Photo &amp; Custom Gifts</t>
  </si>
  <si>
    <t>Gift Sets</t>
  </si>
  <si>
    <t>CL216974</t>
  </si>
  <si>
    <t>Gift Shop &gt; Gift Sets, Photo &amp; Custom Gifts &gt; Gift Sets</t>
  </si>
  <si>
    <t>https://www.staples.com/Gift-Sets/cat_CL216974</t>
  </si>
  <si>
    <t>Photo Gifts</t>
  </si>
  <si>
    <t>CL168343</t>
  </si>
  <si>
    <t>Gift Shop &gt; Gift Sets, Photo &amp; Custom Gifts &gt; Photo Gifts</t>
  </si>
  <si>
    <t>https://www.staples.com/Photo-Gifts/cat_CL168343</t>
  </si>
  <si>
    <t>Gourmet Gifts</t>
  </si>
  <si>
    <t>CL167909</t>
  </si>
  <si>
    <t>Gift Shop &gt; Gourmet Gifts</t>
  </si>
  <si>
    <t>https://www.staples.com/Gourmet-Gifts/cat_CL167909</t>
  </si>
  <si>
    <t>Greeting Cards</t>
  </si>
  <si>
    <t>CL215596</t>
  </si>
  <si>
    <t>Gift Shop &gt; Greeting Cards</t>
  </si>
  <si>
    <t>https://www.staples.com/Greeting-Cards/cat_CL215596</t>
  </si>
  <si>
    <t>Holiday Cards</t>
  </si>
  <si>
    <t>CL163313</t>
  </si>
  <si>
    <t>Gift Shop &gt; Holiday Cards</t>
  </si>
  <si>
    <t>https://www.staples.com/Holiday-Cards/cat_CL163313</t>
  </si>
  <si>
    <t>Home, Personal &amp; Travel</t>
  </si>
  <si>
    <t>Binoculars, Cameras &amp; Telescopes</t>
  </si>
  <si>
    <t>CL214478</t>
  </si>
  <si>
    <t>Gift Shop &gt; Home, Personal &amp; Travel &gt; Binoculars, Cameras &amp; Telescopes</t>
  </si>
  <si>
    <t>https://www.staples.com/Binoculars-Cameras-Telescopes/cat_CL214478</t>
  </si>
  <si>
    <t>Jewelry Boxes &amp; Cases</t>
  </si>
  <si>
    <t>CL204509</t>
  </si>
  <si>
    <t>Gift Shop &gt; Home, Personal &amp; Travel &gt; Jewelry Boxes &amp; Cases</t>
  </si>
  <si>
    <t>https://www.staples.com/Jewelry-Boxes-Cases/cat_CL204509</t>
  </si>
  <si>
    <t>Key Chains &amp; Rings</t>
  </si>
  <si>
    <t>CL204510</t>
  </si>
  <si>
    <t>Gift Shop &gt; Home, Personal &amp; Travel &gt; Key Chains &amp; Rings</t>
  </si>
  <si>
    <t>https://www.staples.com/Key-Chains-Rings/cat_CL204510</t>
  </si>
  <si>
    <t>Passport Holders</t>
  </si>
  <si>
    <t>CL216984</t>
  </si>
  <si>
    <t>Gift Shop &gt; Home, Personal &amp; Travel &gt; Passport Holders</t>
  </si>
  <si>
    <t>https://www.staples.com/Passport-Holders/cat_CL216984</t>
  </si>
  <si>
    <t>Unique Gifts</t>
  </si>
  <si>
    <t>CL216979</t>
  </si>
  <si>
    <t>Gift Shop &gt; Home, Personal &amp; Travel &gt; Unique Gifts</t>
  </si>
  <si>
    <t>https://www.staples.com/Unique-Gifts/cat_CL216979</t>
  </si>
  <si>
    <t>Wallets</t>
  </si>
  <si>
    <t>CL216982</t>
  </si>
  <si>
    <t>Gift Shop &gt; Home, Personal &amp; Travel &gt; Wallets</t>
  </si>
  <si>
    <t>https://www.staples.com/Wallets/cat_CL216982</t>
  </si>
  <si>
    <t>Invitations</t>
  </si>
  <si>
    <t>CL163311</t>
  </si>
  <si>
    <t>Gift Shop &gt; Invitations</t>
  </si>
  <si>
    <t>https://www.staples.com/Invitations/cat_CL163311</t>
  </si>
  <si>
    <t>Note Cards &amp; Postcards</t>
  </si>
  <si>
    <t>CL140789</t>
  </si>
  <si>
    <t>Gift Shop &gt; Note Cards &amp; Postcards</t>
  </si>
  <si>
    <t>https://www.staples.com/Note-Cards-Postcards/cat_CL140789</t>
  </si>
  <si>
    <t>Bar Accessories</t>
  </si>
  <si>
    <t>CL216975</t>
  </si>
  <si>
    <t>Gift Shop &gt; Professional Gifts &gt; Bar Accessories</t>
  </si>
  <si>
    <t>https://www.staples.com/Bar-Accessories/cat_CL216975</t>
  </si>
  <si>
    <t>All Outdoor Living</t>
  </si>
  <si>
    <t>CL213656</t>
  </si>
  <si>
    <t>Gift Shop &gt; Professional Gifts &gt; Compasses &gt; All Outdoor Living</t>
  </si>
  <si>
    <t>https://www.staples.com/All-Outdoor-Living/cat_CL213656</t>
  </si>
  <si>
    <t>All Outdoor Structures</t>
  </si>
  <si>
    <t>CL213657</t>
  </si>
  <si>
    <t>Gift Shop &gt; Professional Gifts &gt; Compasses &gt; All Outdoor Structures</t>
  </si>
  <si>
    <t>https://www.staples.com/All-Outdoor-Structures/cat_CL213657</t>
  </si>
  <si>
    <t>Camping</t>
  </si>
  <si>
    <t>CL211214</t>
  </si>
  <si>
    <t>Gift Shop &gt; Professional Gifts &gt; Compasses &gt; Camping</t>
  </si>
  <si>
    <t>https://www.staples.com/Camping/cat_CL211214</t>
  </si>
  <si>
    <t>Mailboxes</t>
  </si>
  <si>
    <t>CL213658</t>
  </si>
  <si>
    <t>Gift Shop &gt; Professional Gifts &gt; Compasses &gt; Mailboxes</t>
  </si>
  <si>
    <t>https://www.staples.com/Mailboxes/cat_CL213658</t>
  </si>
  <si>
    <t>Outdoor Decor</t>
  </si>
  <si>
    <t>CL204470</t>
  </si>
  <si>
    <t>Gift Shop &gt; Professional Gifts &gt; Compasses &gt; Outdoor Decor</t>
  </si>
  <si>
    <t>https://www.staples.com/Outdoor-Decor/cat_CL204470</t>
  </si>
  <si>
    <t>Outdoor Heaters</t>
  </si>
  <si>
    <t>CL211911</t>
  </si>
  <si>
    <t>Gift Shop &gt; Professional Gifts &gt; Compasses &gt; Outdoor Heaters</t>
  </si>
  <si>
    <t>https://www.staples.com/Outdoor-Heaters/cat_CL211911</t>
  </si>
  <si>
    <t>https://www.staples.com/Patio-Furniture/cat_CL213655</t>
  </si>
  <si>
    <t>Recreational Vehicle Accessories</t>
  </si>
  <si>
    <t>CL218727</t>
  </si>
  <si>
    <t>Gift Shop &gt; Professional Gifts &gt; Compasses &gt; Recreational Vehicle Accessories</t>
  </si>
  <si>
    <t>https://www.staples.com/Recreational-Vehicle-Accessories/cat_CL218727</t>
  </si>
  <si>
    <t>Solar Panels</t>
  </si>
  <si>
    <t>CL221417</t>
  </si>
  <si>
    <t>Gift Shop &gt; Professional Gifts &gt; Compasses &gt; Solar Panels</t>
  </si>
  <si>
    <t>https://www.staples.com/Solar-Panels/cat_CL221417</t>
  </si>
  <si>
    <t>Water Recreation</t>
  </si>
  <si>
    <t>CL213826</t>
  </si>
  <si>
    <t>Gift Shop &gt; Professional Gifts &gt; Compasses &gt; Water Recreation</t>
  </si>
  <si>
    <t>https://www.staples.com/Water-Recreation/cat_CL213826</t>
  </si>
  <si>
    <t>Money Clips</t>
  </si>
  <si>
    <t>CL216981</t>
  </si>
  <si>
    <t>Gift Shop &gt; Professional Gifts &gt; Money Clips</t>
  </si>
  <si>
    <t>https://www.staples.com/Money-Clips/cat_CL216981</t>
  </si>
  <si>
    <t>Paperweights</t>
  </si>
  <si>
    <t>CL216977</t>
  </si>
  <si>
    <t>Gift Shop &gt; Professional Gifts &gt; Paperweights</t>
  </si>
  <si>
    <t>https://www.staples.com/Paperweights/cat_CL216977</t>
  </si>
  <si>
    <t>Wine Accessories</t>
  </si>
  <si>
    <t>CL206624</t>
  </si>
  <si>
    <t>Gift Shop &gt; Professional Gifts &gt; Wine Accessories</t>
  </si>
  <si>
    <t>https://www.staples.com/Wine-Accessories/cat_CL206624</t>
  </si>
  <si>
    <t>https://www.staples.com/Stationery/cat_CL164333</t>
  </si>
  <si>
    <t>Table Tents</t>
  </si>
  <si>
    <t>CL206126</t>
  </si>
  <si>
    <t>Gift Shop &gt; Table Tents</t>
  </si>
  <si>
    <t>https://www.staples.com/Table-Tents/cat_CL206126</t>
  </si>
  <si>
    <t>Wedding Invitations &amp; Kits</t>
  </si>
  <si>
    <t>CL163312</t>
  </si>
  <si>
    <t>Gift Shop &gt; Wedding Invitations &amp; Kits</t>
  </si>
  <si>
    <t>https://www.staples.com/Wedding-Invitations-Kits/cat_CL163312</t>
  </si>
  <si>
    <t>Hard Drives &amp; Data Storage</t>
  </si>
  <si>
    <t>Blank Media</t>
  </si>
  <si>
    <t>CL142807</t>
  </si>
  <si>
    <t>Hard Drives &amp; Data Storage &gt; Blank Media</t>
  </si>
  <si>
    <t>https://www.staples.com/Blank-Media/cat_CL142807</t>
  </si>
  <si>
    <t>Disc Drives &amp; Burners</t>
  </si>
  <si>
    <t>CL142594</t>
  </si>
  <si>
    <t>Hard Drives &amp; Data Storage &gt; Disc Drives &amp; Burners</t>
  </si>
  <si>
    <t>https://www.staples.com/Disc-Drives-Burners/cat_CL142594</t>
  </si>
  <si>
    <t>Disc Duplicators</t>
  </si>
  <si>
    <t>CL163235</t>
  </si>
  <si>
    <t>Hard Drives &amp; Data Storage &gt; Disc Duplicators</t>
  </si>
  <si>
    <t>https://www.staples.com/Disc-Duplicators/cat_CL163235</t>
  </si>
  <si>
    <t>External Hard Drives</t>
  </si>
  <si>
    <t>CL160403</t>
  </si>
  <si>
    <t>Hard Drives &amp; Data Storage &gt; External Hard Drives</t>
  </si>
  <si>
    <t>https://www.staples.com/External-Hard-Drives/cat_CL160403</t>
  </si>
  <si>
    <t>Hard Drive Accessories</t>
  </si>
  <si>
    <t>CL165255</t>
  </si>
  <si>
    <t>Hard Drives &amp; Data Storage &gt; Hard Drive Accessories</t>
  </si>
  <si>
    <t>https://www.staples.com/Hard-Drive-Accessories/cat_CL165255</t>
  </si>
  <si>
    <t>Hard Drive Enclosures</t>
  </si>
  <si>
    <t>CL167415</t>
  </si>
  <si>
    <t>Hard Drives &amp; Data Storage &gt; Hard Drive Enclosures</t>
  </si>
  <si>
    <t>https://www.staples.com/Hard-Drive-Enclosures/cat_CL167415</t>
  </si>
  <si>
    <t>Media Cases &amp; Wallets</t>
  </si>
  <si>
    <t>CL141009</t>
  </si>
  <si>
    <t>Hard Drives &amp; Data Storage &gt; Media Cases &amp; Wallets</t>
  </si>
  <si>
    <t>https://www.staples.com/Media-Cases-Wallets/cat_CL141009</t>
  </si>
  <si>
    <t>Memory Card Readers &amp; Adapters</t>
  </si>
  <si>
    <t>CL141727</t>
  </si>
  <si>
    <t>Hard Drives &amp; Data Storage &gt; Memory Card Readers &amp; Adapters</t>
  </si>
  <si>
    <t>https://www.staples.com/Memory-Card-Readers-Adapters/cat_CL141727</t>
  </si>
  <si>
    <t>Memory Cards</t>
  </si>
  <si>
    <t>CL142162</t>
  </si>
  <si>
    <t>Hard Drives &amp; Data Storage &gt; Memory Cards</t>
  </si>
  <si>
    <t>https://www.staples.com/Memory-Cards/cat_CL142162</t>
  </si>
  <si>
    <t>Solid State Drives</t>
  </si>
  <si>
    <t>CL163882</t>
  </si>
  <si>
    <t>Hard Drives &amp; Data Storage &gt; Solid State Drives</t>
  </si>
  <si>
    <t>https://www.staples.com/Solid-State-Drives/cat_CL163882</t>
  </si>
  <si>
    <t>USB Flash Drives</t>
  </si>
  <si>
    <t>CL142211</t>
  </si>
  <si>
    <t>Hard Drives &amp; Data Storage &gt; USB Flash Drives</t>
  </si>
  <si>
    <t>https://www.staples.com/USB-Flash-Drives/cat_CL142211</t>
  </si>
  <si>
    <t>Healthcare Supplies</t>
  </si>
  <si>
    <t>Durable Medical Equipment</t>
  </si>
  <si>
    <t>Hearing Aids</t>
  </si>
  <si>
    <t>CL215110</t>
  </si>
  <si>
    <t>Healthcare Supplies &gt; Durable Medical Equipment &gt; Hearing Aids</t>
  </si>
  <si>
    <t>https://www.staples.com/Hearing-Aids/cat_CL215110</t>
  </si>
  <si>
    <t>Mobility Aids</t>
  </si>
  <si>
    <t>Canes</t>
  </si>
  <si>
    <t>CL355003</t>
  </si>
  <si>
    <t>Healthcare Supplies &gt; Durable Medical Equipment &gt; Mobility Aids &gt; Canes</t>
  </si>
  <si>
    <t>https://www.staples.com/Canes/cat_CL355003</t>
  </si>
  <si>
    <t>Crutches</t>
  </si>
  <si>
    <t>CL355005</t>
  </si>
  <si>
    <t>Healthcare Supplies &gt; Durable Medical Equipment &gt; Mobility Aids &gt; Crutches</t>
  </si>
  <si>
    <t>https://www.staples.com/Crutches/cat_CL355005</t>
  </si>
  <si>
    <t>Mobility Aids Parts &amp; Accessories</t>
  </si>
  <si>
    <t>CL213660</t>
  </si>
  <si>
    <t>Healthcare Supplies &gt; Durable Medical Equipment &gt; Mobility Aids &gt; Mobility Aids Parts &amp; Accessories</t>
  </si>
  <si>
    <t>https://www.staples.com/Mobility-Aids-Parts-Accessories/cat_CL213660</t>
  </si>
  <si>
    <t>Motorized Scooters</t>
  </si>
  <si>
    <t>CL355006</t>
  </si>
  <si>
    <t>Healthcare Supplies &gt; Durable Medical Equipment &gt; Mobility Aids &gt; Motorized Scooters</t>
  </si>
  <si>
    <t>https://www.staples.com/Motorized-Scooters/cat_CL355006</t>
  </si>
  <si>
    <t>Reaching &amp; Extending Aids</t>
  </si>
  <si>
    <t>CL168389</t>
  </si>
  <si>
    <t>Healthcare Supplies &gt; Durable Medical Equipment &gt; Mobility Aids &gt; Reaching &amp; Extending Aids</t>
  </si>
  <si>
    <t>https://www.staples.com/Reaching-Extending-Aids/cat_CL168389</t>
  </si>
  <si>
    <t>Rollators &amp; Walkers</t>
  </si>
  <si>
    <t>CL355004</t>
  </si>
  <si>
    <t>Healthcare Supplies &gt; Durable Medical Equipment &gt; Mobility Aids &gt; Rollators &amp; Walkers</t>
  </si>
  <si>
    <t>https://www.staples.com/Rollators-Walkers/cat_CL355004</t>
  </si>
  <si>
    <t>Wheelchairs</t>
  </si>
  <si>
    <t>CL168364</t>
  </si>
  <si>
    <t>Healthcare Supplies &gt; Durable Medical Equipment &gt; Mobility Aids &gt; Wheelchairs</t>
  </si>
  <si>
    <t>https://www.staples.com/Wheelchairs/cat_CL168364</t>
  </si>
  <si>
    <t>Orthopedics</t>
  </si>
  <si>
    <t>Ankle &amp; Foot Supports</t>
  </si>
  <si>
    <t>CL168354</t>
  </si>
  <si>
    <t>Healthcare Supplies &gt; Durable Medical Equipment &gt; Orthopedics &gt; Ankle &amp; Foot Supports</t>
  </si>
  <si>
    <t>https://www.staples.com/Ankle-Foot-Supports/cat_CL168354</t>
  </si>
  <si>
    <t>Arm &amp; Elbow Supports</t>
  </si>
  <si>
    <t>CL168367</t>
  </si>
  <si>
    <t>Healthcare Supplies &gt; Durable Medical Equipment &gt; Orthopedics &gt; Arm &amp; Elbow Supports</t>
  </si>
  <si>
    <t>https://www.staples.com/Arm-Elbow-Supports/cat_CL168367</t>
  </si>
  <si>
    <t>Back &amp; Waist Supports</t>
  </si>
  <si>
    <t>CL168357</t>
  </si>
  <si>
    <t>Healthcare Supplies &gt; Durable Medical Equipment &gt; Orthopedics &gt; Back &amp; Waist Supports</t>
  </si>
  <si>
    <t>https://www.staples.com/Back-Waist-Supports/cat_CL168357</t>
  </si>
  <si>
    <t>Compression Socks &amp; Hosiery</t>
  </si>
  <si>
    <t>CL168353</t>
  </si>
  <si>
    <t>Healthcare Supplies &gt; Durable Medical Equipment &gt; Orthopedics &gt; Compression Socks &amp; Hosiery</t>
  </si>
  <si>
    <t>https://www.staples.com/Compression-Hosiery/cat_CL168353</t>
  </si>
  <si>
    <t>Knee &amp; Leg Supports</t>
  </si>
  <si>
    <t>CL168356</t>
  </si>
  <si>
    <t>Healthcare Supplies &gt; Durable Medical Equipment &gt; Orthopedics &gt; Knee &amp; Leg Supports</t>
  </si>
  <si>
    <t>https://www.staples.com/Knee-Leg-Supports/cat_CL168356</t>
  </si>
  <si>
    <t>Leg Walkers &amp; Boots</t>
  </si>
  <si>
    <t>CL168381</t>
  </si>
  <si>
    <t>Healthcare Supplies &gt; Durable Medical Equipment &gt; Orthopedics &gt; Leg Walkers &amp; Boots</t>
  </si>
  <si>
    <t>https://www.staples.com/Leg-Walkers-Boots/cat_CL168381</t>
  </si>
  <si>
    <t>Neck Supports</t>
  </si>
  <si>
    <t>CL168358</t>
  </si>
  <si>
    <t>Healthcare Supplies &gt; Durable Medical Equipment &gt; Orthopedics &gt; Neck Supports</t>
  </si>
  <si>
    <t>https://www.staples.com/Neck-Supports/cat_CL168358</t>
  </si>
  <si>
    <t>Post-Op Shoes</t>
  </si>
  <si>
    <t>CL168368</t>
  </si>
  <si>
    <t>Healthcare Supplies &gt; Durable Medical Equipment &gt; Orthopedics &gt; Post-Op Shoes</t>
  </si>
  <si>
    <t>https://www.staples.com/Post-Op-Shoes/cat_CL168368</t>
  </si>
  <si>
    <t>Shoulder &amp; Clavicle Supports</t>
  </si>
  <si>
    <t>CL168378</t>
  </si>
  <si>
    <t>Healthcare Supplies &gt; Durable Medical Equipment &gt; Orthopedics &gt; Shoulder &amp; Clavicle Supports</t>
  </si>
  <si>
    <t>https://www.staples.com/Shoulder-Clavicle-Supports/cat_CL168378</t>
  </si>
  <si>
    <t>Undercast Padding</t>
  </si>
  <si>
    <t>CL168474</t>
  </si>
  <si>
    <t>Healthcare Supplies &gt; Durable Medical Equipment &gt; Orthopedics &gt; Undercast Padding</t>
  </si>
  <si>
    <t>https://www.staples.com/Undercast-Padding/cat_CL168474</t>
  </si>
  <si>
    <t>Wrist &amp; Hand Supports</t>
  </si>
  <si>
    <t>CL168355</t>
  </si>
  <si>
    <t>Healthcare Supplies &gt; Durable Medical Equipment &gt; Orthopedics &gt; Wrist &amp; Hand Supports</t>
  </si>
  <si>
    <t>https://www.staples.com/Wrist-Hand-Supports/cat_CL168355</t>
  </si>
  <si>
    <t>Patient Lift &amp; Transfer</t>
  </si>
  <si>
    <t>Ramps</t>
  </si>
  <si>
    <t>CL211242</t>
  </si>
  <si>
    <t>Healthcare Supplies &gt; Durable Medical Equipment &gt; Patient Lift &amp; Transfer &gt; Ramps</t>
  </si>
  <si>
    <t>https://www.staples.com/Ramps/cat_CL211242</t>
  </si>
  <si>
    <t>Transfer Equipment</t>
  </si>
  <si>
    <t>CL168551</t>
  </si>
  <si>
    <t>Healthcare Supplies &gt; Durable Medical Equipment &gt; Patient Lift &amp; Transfer &gt; Transfer Equipment</t>
  </si>
  <si>
    <t>https://www.staples.com/Transfer-Equipment/cat_CL168551</t>
  </si>
  <si>
    <t>Positioning Aids &amp; Pressure Relief</t>
  </si>
  <si>
    <t>Invalid Rings</t>
  </si>
  <si>
    <t>CL355014</t>
  </si>
  <si>
    <t>Healthcare Supplies &gt; Durable Medical Equipment &gt; Positioning Aids &amp; Pressure Relief &gt; Invalid Rings</t>
  </si>
  <si>
    <t>https://www.staples.com/Invalid-Rings/cat_CL355014</t>
  </si>
  <si>
    <t>Wedges, Blocks &amp; Rolls</t>
  </si>
  <si>
    <t>CL168665</t>
  </si>
  <si>
    <t>Healthcare Supplies &gt; Durable Medical Equipment &gt; Positioning Aids &amp; Pressure Relief &gt; Wedges, Blocks &amp; Rolls</t>
  </si>
  <si>
    <t>https://www.staples.com/Wedges-Blocks-Rolls/cat_CL168665</t>
  </si>
  <si>
    <t>Wheelchair Seat &amp; Back Cushions</t>
  </si>
  <si>
    <t>CL168370</t>
  </si>
  <si>
    <t>Healthcare Supplies &gt; Durable Medical Equipment &gt; Positioning Aids &amp; Pressure Relief &gt; Wheelchair Seat &amp; Back Cushions</t>
  </si>
  <si>
    <t>https://www.staples.com/Wheelchair-Seat-Back-Cushions/cat_CL168370</t>
  </si>
  <si>
    <t>Shower &amp; Bath Aids</t>
  </si>
  <si>
    <t>Commodes</t>
  </si>
  <si>
    <t>CL168476</t>
  </si>
  <si>
    <t>Healthcare Supplies &gt; Durable Medical Equipment &gt; Shower &amp; Bath Aids &gt; Commodes</t>
  </si>
  <si>
    <t>https://www.staples.com/Commodes/cat_CL168476</t>
  </si>
  <si>
    <t>Grooming &amp; Dressing Aids</t>
  </si>
  <si>
    <t>CL168393</t>
  </si>
  <si>
    <t>Healthcare Supplies &gt; Durable Medical Equipment &gt; Shower &amp; Bath Aids &gt; Grooming &amp; Dressing Aids</t>
  </si>
  <si>
    <t>https://www.staples.com/Grooming-Dressing-Aids/cat_CL168393</t>
  </si>
  <si>
    <t>Raised Toilet Seats</t>
  </si>
  <si>
    <t>CL168534</t>
  </si>
  <si>
    <t>Healthcare Supplies &gt; Durable Medical Equipment &gt; Shower &amp; Bath Aids &gt; Raised Toilet Seats</t>
  </si>
  <si>
    <t>https://www.staples.com/Raised-Toilet-Seats/cat_CL168534</t>
  </si>
  <si>
    <t>Shower Chairs / Benches</t>
  </si>
  <si>
    <t>CL168536</t>
  </si>
  <si>
    <t>Healthcare Supplies &gt; Durable Medical Equipment &gt; Shower &amp; Bath Aids &gt; Shower Chairs / Benches</t>
  </si>
  <si>
    <t>https://www.staples.com/Shower-Chairs-Benches/cat_CL168536</t>
  </si>
  <si>
    <t>First Aid</t>
  </si>
  <si>
    <t>CPR Face Shields &amp; Masks</t>
  </si>
  <si>
    <t>CL168674</t>
  </si>
  <si>
    <t>Healthcare Supplies &gt; First Aid &gt; CPR Face Shields &amp; Masks</t>
  </si>
  <si>
    <t>https://www.staples.com/CPR-Face-Shields-Masks/cat_CL168674</t>
  </si>
  <si>
    <t>Defibrillators</t>
  </si>
  <si>
    <t>CL162006</t>
  </si>
  <si>
    <t>Healthcare Supplies &gt; First Aid &gt; Defibrillators</t>
  </si>
  <si>
    <t>https://www.staples.com/Defibrillators/cat_CL162006</t>
  </si>
  <si>
    <t>Emergency Preparedness</t>
  </si>
  <si>
    <t>CL164832</t>
  </si>
  <si>
    <t>Healthcare Supplies &gt; First Aid &gt; Emergency Preparedness</t>
  </si>
  <si>
    <t>https://www.staples.com/Emergency-Preparedness/cat_CL164832</t>
  </si>
  <si>
    <t>First Aid Kits</t>
  </si>
  <si>
    <t>CL80401</t>
  </si>
  <si>
    <t>Healthcare Supplies &gt; First Aid &gt; First Aid Kits</t>
  </si>
  <si>
    <t>https://www.staples.com/First-Aid-Kits/cat_CL80401</t>
  </si>
  <si>
    <t>First Aid, AED &amp; CPR Training &amp; Program Management</t>
  </si>
  <si>
    <t>CL354615</t>
  </si>
  <si>
    <t>Healthcare Supplies &gt; First Aid &gt; First Aid, AED &amp; CPR Training &amp; Program Management</t>
  </si>
  <si>
    <t>https://www.staples.com/First-Aid-AED-CPR-Training-Program-Management/cat_CL354615</t>
  </si>
  <si>
    <t>OTC Pharmaceuticals</t>
  </si>
  <si>
    <t>Hot &amp; Cold Therapy</t>
  </si>
  <si>
    <t>CL168507</t>
  </si>
  <si>
    <t>Healthcare Supplies &gt; OTC Pharmaceuticals &gt; Hot &amp; Cold Therapy</t>
  </si>
  <si>
    <t>https://www.staples.com/Hot-Cold-Therapy/cat_CL168507</t>
  </si>
  <si>
    <t>Medicine &amp; Vitamins</t>
  </si>
  <si>
    <t>Antacids</t>
  </si>
  <si>
    <t>CL168625</t>
  </si>
  <si>
    <t>Healthcare Supplies &gt; OTC Pharmaceuticals &gt; Medicine &amp; Vitamins &gt; Antacids</t>
  </si>
  <si>
    <t>https://www.staples.com/Antacids/cat_CL168625</t>
  </si>
  <si>
    <t>Anti-Nausea &amp; Digestive Aids</t>
  </si>
  <si>
    <t>CL168627</t>
  </si>
  <si>
    <t>Healthcare Supplies &gt; OTC Pharmaceuticals &gt; Medicine &amp; Vitamins &gt; Anti-Nausea &amp; Digestive Aids</t>
  </si>
  <si>
    <t>https://www.staples.com/Anti-Nausea/cat_CL168627</t>
  </si>
  <si>
    <t>Clinical Nutrition</t>
  </si>
  <si>
    <t>CL215686</t>
  </si>
  <si>
    <t>Healthcare Supplies &gt; OTC Pharmaceuticals &gt; Medicine &amp; Vitamins &gt; Clinical Nutrition</t>
  </si>
  <si>
    <t>https://www.staples.com/Clinical-Nutrition/cat_CL215686</t>
  </si>
  <si>
    <t>Cough, Cold, Flu &amp; Allergy</t>
  </si>
  <si>
    <t>CL168672</t>
  </si>
  <si>
    <t>Healthcare Supplies &gt; OTC Pharmaceuticals &gt; Medicine &amp; Vitamins &gt; Cough, Cold, Flu &amp; Allergy</t>
  </si>
  <si>
    <t>https://www.staples.com/Cough-Cold-Flu-Allergy/cat_CL168672</t>
  </si>
  <si>
    <t>Ear Drops &amp; Eye Drops</t>
  </si>
  <si>
    <t>CL168681</t>
  </si>
  <si>
    <t>Healthcare Supplies &gt; OTC Pharmaceuticals &gt; Medicine &amp; Vitamins &gt; Ear Drops &amp; Eye Drops</t>
  </si>
  <si>
    <t>https://www.staples.com/Ear-Drops-Eye-Drops/cat_CL168681</t>
  </si>
  <si>
    <t>Pain Relievers</t>
  </si>
  <si>
    <t>CL140891</t>
  </si>
  <si>
    <t>Healthcare Supplies &gt; OTC Pharmaceuticals &gt; Medicine &amp; Vitamins &gt; Pain Relievers</t>
  </si>
  <si>
    <t>https://www.staples.com/Pain-Relievers/cat_CL140891</t>
  </si>
  <si>
    <t>Pill Organizers &amp; Storage</t>
  </si>
  <si>
    <t>CL168725</t>
  </si>
  <si>
    <t>Healthcare Supplies &gt; OTC Pharmaceuticals &gt; Medicine &amp; Vitamins &gt; Pill Organizers &amp; Storage</t>
  </si>
  <si>
    <t>https://www.staples.com/Pill-Organizers-Storage/cat_CL168725</t>
  </si>
  <si>
    <t>Sleep Aids</t>
  </si>
  <si>
    <t>CL168791</t>
  </si>
  <si>
    <t>Healthcare Supplies &gt; OTC Pharmaceuticals &gt; Medicine &amp; Vitamins &gt; Sleep Aids</t>
  </si>
  <si>
    <t>https://www.staples.com/Sleep-Aids/cat_CL168791</t>
  </si>
  <si>
    <t>Stop Smoking Aids</t>
  </si>
  <si>
    <t>CL168798</t>
  </si>
  <si>
    <t>Healthcare Supplies &gt; OTC Pharmaceuticals &gt; Medicine &amp; Vitamins &gt; Stop Smoking Aids</t>
  </si>
  <si>
    <t>https://www.staples.com/Stop-Smoking-Aids/cat_CL168798</t>
  </si>
  <si>
    <t>Topical Pain Relief</t>
  </si>
  <si>
    <t>CL168459</t>
  </si>
  <si>
    <t>Healthcare Supplies &gt; OTC Pharmaceuticals &gt; Medicine &amp; Vitamins &gt; Topical Pain Relief</t>
  </si>
  <si>
    <t>https://www.staples.com/Hemorrhoid-Care/cat_CL168459</t>
  </si>
  <si>
    <t>Vitamins &amp; Supplements</t>
  </si>
  <si>
    <t>CL168726</t>
  </si>
  <si>
    <t>Healthcare Supplies &gt; OTC Pharmaceuticals &gt; Medicine &amp; Vitamins &gt; Vitamins &amp; Supplements</t>
  </si>
  <si>
    <t>https://www.staples.com/Multi-Vitamins/cat_CL168726</t>
  </si>
  <si>
    <t>Patient Care</t>
  </si>
  <si>
    <t>Beds &amp; Bedside Care</t>
  </si>
  <si>
    <t>Bedpans &amp; Portable Urinals</t>
  </si>
  <si>
    <t>CL168375</t>
  </si>
  <si>
    <t>Healthcare Supplies &gt; Patient Care &gt; Beds &amp; Bedside Care &gt; Bedpans &amp; Portable Urinals</t>
  </si>
  <si>
    <t>https://www.staples.com/Bedpans-Portable-Urinals/cat_CL168375</t>
  </si>
  <si>
    <t>Disposable Medical &amp; Dental Cups</t>
  </si>
  <si>
    <t>CL168668</t>
  </si>
  <si>
    <t>Healthcare Supplies &gt; Patient Care &gt; Beds &amp; Bedside Care &gt; Disposable Medical &amp; Dental Cups</t>
  </si>
  <si>
    <t>https://www.staples.com/Disposable-Medical-Dental-Cups/cat_CL168668</t>
  </si>
  <si>
    <t>Emesis Bags &amp; Basins</t>
  </si>
  <si>
    <t>CL168661</t>
  </si>
  <si>
    <t>Healthcare Supplies &gt; Patient Care &gt; Beds &amp; Bedside Care &gt; Emesis Bags &amp; Basins</t>
  </si>
  <si>
    <t>https://www.staples.com/Emesis-Bags-Basins/cat_CL168661</t>
  </si>
  <si>
    <t>Hospital Mattresses</t>
  </si>
  <si>
    <t>CL168615</t>
  </si>
  <si>
    <t>Healthcare Supplies &gt; Patient Care &gt; Beds &amp; Bedside Care &gt; Hospital Mattresses</t>
  </si>
  <si>
    <t>https://www.staples.com/Hospital-Mattresses/cat_CL168615</t>
  </si>
  <si>
    <t>Mattress Overlays</t>
  </si>
  <si>
    <t>CL168614</t>
  </si>
  <si>
    <t>Healthcare Supplies &gt; Patient Care &gt; Beds &amp; Bedside Care &gt; Mattress Overlays</t>
  </si>
  <si>
    <t>https://www.staples.com/Mattress-Overlays/cat_CL168614</t>
  </si>
  <si>
    <t>Medical Bed Parts</t>
  </si>
  <si>
    <t>CL168611</t>
  </si>
  <si>
    <t>Healthcare Supplies &gt; Patient Care &gt; Beds &amp; Bedside Care &gt; Medical Bed Parts</t>
  </si>
  <si>
    <t>https://www.staples.com/Medical-Bed-Parts/cat_CL168611</t>
  </si>
  <si>
    <t>Overbed Tables</t>
  </si>
  <si>
    <t>CL168747</t>
  </si>
  <si>
    <t>Healthcare Supplies &gt; Patient Care &gt; Beds &amp; Bedside Care &gt; Overbed Tables</t>
  </si>
  <si>
    <t>https://www.staples.com/Overbed-Tables/cat_CL168747</t>
  </si>
  <si>
    <t>Patient Belonging Bags</t>
  </si>
  <si>
    <t>CL168759</t>
  </si>
  <si>
    <t>Healthcare Supplies &gt; Patient Care &gt; Beds &amp; Bedside Care &gt; Patient Belonging Bags</t>
  </si>
  <si>
    <t>https://www.staples.com/Patient-Belonging-Bags/cat_CL168759</t>
  </si>
  <si>
    <t>Patient Privacy Screens</t>
  </si>
  <si>
    <t>CL168765</t>
  </si>
  <si>
    <t>Healthcare Supplies &gt; Patient Care &gt; Beds &amp; Bedside Care &gt; Patient Privacy Screens</t>
  </si>
  <si>
    <t>https://www.staples.com/Patient-Privacy-Screens/cat_CL168765</t>
  </si>
  <si>
    <t>Washbasins</t>
  </si>
  <si>
    <t>CL168823</t>
  </si>
  <si>
    <t>Healthcare Supplies &gt; Patient Care &gt; Beds &amp; Bedside Care &gt; Washbasins</t>
  </si>
  <si>
    <t>https://www.staples.com/Washbasins/cat_CL168823</t>
  </si>
  <si>
    <t>Diagnostic &amp; Exam Instruments</t>
  </si>
  <si>
    <t>Blood Pressure Monitors</t>
  </si>
  <si>
    <t>CL162004</t>
  </si>
  <si>
    <t>Healthcare Supplies &gt; Patient Care &gt; Diagnostic &amp; Exam Instruments &gt; Blood Pressure Monitors</t>
  </si>
  <si>
    <t>https://www.staples.com/Blood-Pressure-Monitors/cat_CL162004</t>
  </si>
  <si>
    <t>Glucose Meters &amp; Accessories</t>
  </si>
  <si>
    <t>CL168699</t>
  </si>
  <si>
    <t>Healthcare Supplies &gt; Patient Care &gt; Diagnostic &amp; Exam Instruments &gt; Glucose Meters &amp; Accessories</t>
  </si>
  <si>
    <t>https://www.staples.com/Glucose-Meters-Accessories/cat_CL168699</t>
  </si>
  <si>
    <t>Health &amp; Body Weight Scales</t>
  </si>
  <si>
    <t>CL167416</t>
  </si>
  <si>
    <t>Healthcare Supplies &gt; Patient Care &gt; Diagnostic &amp; Exam Instruments &gt; Health &amp; Body Weight Scales</t>
  </si>
  <si>
    <t>https://www.staples.com/Health-Body-Weight-Scales/cat_CL167416</t>
  </si>
  <si>
    <t>Medical Scissors &amp; Shears</t>
  </si>
  <si>
    <t>CL354958</t>
  </si>
  <si>
    <t>Healthcare Supplies &gt; Patient Care &gt; Diagnostic &amp; Exam Instruments &gt; Medical Scissors &amp; Shears</t>
  </si>
  <si>
    <t>https://www.staples.com/Medical-Scissors-Shears/cat_CL354958</t>
  </si>
  <si>
    <t>Monitoring Equipment</t>
  </si>
  <si>
    <t>CL214610</t>
  </si>
  <si>
    <t>Healthcare Supplies &gt; Patient Care &gt; Diagnostic &amp; Exam Instruments &gt; Monitoring Equipment</t>
  </si>
  <si>
    <t>https://www.staples.com/Monitoring-Equipment/cat_CL214610</t>
  </si>
  <si>
    <t>Neurological &amp; Sensory Instruments</t>
  </si>
  <si>
    <t>CL168761</t>
  </si>
  <si>
    <t>Healthcare Supplies &gt; Patient Care &gt; Diagnostic &amp; Exam Instruments &gt; Neurological &amp; Sensory Instruments</t>
  </si>
  <si>
    <t>https://www.staples.com/Neurological-Sensory-Instruments/cat_CL168761</t>
  </si>
  <si>
    <t>Otoscopes &amp; Ophthalmoscopes</t>
  </si>
  <si>
    <t>CL168691</t>
  </si>
  <si>
    <t>Healthcare Supplies &gt; Patient Care &gt; Diagnostic &amp; Exam Instruments &gt; Otoscopes &amp; Ophthalmoscopes</t>
  </si>
  <si>
    <t>https://www.staples.com/Otoscopes-Ophthalmoscopes/cat_CL168691</t>
  </si>
  <si>
    <t>Oximeters</t>
  </si>
  <si>
    <t>CL168748</t>
  </si>
  <si>
    <t>Healthcare Supplies &gt; Patient Care &gt; Diagnostic &amp; Exam Instruments &gt; Oximeters</t>
  </si>
  <si>
    <t>https://www.staples.com/Oximeters/cat_CL168748</t>
  </si>
  <si>
    <t>Stethoscopes</t>
  </si>
  <si>
    <t>CL162003</t>
  </si>
  <si>
    <t>Healthcare Supplies &gt; Patient Care &gt; Diagnostic &amp; Exam Instruments &gt; Stethoscopes</t>
  </si>
  <si>
    <t>https://www.staples.com/Stethoscopes/cat_CL162003</t>
  </si>
  <si>
    <t>Testing Kits</t>
  </si>
  <si>
    <t>CL168807</t>
  </si>
  <si>
    <t>Healthcare Supplies &gt; Patient Care &gt; Diagnostic &amp; Exam Instruments &gt; Testing Kits</t>
  </si>
  <si>
    <t>https://www.staples.com/Testing-Kits/cat_CL168807</t>
  </si>
  <si>
    <t>Tweezers</t>
  </si>
  <si>
    <t>CL165761</t>
  </si>
  <si>
    <t>Healthcare Supplies &gt; Patient Care &gt; Diagnostic &amp; Exam Instruments &gt; Tweezers</t>
  </si>
  <si>
    <t>https://www.staples.com/Tweezers/cat_CL165761</t>
  </si>
  <si>
    <t>Exam Room Supplies &amp; Equipment</t>
  </si>
  <si>
    <t>Cotton Balls</t>
  </si>
  <si>
    <t>CL168478</t>
  </si>
  <si>
    <t>Healthcare Supplies &gt; Patient Care &gt; Exam Room Supplies &amp; Equipment &gt; Cotton Balls</t>
  </si>
  <si>
    <t>https://www.staples.com/Cotton-Balls/cat_CL168478</t>
  </si>
  <si>
    <t>Cotton Tipped Applicators</t>
  </si>
  <si>
    <t>CL168480</t>
  </si>
  <si>
    <t>Healthcare Supplies &gt; Patient Care &gt; Exam Room Supplies &amp; Equipment &gt; Cotton Tipped Applicators</t>
  </si>
  <si>
    <t>https://www.staples.com/Cotton-Tipped-Applicators/cat_CL168480</t>
  </si>
  <si>
    <t>Disposable Linens &amp; Pillows</t>
  </si>
  <si>
    <t>CL168613</t>
  </si>
  <si>
    <t>Healthcare Supplies &gt; Patient Care &gt; Exam Room Supplies &amp; Equipment &gt; Disposable Linens &amp; Pillows</t>
  </si>
  <si>
    <t>https://www.staples.com/Disposable-Linens-Pillows/cat_CL168613</t>
  </si>
  <si>
    <t>Exam Room Status Flags</t>
  </si>
  <si>
    <t>CL162013</t>
  </si>
  <si>
    <t>Healthcare Supplies &gt; Patient Care &gt; Exam Room Supplies &amp; Equipment &gt; Exam Room Status Flags</t>
  </si>
  <si>
    <t>https://www.staples.com/Exam-Room-Status-Flags/cat_CL162013</t>
  </si>
  <si>
    <t>Exam Table Paper</t>
  </si>
  <si>
    <t>CL161993</t>
  </si>
  <si>
    <t>Healthcare Supplies &gt; Patient Care &gt; Exam Room Supplies &amp; Equipment &gt; Exam Table Paper</t>
  </si>
  <si>
    <t>https://www.staples.com/Exam-Table-Paper/cat_CL161993</t>
  </si>
  <si>
    <t>Forceps &amp; Clamps</t>
  </si>
  <si>
    <t>CL214595</t>
  </si>
  <si>
    <t>Healthcare Supplies &gt; Patient Care &gt; Exam Room Supplies &amp; Equipment &gt; Forceps &amp; Clamps</t>
  </si>
  <si>
    <t>https://www.staples.com/Forceps-Clamps/cat_CL214595</t>
  </si>
  <si>
    <t>Healthcare Dispensers</t>
  </si>
  <si>
    <t>CL350725</t>
  </si>
  <si>
    <t>Healthcare Supplies &gt; Patient Care &gt; Exam Room Supplies &amp; Equipment &gt; Healthcare Dispensers</t>
  </si>
  <si>
    <t>https://www.staples.com/Healthcare-Dispensers/cat_CL350725</t>
  </si>
  <si>
    <t>IV Poles</t>
  </si>
  <si>
    <t>CL168717</t>
  </si>
  <si>
    <t>Healthcare Supplies &gt; Patient Care &gt; Exam Room Supplies &amp; Equipment &gt; IV Poles</t>
  </si>
  <si>
    <t>https://www.staples.com/IV-Poles/cat_CL168717</t>
  </si>
  <si>
    <t>Lubricating Jelly</t>
  </si>
  <si>
    <t>CL168723</t>
  </si>
  <si>
    <t>Healthcare Supplies &gt; Patient Care &gt; Exam Room Supplies &amp; Equipment &gt; Lubricating Jelly</t>
  </si>
  <si>
    <t>https://www.staples.com/Lubricating-Jelly/cat_CL168723</t>
  </si>
  <si>
    <t>Medical Drapes &amp; Covers</t>
  </si>
  <si>
    <t>CL168799</t>
  </si>
  <si>
    <t>Healthcare Supplies &gt; Patient Care &gt; Exam Room Supplies &amp; Equipment &gt; Medical Drapes &amp; Covers</t>
  </si>
  <si>
    <t>https://www.staples.com/Medical-Drapes-Covers/cat_CL168799</t>
  </si>
  <si>
    <t>Minor Procedure Trays</t>
  </si>
  <si>
    <t>CL168520</t>
  </si>
  <si>
    <t>Healthcare Supplies &gt; Patient Care &gt; Exam Room Supplies &amp; Equipment &gt; Minor Procedure Trays</t>
  </si>
  <si>
    <t>https://www.staples.com/Minor-Procedure-Trays/cat_CL168520</t>
  </si>
  <si>
    <t>Procedure Towels</t>
  </si>
  <si>
    <t>CL168743</t>
  </si>
  <si>
    <t>Healthcare Supplies &gt; Patient Care &gt; Exam Room Supplies &amp; Equipment &gt; Procedure Towels</t>
  </si>
  <si>
    <t>https://www.staples.com/Procedure-Towels/cat_CL168743</t>
  </si>
  <si>
    <t>Scalpels</t>
  </si>
  <si>
    <t>CL168801</t>
  </si>
  <si>
    <t>Healthcare Supplies &gt; Patient Care &gt; Exam Room Supplies &amp; Equipment &gt; Scalpels</t>
  </si>
  <si>
    <t>https://www.staples.com/Scalpels/cat_CL168801</t>
  </si>
  <si>
    <t>Sharps Containers &amp; Wall Brackets</t>
  </si>
  <si>
    <t>CL168772</t>
  </si>
  <si>
    <t>Healthcare Supplies &gt; Patient Care &gt; Exam Room Supplies &amp; Equipment &gt; Sharps Containers &amp; Wall Brackets</t>
  </si>
  <si>
    <t>https://www.staples.com/Sharps-Containers-Wall-Brackets/cat_CL168772</t>
  </si>
  <si>
    <t>Specimen Collection</t>
  </si>
  <si>
    <t>CL168793</t>
  </si>
  <si>
    <t>Healthcare Supplies &gt; Patient Care &gt; Exam Room Supplies &amp; Equipment &gt; Specimen Collection</t>
  </si>
  <si>
    <t>https://www.staples.com/Specimen-Collection/cat_CL168793</t>
  </si>
  <si>
    <t>Tongue Depressors</t>
  </si>
  <si>
    <t>CL162042</t>
  </si>
  <si>
    <t>Healthcare Supplies &gt; Patient Care &gt; Exam Room Supplies &amp; Equipment &gt; Tongue Depressors</t>
  </si>
  <si>
    <t>https://www.staples.com/Tongue-Depressors/cat_CL162042</t>
  </si>
  <si>
    <t>Ultrasound Gel &amp; Lotion</t>
  </si>
  <si>
    <t>CL168817</t>
  </si>
  <si>
    <t>Healthcare Supplies &gt; Patient Care &gt; Exam Room Supplies &amp; Equipment &gt; Ultrasound Gel &amp; Lotion</t>
  </si>
  <si>
    <t>https://www.staples.com/Ultrasound-Gel-Lotion/cat_CL168817</t>
  </si>
  <si>
    <t>Feeding Tubes &amp; Nutrients</t>
  </si>
  <si>
    <t>Eating &amp; Drinking Aids</t>
  </si>
  <si>
    <t>CL168386</t>
  </si>
  <si>
    <t>Healthcare Supplies &gt; Patient Care &gt; Feeding Tubes &amp; Nutrients &gt; Eating &amp; Drinking Aids</t>
  </si>
  <si>
    <t>https://www.staples.com/Eating-Drinking-Aids/cat_CL168386</t>
  </si>
  <si>
    <t>Food &amp; Beverage Thickeners</t>
  </si>
  <si>
    <t>CL168697</t>
  </si>
  <si>
    <t>Healthcare Supplies &gt; Patient Care &gt; Feeding Tubes &amp; Nutrients &gt; Food &amp; Beverage Thickeners</t>
  </si>
  <si>
    <t>https://www.staples.com/Food-Beverage-Thickeners/cat_CL168697</t>
  </si>
  <si>
    <t>Medical Practice Furniture</t>
  </si>
  <si>
    <t>Exam Room Tables</t>
  </si>
  <si>
    <t>CL214622</t>
  </si>
  <si>
    <t>Healthcare Supplies &gt; Patient Care &gt; Medical Practice Furniture &gt; Exam Room Tables</t>
  </si>
  <si>
    <t>https://www.staples.com/Exam-Room-Tables/cat_CL214622</t>
  </si>
  <si>
    <t>Medical Cabinets</t>
  </si>
  <si>
    <t>CL355141</t>
  </si>
  <si>
    <t>Healthcare Supplies &gt; Patient Care &gt; Medical Practice Furniture &gt; Medical Cabinets</t>
  </si>
  <si>
    <t>https://www.staples.com/Medical-Cabinets/cat_CL355141</t>
  </si>
  <si>
    <t>Medical Instrument Stands &amp; Trays</t>
  </si>
  <si>
    <t>CL214624</t>
  </si>
  <si>
    <t>Healthcare Supplies &gt; Patient Care &gt; Medical Practice Furniture &gt; Medical Instrument Stands &amp; Trays</t>
  </si>
  <si>
    <t>https://www.staples.com/Medical-Instrument-Stands-Trays/cat_CL214624</t>
  </si>
  <si>
    <t>Phlebotomy Chairs</t>
  </si>
  <si>
    <t>CL354969</t>
  </si>
  <si>
    <t>Healthcare Supplies &gt; Patient Care &gt; Medical Practice Furniture &gt; Phlebotomy Chairs</t>
  </si>
  <si>
    <t>https://www.staples.com/Phlebotomy-Chairs/cat_CL354969</t>
  </si>
  <si>
    <t>Practice Front Desk Supplies</t>
  </si>
  <si>
    <t>Medical Take Home Bags</t>
  </si>
  <si>
    <t>CL354973</t>
  </si>
  <si>
    <t>Healthcare Supplies &gt; Patient Care &gt; Practice Front Desk Supplies &gt; Medical Take Home Bags</t>
  </si>
  <si>
    <t>https://www.staples.com/Medical-Take-Home-Bags/cat_CL354973</t>
  </si>
  <si>
    <t>Patient ID Bands</t>
  </si>
  <si>
    <t>CL168706</t>
  </si>
  <si>
    <t>Healthcare Supplies &gt; Patient Care &gt; Practice Front Desk Supplies &gt; Patient ID Bands</t>
  </si>
  <si>
    <t>https://www.staples.com/Patient-ID-Bands/cat_CL168706</t>
  </si>
  <si>
    <t>Personal Care Kits</t>
  </si>
  <si>
    <t>CL168616</t>
  </si>
  <si>
    <t>Healthcare Supplies &gt; Patient Care &gt; Practice Front Desk Supplies &gt; Personal Care Kits</t>
  </si>
  <si>
    <t>https://www.staples.com/Personal-Care-Kits/cat_CL168616</t>
  </si>
  <si>
    <t>Respiratory Therapy</t>
  </si>
  <si>
    <t>Aerosol Therapy</t>
  </si>
  <si>
    <t>CL168642</t>
  </si>
  <si>
    <t>Healthcare Supplies &gt; Patient Care &gt; Respiratory Therapy &gt; Aerosol Therapy</t>
  </si>
  <si>
    <t>https://www.staples.com/Aerosol-Therapy/cat_CL168642</t>
  </si>
  <si>
    <t>Oxygen Therapy</t>
  </si>
  <si>
    <t>CL168753</t>
  </si>
  <si>
    <t>Healthcare Supplies &gt; Patient Care &gt; Respiratory Therapy &gt; Oxygen Therapy</t>
  </si>
  <si>
    <t>https://www.staples.com/Oxygen-Therapy/cat_CL168753</t>
  </si>
  <si>
    <t>Tracheostomy Care</t>
  </si>
  <si>
    <t>CL168814</t>
  </si>
  <si>
    <t>Healthcare Supplies &gt; Patient Care &gt; Respiratory Therapy &gt; Tracheostomy Care</t>
  </si>
  <si>
    <t>https://www.staples.com/Tracheostomy-Care/cat_CL168814</t>
  </si>
  <si>
    <t>Urology &amp; Ostomy</t>
  </si>
  <si>
    <t>Catheter Securement Devices</t>
  </si>
  <si>
    <t>CL168669</t>
  </si>
  <si>
    <t>Healthcare Supplies &gt; Patient Care &gt; Urology &amp; Ostomy &gt; Catheter Securement Devices</t>
  </si>
  <si>
    <t>https://www.staples.com/Catheter-Securement-Devices/cat_CL168669</t>
  </si>
  <si>
    <t>Ostomy Pouches &amp; Barriers</t>
  </si>
  <si>
    <t>CL354972</t>
  </si>
  <si>
    <t>Healthcare Supplies &gt; Patient Care &gt; Urology &amp; Ostomy &gt; Ostomy Pouches &amp; Barriers</t>
  </si>
  <si>
    <t>https://www.staples.com/Ostomy-Pouches-Barriers/cat_CL354972</t>
  </si>
  <si>
    <t>Personal Care</t>
  </si>
  <si>
    <t>Baby Care</t>
  </si>
  <si>
    <t>Baby Diapers</t>
  </si>
  <si>
    <t>CL210534</t>
  </si>
  <si>
    <t>Healthcare Supplies &gt; Personal Care &gt; Baby Care &gt; Baby Diapers</t>
  </si>
  <si>
    <t>https://www.staples.com/Baby-Diapers/cat_CL210534</t>
  </si>
  <si>
    <t>Baby Formula</t>
  </si>
  <si>
    <t>CL168707</t>
  </si>
  <si>
    <t>Healthcare Supplies &gt; Personal Care &gt; Baby Care &gt; Baby Formula</t>
  </si>
  <si>
    <t>https://www.staples.com/Baby-Formula/cat_CL168707</t>
  </si>
  <si>
    <t>Baby Skin Care</t>
  </si>
  <si>
    <t>CL168462</t>
  </si>
  <si>
    <t>Healthcare Supplies &gt; Personal Care &gt; Baby Care &gt; Baby Skin Care</t>
  </si>
  <si>
    <t>https://www.staples.com/Baby-Skin-Care/cat_CL168462</t>
  </si>
  <si>
    <t>Baby Wipes</t>
  </si>
  <si>
    <t>CL168481</t>
  </si>
  <si>
    <t>Healthcare Supplies &gt; Personal Care &gt; Baby Care &gt; Baby Wipes</t>
  </si>
  <si>
    <t>https://www.staples.com/Baby-Wipes/cat_CL168481</t>
  </si>
  <si>
    <t>Youth Feeding Supplies</t>
  </si>
  <si>
    <t>CL213829</t>
  </si>
  <si>
    <t>Healthcare Supplies &gt; Personal Care &gt; Baby Care &gt; Youth Feeding Supplies</t>
  </si>
  <si>
    <t>https://www.staples.com/Youth-Feeding-Supplies/cat_CL213829</t>
  </si>
  <si>
    <t>Incontinence</t>
  </si>
  <si>
    <t>Adult Briefs</t>
  </si>
  <si>
    <t>CL168362</t>
  </si>
  <si>
    <t>Healthcare Supplies &gt; Personal Care &gt; Incontinence &gt; Adult Briefs</t>
  </si>
  <si>
    <t>https://www.staples.com/Adult-Briefs/cat_CL168362</t>
  </si>
  <si>
    <t>Incontinence Liners &amp; Pads</t>
  </si>
  <si>
    <t>CL168351</t>
  </si>
  <si>
    <t>Healthcare Supplies &gt; Personal Care &gt; Incontinence &gt; Incontinence Liners &amp; Pads</t>
  </si>
  <si>
    <t>https://www.staples.com/Liners-Pads/cat_CL168351</t>
  </si>
  <si>
    <t>Underpads</t>
  </si>
  <si>
    <t>CL355048</t>
  </si>
  <si>
    <t>Healthcare Supplies &gt; Personal Care &gt; Incontinence &gt; Underpads</t>
  </si>
  <si>
    <t>https://www.staples.com/Underpads/cat_CL355048</t>
  </si>
  <si>
    <t>Maternity</t>
  </si>
  <si>
    <t>Maternity Belts</t>
  </si>
  <si>
    <t>CL168517</t>
  </si>
  <si>
    <t>Healthcare Supplies &gt; Personal Care &gt; Maternity &gt; Maternity Belts</t>
  </si>
  <si>
    <t>https://www.staples.com/Maternity-Belts/cat_CL168517</t>
  </si>
  <si>
    <t>Perineal Spray &amp; Wash</t>
  </si>
  <si>
    <t>CL168779</t>
  </si>
  <si>
    <t>Healthcare Supplies &gt; Personal Care &gt; Maternity &gt; Perineal Spray &amp; Wash</t>
  </si>
  <si>
    <t>https://www.staples.com/Perineal-Spray-Wash/cat_CL168779</t>
  </si>
  <si>
    <t>Period Care</t>
  </si>
  <si>
    <t>Menstrual Pads</t>
  </si>
  <si>
    <t>CL204639</t>
  </si>
  <si>
    <t>Healthcare Supplies &gt; Personal Care &gt; Period Care &gt; Menstrual Pads</t>
  </si>
  <si>
    <t>https://www.staples.com/Maxi-Pads/cat_CL204639</t>
  </si>
  <si>
    <t>Tampons</t>
  </si>
  <si>
    <t>CL164396</t>
  </si>
  <si>
    <t>Healthcare Supplies &gt; Personal Care &gt; Period Care &gt; Tampons</t>
  </si>
  <si>
    <t>https://www.staples.com/Tampons/cat_CL164396</t>
  </si>
  <si>
    <t>Skin Care</t>
  </si>
  <si>
    <t>Bath Soap &amp; Body Wash</t>
  </si>
  <si>
    <t>CL168776</t>
  </si>
  <si>
    <t>Healthcare Supplies &gt; Personal Care &gt; Skin Care &gt; Bath Soap &amp; Body Wash</t>
  </si>
  <si>
    <t>https://www.staples.com/Body-Soaps-Cleansers/cat_CL168776</t>
  </si>
  <si>
    <t>Body Powder</t>
  </si>
  <si>
    <t>CL168775</t>
  </si>
  <si>
    <t>Healthcare Supplies &gt; Personal Care &gt; Skin Care &gt; Body Powder</t>
  </si>
  <si>
    <t>https://www.staples.com/Body-Powder/cat_CL168775</t>
  </si>
  <si>
    <t>Cleanser</t>
  </si>
  <si>
    <t>CL214191</t>
  </si>
  <si>
    <t>Healthcare Supplies &gt; Personal Care &gt; Skin Care &gt; Cleanser</t>
  </si>
  <si>
    <t>https://www.staples.com/Cleanser/cat_CL214191</t>
  </si>
  <si>
    <t>Deodorant</t>
  </si>
  <si>
    <t>CL168676</t>
  </si>
  <si>
    <t>Healthcare Supplies &gt; Personal Care &gt; Skin Care &gt; Deodorant</t>
  </si>
  <si>
    <t>https://www.staples.com/Deodorant/cat_CL168676</t>
  </si>
  <si>
    <t>Disposable Washcloths &amp; Bathing Wipes</t>
  </si>
  <si>
    <t>CL168377</t>
  </si>
  <si>
    <t>Healthcare Supplies &gt; Personal Care &gt; Skin Care &gt; Disposable Washcloths &amp; Bathing Wipes</t>
  </si>
  <si>
    <t>https://www.staples.com/Disposable-Washcloths/cat_CL168377</t>
  </si>
  <si>
    <t>Epsom Salt</t>
  </si>
  <si>
    <t>CL168825</t>
  </si>
  <si>
    <t>Healthcare Supplies &gt; Personal Care &gt; Skin Care &gt; Epsom Salt</t>
  </si>
  <si>
    <t>https://www.staples.com/Epsom-Salt/cat_CL168825</t>
  </si>
  <si>
    <t>Lip Balm</t>
  </si>
  <si>
    <t>CL168328</t>
  </si>
  <si>
    <t>Healthcare Supplies &gt; Personal Care &gt; Skin Care &gt; Lip Balm</t>
  </si>
  <si>
    <t>https://www.staples.com/Lip-Balm/cat_CL168328</t>
  </si>
  <si>
    <t>Lotion &amp; Moisturizer</t>
  </si>
  <si>
    <t>CL168778</t>
  </si>
  <si>
    <t>Healthcare Supplies &gt; Personal Care &gt; Skin Care &gt; Lotion &amp; Moisturizer</t>
  </si>
  <si>
    <t>https://www.staples.com/Lotion-Moisturizer/cat_CL168778</t>
  </si>
  <si>
    <t>Skin Care Treatment</t>
  </si>
  <si>
    <t>CL214196</t>
  </si>
  <si>
    <t>Healthcare Supplies &gt; Personal Care &gt; Skin Care &gt; Skin Care Treatment</t>
  </si>
  <si>
    <t>https://www.staples.com/Skin-Care-Treatment/cat_CL214196</t>
  </si>
  <si>
    <t>Sunscreen &amp; Sunblock</t>
  </si>
  <si>
    <t>CL211018</t>
  </si>
  <si>
    <t>Healthcare Supplies &gt; Personal Care &gt; Skin Care &gt; Sunscreen &amp; Sunblock</t>
  </si>
  <si>
    <t>https://www.staples.com/Sunscreen-Sunblock/cat_CL211018</t>
  </si>
  <si>
    <t>Personal Dental Care</t>
  </si>
  <si>
    <t>Oral Care</t>
  </si>
  <si>
    <t>Dental Floss &amp; Flossers</t>
  </si>
  <si>
    <t>CL214525</t>
  </si>
  <si>
    <t>Healthcare Supplies &gt; Personal Dental Care &gt; Oral Care &gt; Dental Floss &amp; Flossers</t>
  </si>
  <si>
    <t>https://www.staples.com/Dental-Floss-Flossers/cat_CL214525</t>
  </si>
  <si>
    <t>Denture Care</t>
  </si>
  <si>
    <t>CL168387</t>
  </si>
  <si>
    <t>Healthcare Supplies &gt; Personal Dental Care &gt; Oral Care &gt; Denture Care</t>
  </si>
  <si>
    <t>https://www.staples.com/Denture-Care/cat_CL168387</t>
  </si>
  <si>
    <t>Mouthwashes &amp; Rinses</t>
  </si>
  <si>
    <t>CL214528</t>
  </si>
  <si>
    <t>Healthcare Supplies &gt; Personal Dental Care &gt; Oral Care &gt; Mouthwashes &amp; Rinses</t>
  </si>
  <si>
    <t>https://www.staples.com/Mouthwashes-Rinses/cat_CL214528</t>
  </si>
  <si>
    <t>Toothbrushes</t>
  </si>
  <si>
    <t>CL355074</t>
  </si>
  <si>
    <t>Healthcare Supplies &gt; Personal Dental Care &gt; Oral Care &gt; Toothbrushes</t>
  </si>
  <si>
    <t>https://www.staples.com/Toothbrushes/cat_CL355074</t>
  </si>
  <si>
    <t>Physical Therapy and Rehabilitation Equipment</t>
  </si>
  <si>
    <t>Electrodes &amp; TENS Units</t>
  </si>
  <si>
    <t>CL215270</t>
  </si>
  <si>
    <t>Healthcare Supplies &gt; Physical Therapy and Rehabilitation Equipment &gt; Electrodes &amp; TENS Units</t>
  </si>
  <si>
    <t>https://www.staples.com/Electrodes-TENS-Units/cat_CL215270</t>
  </si>
  <si>
    <t>Rehabilitation &amp; Therapeutic Equipment</t>
  </si>
  <si>
    <t>CL168396</t>
  </si>
  <si>
    <t>Healthcare Supplies &gt; Physical Therapy and Rehabilitation Equipment &gt; Rehabilitation &amp; Therapeutic Equipment</t>
  </si>
  <si>
    <t>https://www.staples.com/Rehabilitation-Therapeutic-Equipment/cat_CL168396</t>
  </si>
  <si>
    <t>Traction Therapy</t>
  </si>
  <si>
    <t>CL168397</t>
  </si>
  <si>
    <t>Healthcare Supplies &gt; Physical Therapy and Rehabilitation Equipment &gt; Traction Therapy</t>
  </si>
  <si>
    <t>https://www.staples.com/Traction-Therapy/cat_CL168397</t>
  </si>
  <si>
    <t>Professional Dental Supplies</t>
  </si>
  <si>
    <t>Dental Instruments</t>
  </si>
  <si>
    <t>Bracket Holders, Band Seaters &amp; Accessories</t>
  </si>
  <si>
    <t>CL214538</t>
  </si>
  <si>
    <t>Healthcare Supplies &gt; Professional Dental Supplies &gt; Dental Instruments &gt; Bracket Holders, Band Seaters &amp; Accessories</t>
  </si>
  <si>
    <t>https://www.staples.com/Bracket-Holders-Band-Seaters-Accessories/cat_CL214538</t>
  </si>
  <si>
    <t>Infection Prevention</t>
  </si>
  <si>
    <t>Dental Applicators &amp; Swabs</t>
  </si>
  <si>
    <t>CL214600</t>
  </si>
  <si>
    <t>Healthcare Supplies &gt; Professional Dental Supplies &gt; Infection Prevention &gt; Dental Applicators &amp; Swabs</t>
  </si>
  <si>
    <t>https://www.staples.com/Applicators-Swabs/cat_CL214600</t>
  </si>
  <si>
    <t>Wound Care</t>
  </si>
  <si>
    <t>Advanced Wound Care</t>
  </si>
  <si>
    <t>Alginate Dressings</t>
  </si>
  <si>
    <t>CL168487</t>
  </si>
  <si>
    <t>Healthcare Supplies &gt; Wound Care &gt; Advanced Wound Care &gt; Alginate Dressings</t>
  </si>
  <si>
    <t>https://www.staples.com/Alginate-Dressings/cat_CL168487</t>
  </si>
  <si>
    <t>Cast Protectors</t>
  </si>
  <si>
    <t>CL168475</t>
  </si>
  <si>
    <t>Healthcare Supplies &gt; Wound Care &gt; Advanced Wound Care &gt; Cast Protectors</t>
  </si>
  <si>
    <t>https://www.staples.com/Cast-Protectors/cat_CL168475</t>
  </si>
  <si>
    <t>Composite &amp; Island Dressings</t>
  </si>
  <si>
    <t>CL168489</t>
  </si>
  <si>
    <t>Healthcare Supplies &gt; Wound Care &gt; Advanced Wound Care &gt; Composite &amp; Island Dressings</t>
  </si>
  <si>
    <t>https://www.staples.com/Composite-Island-Dressings/cat_CL168489</t>
  </si>
  <si>
    <t>Foam Dressings</t>
  </si>
  <si>
    <t>CL354988</t>
  </si>
  <si>
    <t>Healthcare Supplies &gt; Wound Care &gt; Advanced Wound Care &gt; Foam Dressings</t>
  </si>
  <si>
    <t>https://www.staples.com/Foam-Dressings/cat_CL354988</t>
  </si>
  <si>
    <t>Protective Arm &amp; Leg Sleeves</t>
  </si>
  <si>
    <t>CL168493</t>
  </si>
  <si>
    <t>Healthcare Supplies &gt; Wound Care &gt; Advanced Wound Care &gt; Protective Arm &amp; Leg Sleeves</t>
  </si>
  <si>
    <t>https://www.staples.com/Protective-Sleeves/cat_CL168493</t>
  </si>
  <si>
    <t>Skin Protectants &amp; Barriers</t>
  </si>
  <si>
    <t>CL168781</t>
  </si>
  <si>
    <t>Healthcare Supplies &gt; Wound Care &gt; Advanced Wound Care &gt; Skin Protectants &amp; Barriers</t>
  </si>
  <si>
    <t>https://www.staples.com/Skin-Protectants-Barriers/cat_CL168781</t>
  </si>
  <si>
    <t>Tourniquets</t>
  </si>
  <si>
    <t>CL168720</t>
  </si>
  <si>
    <t>Healthcare Supplies &gt; Wound Care &gt; Advanced Wound Care &gt; Tourniquets</t>
  </si>
  <si>
    <t>https://www.staples.com/Tourniquets/cat_CL168720</t>
  </si>
  <si>
    <t>Wound Closure</t>
  </si>
  <si>
    <t>CL168554</t>
  </si>
  <si>
    <t>Healthcare Supplies &gt; Wound Care &gt; Advanced Wound Care &gt; Wound Closure</t>
  </si>
  <si>
    <t>https://www.staples.com/Wound-Closure/cat_CL168554</t>
  </si>
  <si>
    <t>Wound Measurement</t>
  </si>
  <si>
    <t>CL354993</t>
  </si>
  <si>
    <t>Healthcare Supplies &gt; Wound Care &gt; Advanced Wound Care &gt; Wound Measurement</t>
  </si>
  <si>
    <t>https://www.staples.com/Wound-Measurement/cat_CL354993</t>
  </si>
  <si>
    <t>Antiseptics &amp; Antibiotics</t>
  </si>
  <si>
    <t>Alcohol Pads</t>
  </si>
  <si>
    <t>CL168455</t>
  </si>
  <si>
    <t>Healthcare Supplies &gt; Wound Care &gt; Antiseptics &amp; Antibiotics &gt; Alcohol Pads</t>
  </si>
  <si>
    <t>https://www.staples.com/Alcohol-Pads/cat_CL168455</t>
  </si>
  <si>
    <t>Anti-Itch</t>
  </si>
  <si>
    <t>CL168458</t>
  </si>
  <si>
    <t>Healthcare Supplies &gt; Wound Care &gt; Antiseptics &amp; Antibiotics &gt; Anti-Itch</t>
  </si>
  <si>
    <t>https://www.staples.com/Anti-Itch/cat_CL168458</t>
  </si>
  <si>
    <t>Antibiotic Ointments</t>
  </si>
  <si>
    <t>CL168456</t>
  </si>
  <si>
    <t>Healthcare Supplies &gt; Wound Care &gt; Antiseptics &amp; Antibiotics &gt; Antibiotic Ointments</t>
  </si>
  <si>
    <t>https://www.staples.com/Antibiotic-Ointments/cat_CL168456</t>
  </si>
  <si>
    <t>Antiseptics</t>
  </si>
  <si>
    <t>CL168900</t>
  </si>
  <si>
    <t>Healthcare Supplies &gt; Wound Care &gt; Antiseptics &amp; Antibiotics &gt; Antiseptics</t>
  </si>
  <si>
    <t>https://www.staples.com/Antiseptics/cat_CL168900</t>
  </si>
  <si>
    <t>Burn Dressings</t>
  </si>
  <si>
    <t>CL168486</t>
  </si>
  <si>
    <t>Healthcare Supplies &gt; Wound Care &gt; Antiseptics &amp; Antibiotics &gt; Burn Dressings</t>
  </si>
  <si>
    <t>https://www.staples.com/Burn-Dressings/cat_CL168486</t>
  </si>
  <si>
    <t>Hydrogen Peroxide</t>
  </si>
  <si>
    <t>CL168453</t>
  </si>
  <si>
    <t>Healthcare Supplies &gt; Wound Care &gt; Antiseptics &amp; Antibiotics &gt; Hydrogen Peroxide</t>
  </si>
  <si>
    <t>https://www.staples.com/Hydrogen-Peroxide/cat_CL168453</t>
  </si>
  <si>
    <t>Isopropyl Rubbing Alcohol</t>
  </si>
  <si>
    <t>CL168454</t>
  </si>
  <si>
    <t>Healthcare Supplies &gt; Wound Care &gt; Antiseptics &amp; Antibiotics &gt; Isopropyl Rubbing Alcohol</t>
  </si>
  <si>
    <t>https://www.staples.com/Isopropyl-Rubbing-Alcohol/cat_CL168454</t>
  </si>
  <si>
    <t>Bandages</t>
  </si>
  <si>
    <t>Adhesive Bandages</t>
  </si>
  <si>
    <t>CL140885</t>
  </si>
  <si>
    <t>Healthcare Supplies &gt; Wound Care &gt; Bandages &gt; Adhesive Bandages</t>
  </si>
  <si>
    <t>https://www.staples.com/Adhesive-Bandages/cat_CL140885</t>
  </si>
  <si>
    <t>Cohesive Bandages</t>
  </si>
  <si>
    <t>CL354985</t>
  </si>
  <si>
    <t>Healthcare Supplies &gt; Wound Care &gt; Bandages &gt; Cohesive Bandages</t>
  </si>
  <si>
    <t>https://www.staples.com/Cohesive-Bandages/cat_CL354985</t>
  </si>
  <si>
    <t>Elastic Bandages</t>
  </si>
  <si>
    <t>CL168467</t>
  </si>
  <si>
    <t>Healthcare Supplies &gt; Wound Care &gt; Bandages &gt; Elastic Bandages</t>
  </si>
  <si>
    <t>https://www.staples.com/Elastic-Bandages/cat_CL168467</t>
  </si>
  <si>
    <t>Liquid Bandages</t>
  </si>
  <si>
    <t>CL168470</t>
  </si>
  <si>
    <t>Healthcare Supplies &gt; Wound Care &gt; Bandages &gt; Liquid Bandages</t>
  </si>
  <si>
    <t>https://www.staples.com/Liquid-Bandages/cat_CL168470</t>
  </si>
  <si>
    <t>Medical Tape</t>
  </si>
  <si>
    <t>CL168500</t>
  </si>
  <si>
    <t>Healthcare Supplies &gt; Wound Care &gt; Bandages &gt; Medical Tape</t>
  </si>
  <si>
    <t>https://www.staples.com/Medical-Tape/cat_CL168500</t>
  </si>
  <si>
    <t>Tubular Bandages &amp; Netting</t>
  </si>
  <si>
    <t>CL168463</t>
  </si>
  <si>
    <t>Healthcare Supplies &gt; Wound Care &gt; Bandages &gt; Tubular Bandages &amp; Netting</t>
  </si>
  <si>
    <t>https://www.staples.com/Tubular-Bandages-Netting/cat_CL168463</t>
  </si>
  <si>
    <t>Gauze</t>
  </si>
  <si>
    <t>Abdominal Pads</t>
  </si>
  <si>
    <t>CL168540</t>
  </si>
  <si>
    <t>Healthcare Supplies &gt; Wound Care &gt; Gauze &gt; Abdominal Pads</t>
  </si>
  <si>
    <t>https://www.staples.com/Abdominal-Pads/cat_CL168540</t>
  </si>
  <si>
    <t>Conforming &amp; Rolled Gauze</t>
  </si>
  <si>
    <t>CL354983</t>
  </si>
  <si>
    <t>Healthcare Supplies &gt; Wound Care &gt; Gauze &gt; Conforming &amp; Rolled Gauze</t>
  </si>
  <si>
    <t>https://www.staples.com/Conforming-Rolled-Gauze/cat_CL354983</t>
  </si>
  <si>
    <t>Gauze Pads &amp; Sponges</t>
  </si>
  <si>
    <t>CL168537</t>
  </si>
  <si>
    <t>Healthcare Supplies &gt; Wound Care &gt; Gauze &gt; Gauze Pads &amp; Sponges</t>
  </si>
  <si>
    <t>https://www.staples.com/Gauze-Pads-Sponges/cat_CL168537</t>
  </si>
  <si>
    <t>Laboratory &amp; Scientific Supplies</t>
  </si>
  <si>
    <t>Educational Materials &amp; Accessories</t>
  </si>
  <si>
    <t>CL215264</t>
  </si>
  <si>
    <t>Laboratory &amp; Scientific Supplies &gt; Educational Materials &amp; Accessories</t>
  </si>
  <si>
    <t>https://www.staples.com/Educational-Materials-Accessories/cat_CL215264</t>
  </si>
  <si>
    <t>Lab Furniture &amp; Fixtures</t>
  </si>
  <si>
    <t>Lab Cabinets</t>
  </si>
  <si>
    <t>CL350133</t>
  </si>
  <si>
    <t>Laboratory &amp; Scientific Supplies &gt; Lab Furniture &amp; Fixtures &gt; Lab Cabinets</t>
  </si>
  <si>
    <t>https://www.staples.com/Lab-Cabinets/cat_CL350133</t>
  </si>
  <si>
    <t>Lab Sinks &amp; Plumbing Apparatus</t>
  </si>
  <si>
    <t>CL215473</t>
  </si>
  <si>
    <t>Laboratory &amp; Scientific Supplies &gt; Lab Furniture &amp; Fixtures &gt; Lab Sinks &amp; Plumbing Apparatus</t>
  </si>
  <si>
    <t>https://www.staples.com/Lab-Sinks-Plumbing-Apparatus/cat_CL215473</t>
  </si>
  <si>
    <t>Lab Instruments &amp; Equipment</t>
  </si>
  <si>
    <t>Lab Notebooks, Recorders &amp; Dataloggers</t>
  </si>
  <si>
    <t>CL215478</t>
  </si>
  <si>
    <t>Laboratory &amp; Scientific Supplies &gt; Lab Instruments &amp; Equipment &gt; Lab Notebooks, Recorders &amp; Dataloggers</t>
  </si>
  <si>
    <t>https://www.staples.com/Lab-Notebooks-Recorders-Dataloggers/cat_CL215478</t>
  </si>
  <si>
    <t>Light Sources</t>
  </si>
  <si>
    <t>CL350163</t>
  </si>
  <si>
    <t>Laboratory &amp; Scientific Supplies &gt; Lab Instruments &amp; Equipment &gt; Light Sources</t>
  </si>
  <si>
    <t>https://www.staples.com/Light-Sources/cat_CL350163</t>
  </si>
  <si>
    <t>Microscopes, Magnification &amp; Accessories</t>
  </si>
  <si>
    <t>CL350166</t>
  </si>
  <si>
    <t>Laboratory &amp; Scientific Supplies &gt; Lab Instruments &amp; Equipment &gt; Microscopes, Magnification &amp; Accessories</t>
  </si>
  <si>
    <t>https://www.staples.com/Microscopes-Magnification-Accessories/cat_CL350166</t>
  </si>
  <si>
    <t>Refrigerators, Freezers &amp; Accessories</t>
  </si>
  <si>
    <t>CL215479</t>
  </si>
  <si>
    <t>Laboratory &amp; Scientific Supplies &gt; Lab Instruments &amp; Equipment &gt; Refrigerators, Freezers &amp; Accessories</t>
  </si>
  <si>
    <t>https://www.staples.com/Refrigerators-Freezers-Accessories/cat_CL215479</t>
  </si>
  <si>
    <t>Timers, Clocks &amp; Stopwatches</t>
  </si>
  <si>
    <t>CL215637</t>
  </si>
  <si>
    <t>Laboratory &amp; Scientific Supplies &gt; Lab Instruments &amp; Equipment &gt; Timers, Clocks &amp; Stopwatches</t>
  </si>
  <si>
    <t>https://www.staples.com/Timers-Clocks-Stopwatches/cat_CL215637</t>
  </si>
  <si>
    <t>Lab Safety</t>
  </si>
  <si>
    <t>Hazard Communications, Labels, Tags &amp; Signs</t>
  </si>
  <si>
    <t>CL350127</t>
  </si>
  <si>
    <t>Laboratory &amp; Scientific Supplies &gt; Lab Safety &gt; Hazard Communications, Labels, Tags &amp; Signs</t>
  </si>
  <si>
    <t>https://www.staples.com/Hazard-Communications-Labels-Tags-Signs/cat_CL350127</t>
  </si>
  <si>
    <t>Labware &amp; Consumables</t>
  </si>
  <si>
    <t>Caps &amp; Closures</t>
  </si>
  <si>
    <t>CL215254</t>
  </si>
  <si>
    <t>Laboratory &amp; Scientific Supplies &gt; Labware &amp; Consumables &gt; Caps &amp; Closures</t>
  </si>
  <si>
    <t>https://www.staples.com/Caps-Closures/cat_CL215254</t>
  </si>
  <si>
    <t>CL215421</t>
  </si>
  <si>
    <t>Laboratory &amp; Scientific Supplies &gt; Labware &amp; Consumables &gt; Cleaning Supplies</t>
  </si>
  <si>
    <t>https://www.staples.com/Cleaning-Supplies/cat_CL215421</t>
  </si>
  <si>
    <t>Lab Dispensers</t>
  </si>
  <si>
    <t>CL350125</t>
  </si>
  <si>
    <t>Laboratory &amp; Scientific Supplies &gt; Labware &amp; Consumables &gt; Lab Dispensers</t>
  </si>
  <si>
    <t>https://www.staples.com/Lab-Dispensers/cat_CL350125</t>
  </si>
  <si>
    <t>Racks, Baskets &amp; Boxes</t>
  </si>
  <si>
    <t>CL215261</t>
  </si>
  <si>
    <t>Laboratory &amp; Scientific Supplies &gt; Labware &amp; Consumables &gt; Racks, Baskets &amp; Boxes</t>
  </si>
  <si>
    <t>https://www.staples.com/Racks-Baskets-Boxes/cat_CL215261</t>
  </si>
  <si>
    <t>Networking &amp; WiFi</t>
  </si>
  <si>
    <t>Ethernet Switches</t>
  </si>
  <si>
    <t>CL165750</t>
  </si>
  <si>
    <t>Networking &amp; WiFi &gt; Ethernet Switches</t>
  </si>
  <si>
    <t>https://www.staples.com/Ethernet-Switches/cat_CL165750</t>
  </si>
  <si>
    <t>Firewall Devices</t>
  </si>
  <si>
    <t>CL166252</t>
  </si>
  <si>
    <t>Networking &amp; WiFi &gt; Firewall Devices</t>
  </si>
  <si>
    <t>https://www.staples.com/Firewall-Devices/cat_CL166252</t>
  </si>
  <si>
    <t>Mesh WiFi Systems</t>
  </si>
  <si>
    <t>CL220815</t>
  </si>
  <si>
    <t>Networking &amp; WiFi &gt; Mesh WiFi Systems</t>
  </si>
  <si>
    <t>https://www.staples.com/Mesh-WiFi-Systems/cat_CL220815</t>
  </si>
  <si>
    <t>Modem/Router Combos</t>
  </si>
  <si>
    <t>CL353965</t>
  </si>
  <si>
    <t>Networking &amp; WiFi &gt; Modem/Router Combos</t>
  </si>
  <si>
    <t>https://www.staples.com/Modem-Router-Combos/cat_CL353965</t>
  </si>
  <si>
    <t>Modems</t>
  </si>
  <si>
    <t>CL140458</t>
  </si>
  <si>
    <t>Networking &amp; WiFi &gt; Modems</t>
  </si>
  <si>
    <t>https://www.staples.com/Modems/cat_CL140458</t>
  </si>
  <si>
    <t>Network Adapters</t>
  </si>
  <si>
    <t>CL167422</t>
  </si>
  <si>
    <t>Networking &amp; WiFi &gt; Network Adapters</t>
  </si>
  <si>
    <t>https://www.staples.com/Network-Adapters/cat_CL167422</t>
  </si>
  <si>
    <t>Network Testing Tools</t>
  </si>
  <si>
    <t>CL168998</t>
  </si>
  <si>
    <t>Networking &amp; WiFi &gt; Network Testing Tools</t>
  </si>
  <si>
    <t>https://www.staples.com/Network-Testing-Tools/cat_CL168998</t>
  </si>
  <si>
    <t>Network Transceivers</t>
  </si>
  <si>
    <t>CL168260</t>
  </si>
  <si>
    <t>Networking &amp; WiFi &gt; Network Transceivers</t>
  </si>
  <si>
    <t>https://www.staples.com/Network-Transceivers/cat_CL168260</t>
  </si>
  <si>
    <t>Networking Accessories</t>
  </si>
  <si>
    <t>CL165822</t>
  </si>
  <si>
    <t>Networking &amp; WiFi &gt; Networking Accessories</t>
  </si>
  <si>
    <t>https://www.staples.com/Networking-Accessories/cat_CL165822</t>
  </si>
  <si>
    <t>Routers</t>
  </si>
  <si>
    <t>CL165749</t>
  </si>
  <si>
    <t>Networking &amp; WiFi &gt; Routers</t>
  </si>
  <si>
    <t>https://www.staples.com/Routers/cat_CL165749</t>
  </si>
  <si>
    <t>WiFi Extenders &amp; Repeaters</t>
  </si>
  <si>
    <t>CL160118</t>
  </si>
  <si>
    <t>Networking &amp; WiFi &gt; WiFi Extenders &amp; Repeaters</t>
  </si>
  <si>
    <t>https://www.staples.com/WiFi-Extenders-Repeaters/cat_CL160118</t>
  </si>
  <si>
    <t>Wireless Access Points</t>
  </si>
  <si>
    <t>CL215781</t>
  </si>
  <si>
    <t>Networking &amp; WiFi &gt; Wireless Access Points</t>
  </si>
  <si>
    <t>https://www.staples.com/Wireless-Access-Points/cat_CL215781</t>
  </si>
  <si>
    <t>Binder Accessories</t>
  </si>
  <si>
    <t>CL20006</t>
  </si>
  <si>
    <t>Office Supplies &gt; Binder Accessories</t>
  </si>
  <si>
    <t>https://www.staples.com/Binder-Accessories/cat_CL20006</t>
  </si>
  <si>
    <t>Binders</t>
  </si>
  <si>
    <t>CL167205</t>
  </si>
  <si>
    <t>Office Supplies &gt; Binders</t>
  </si>
  <si>
    <t>https://www.staples.com/Binders/cat_CL167205</t>
  </si>
  <si>
    <t>Organizer Refills &amp; Accessories</t>
  </si>
  <si>
    <t>CL166401</t>
  </si>
  <si>
    <t>Office Supplies &gt; Calendars &amp; Planners &gt; Organizer Refills &amp; Accessories</t>
  </si>
  <si>
    <t>https://www.staples.com/Organizer-Refills-Accessories/cat_CL166401</t>
  </si>
  <si>
    <t>Clips, Fasteners &amp; Rubber Bands</t>
  </si>
  <si>
    <t>Binder &amp; Paper Clips</t>
  </si>
  <si>
    <t>CL10102</t>
  </si>
  <si>
    <t>Office Supplies &gt; Clips, Fasteners &amp; Rubber Bands &gt; Binder &amp; Paper Clips</t>
  </si>
  <si>
    <t>https://www.staples.com/Clips-Fasteners/cat_CL10102</t>
  </si>
  <si>
    <t>Magnets</t>
  </si>
  <si>
    <t>CL355023</t>
  </si>
  <si>
    <t>Office Supplies &gt; Clips, Fasteners &amp; Rubber Bands &gt; Magnets</t>
  </si>
  <si>
    <t>https://www.staples.com/Magnets/cat_CL355023</t>
  </si>
  <si>
    <t>Paper Fasteners</t>
  </si>
  <si>
    <t>CL354691</t>
  </si>
  <si>
    <t>Office Supplies &gt; Clips, Fasteners &amp; Rubber Bands &gt; Paper Fasteners</t>
  </si>
  <si>
    <t>https://www.staples.com/Paper-Fasteners/cat_CL354691</t>
  </si>
  <si>
    <t>Rubber Bands</t>
  </si>
  <si>
    <t>CL163579</t>
  </si>
  <si>
    <t>Office Supplies &gt; Clips, Fasteners &amp; Rubber Bands &gt; Rubber Bands</t>
  </si>
  <si>
    <t>https://www.staples.com/Rubber-Bands/cat_CL163579</t>
  </si>
  <si>
    <t>Thumb Tacks &amp; Push Pins</t>
  </si>
  <si>
    <t>CL354692</t>
  </si>
  <si>
    <t>Office Supplies &gt; Clips, Fasteners &amp; Rubber Bands &gt; Thumb Tacks &amp; Push Pins</t>
  </si>
  <si>
    <t>https://www.staples.com/Thumb-Tacks-Push-Pins/cat_CL354692</t>
  </si>
  <si>
    <t>Copy &amp; Printer Paper</t>
  </si>
  <si>
    <t>CL140691</t>
  </si>
  <si>
    <t>Office Supplies &gt; Copy &amp; Printer Paper</t>
  </si>
  <si>
    <t>https://www.staples.com/Copy-Printer-Paper/cat_CL140691</t>
  </si>
  <si>
    <t>Book &amp; Document Holders</t>
  </si>
  <si>
    <t>CL354545</t>
  </si>
  <si>
    <t>Office Supplies &gt; Desk Organizers &amp; Accessories &gt; Book &amp; Document Holders</t>
  </si>
  <si>
    <t>https://www.staples.com/Book-Document-Holders/cat_CL354545</t>
  </si>
  <si>
    <t>Bookends</t>
  </si>
  <si>
    <t>CL142117</t>
  </si>
  <si>
    <t>Office Supplies &gt; Desk Organizers &amp; Accessories &gt; Bookends</t>
  </si>
  <si>
    <t>https://www.staples.com/Bookends/cat_CL142117</t>
  </si>
  <si>
    <t>Business Card Holders &amp; Files</t>
  </si>
  <si>
    <t>CL163092</t>
  </si>
  <si>
    <t>Office Supplies &gt; Desk Organizers &amp; Accessories &gt; Business Card Holders &amp; Files</t>
  </si>
  <si>
    <t>https://www.staples.com/Business-Card-Holders-Files/cat_CL163092</t>
  </si>
  <si>
    <t>Desk Organizer Sets</t>
  </si>
  <si>
    <t>CL140986</t>
  </si>
  <si>
    <t>Office Supplies &gt; Desk Organizers &amp; Accessories &gt; Desk Organizer Sets</t>
  </si>
  <si>
    <t>https://www.staples.com/Desk-Organizer-Sets/cat_CL140986</t>
  </si>
  <si>
    <t>https://www.staples.com/Desk-Pads/cat_CL140589</t>
  </si>
  <si>
    <t>Drawer Organizers</t>
  </si>
  <si>
    <t>CL163265</t>
  </si>
  <si>
    <t>Office Supplies &gt; Desk Organizers &amp; Accessories &gt; Drawer Organizers</t>
  </si>
  <si>
    <t>https://www.staples.com/Drawer-Organizers/cat_CL163265</t>
  </si>
  <si>
    <t>File Organizers</t>
  </si>
  <si>
    <t>CL354546</t>
  </si>
  <si>
    <t>Office Supplies &gt; Desk Organizers &amp; Accessories &gt; File Organizers</t>
  </si>
  <si>
    <t>https://www.staples.com/File-Organizers/cat_CL354546</t>
  </si>
  <si>
    <t>File Sorters</t>
  </si>
  <si>
    <t>CL163317</t>
  </si>
  <si>
    <t>Office Supplies &gt; Desk Organizers &amp; Accessories &gt; File Sorters</t>
  </si>
  <si>
    <t>https://www.staples.com/File-Sorters/cat_CL163317</t>
  </si>
  <si>
    <t>Letter &amp; Desktop Trays</t>
  </si>
  <si>
    <t>CL142133</t>
  </si>
  <si>
    <t>Office Supplies &gt; Desk Organizers &amp; Accessories &gt; Letter &amp; Desktop Trays</t>
  </si>
  <si>
    <t>https://www.staples.com/Letter-Desktop-Trays/cat_CL142133</t>
  </si>
  <si>
    <t>Magazine Holders</t>
  </si>
  <si>
    <t>CL160476</t>
  </si>
  <si>
    <t>Office Supplies &gt; Desk Organizers &amp; Accessories &gt; Magazine Holders</t>
  </si>
  <si>
    <t>https://www.staples.com/Magazine-Holders/cat_CL160476</t>
  </si>
  <si>
    <t>Wall Files</t>
  </si>
  <si>
    <t>CL142107</t>
  </si>
  <si>
    <t>Office Supplies &gt; Desk Organizers &amp; Accessories &gt; Wall Files</t>
  </si>
  <si>
    <t>https://www.staples.com/Wall-Files/cat_CL142107</t>
  </si>
  <si>
    <t>Folders &amp; Filing</t>
  </si>
  <si>
    <t>Accordion Folders</t>
  </si>
  <si>
    <t>CL220757</t>
  </si>
  <si>
    <t>Office Supplies &gt; Folders &amp; Filing &gt; Accordion Folders</t>
  </si>
  <si>
    <t>https://www.staples.com/Accordion-Folders/cat_CL220757</t>
  </si>
  <si>
    <t>Classification Folders</t>
  </si>
  <si>
    <t>CL142831</t>
  </si>
  <si>
    <t>Office Supplies &gt; Folders &amp; Filing &gt; Classification Folders</t>
  </si>
  <si>
    <t>https://www.staples.com/Classification-Folders/cat_CL142831</t>
  </si>
  <si>
    <t>File Folders</t>
  </si>
  <si>
    <t>CL141669</t>
  </si>
  <si>
    <t>Office Supplies &gt; Folders &amp; Filing &gt; File Folders</t>
  </si>
  <si>
    <t>https://www.staples.com/File-Folders/cat_CL141669</t>
  </si>
  <si>
    <t>File Pockets &amp; Jackets</t>
  </si>
  <si>
    <t>CL161019</t>
  </si>
  <si>
    <t>Office Supplies &gt; Folders &amp; Filing &gt; File Pockets &amp; Jackets</t>
  </si>
  <si>
    <t>https://www.staples.com/File-Pockets-Jackets/cat_CL161019</t>
  </si>
  <si>
    <t>File Storage</t>
  </si>
  <si>
    <t>CL165731</t>
  </si>
  <si>
    <t>Office Supplies &gt; Folders &amp; Filing &gt; File Storage</t>
  </si>
  <si>
    <t>https://www.staples.com/File-Storage/cat_CL165731</t>
  </si>
  <si>
    <t>Filing Accessories</t>
  </si>
  <si>
    <t>CL158855</t>
  </si>
  <si>
    <t>Office Supplies &gt; Folders &amp; Filing &gt; Filing Accessories</t>
  </si>
  <si>
    <t>https://www.staples.com/Filing-Accessories/cat_CL158855</t>
  </si>
  <si>
    <t>Hanging File Folders</t>
  </si>
  <si>
    <t>CL140599</t>
  </si>
  <si>
    <t>Office Supplies &gt; Folders &amp; Filing &gt; Hanging File Folders</t>
  </si>
  <si>
    <t>https://www.staples.com/Hanging-File-Folders/cat_CL140599</t>
  </si>
  <si>
    <t>Pocket &amp; Presentation Folders</t>
  </si>
  <si>
    <t>Pocket Folders</t>
  </si>
  <si>
    <t>CL140674</t>
  </si>
  <si>
    <t>Office Supplies &gt; Folders &amp; Filing &gt; Pocket &amp; Presentation Folders &gt; Pocket Folders</t>
  </si>
  <si>
    <t>https://www.staples.com/Pocket-Folders/cat_CL140674</t>
  </si>
  <si>
    <t>Presentation Books</t>
  </si>
  <si>
    <t>CL162165</t>
  </si>
  <si>
    <t>Office Supplies &gt; Folders &amp; Filing &gt; Pocket &amp; Presentation Folders &gt; Presentation Books</t>
  </si>
  <si>
    <t>https://www.staples.com/Presentation-Books/cat_CL162165</t>
  </si>
  <si>
    <t>Report Covers</t>
  </si>
  <si>
    <t>CL130501</t>
  </si>
  <si>
    <t>Office Supplies &gt; Folders &amp; Filing &gt; Pocket &amp; Presentation Folders &gt; Report Covers</t>
  </si>
  <si>
    <t>https://www.staples.com/Report-Covers/cat_CL130501</t>
  </si>
  <si>
    <t>Forms &amp; Recordkeeping</t>
  </si>
  <si>
    <t>Accounting &amp; Record Journals</t>
  </si>
  <si>
    <t>CL100501</t>
  </si>
  <si>
    <t>Office Supplies &gt; Forms &amp; Recordkeeping &gt; Accounting &amp; Record Journals</t>
  </si>
  <si>
    <t>https://www.staples.com/Accounting-Record-Journals/cat_CL100501</t>
  </si>
  <si>
    <t>Business Forms</t>
  </si>
  <si>
    <t>CL141007</t>
  </si>
  <si>
    <t>Office Supplies &gt; Forms &amp; Recordkeeping &gt; Business Forms</t>
  </si>
  <si>
    <t>https://www.staples.com/Business-Forms/cat_CL141007</t>
  </si>
  <si>
    <t>Digital Legal Forms</t>
  </si>
  <si>
    <t>CL216640</t>
  </si>
  <si>
    <t>Office Supplies &gt; Forms &amp; Recordkeeping &gt; Digital Legal Forms</t>
  </si>
  <si>
    <t>https://www.staples.com/Digital-Legal-Forms/cat_CL216640</t>
  </si>
  <si>
    <t>HR Forms</t>
  </si>
  <si>
    <t>CL164585</t>
  </si>
  <si>
    <t>Office Supplies &gt; Forms &amp; Recordkeeping &gt; HR Forms</t>
  </si>
  <si>
    <t>https://www.staples.com/HR-Forms/cat_CL164585</t>
  </si>
  <si>
    <t>Medical Forms</t>
  </si>
  <si>
    <t>CL214615</t>
  </si>
  <si>
    <t>Office Supplies &gt; Forms &amp; Recordkeeping &gt; Medical Forms</t>
  </si>
  <si>
    <t>https://www.staples.com/Medical-Forms/cat_CL214615</t>
  </si>
  <si>
    <t>Tax Forms</t>
  </si>
  <si>
    <t>CL168347</t>
  </si>
  <si>
    <t>Office Supplies &gt; Forms &amp; Recordkeeping &gt; Tax Forms</t>
  </si>
  <si>
    <t>https://www.staples.com/Tax-Forms/cat_CL168347</t>
  </si>
  <si>
    <t>ID Card Printers &amp; Accessories</t>
  </si>
  <si>
    <t>CL215740</t>
  </si>
  <si>
    <t>Office Supplies &gt; Label Makers &amp; Tapes &gt; ID Card Printers &amp; Accessories</t>
  </si>
  <si>
    <t>https://www.staples.com/ID-Card-Printers-Accessories/cat_CL215740</t>
  </si>
  <si>
    <t>Label Maker Tapes &amp; Printer Labels</t>
  </si>
  <si>
    <t>CL140557</t>
  </si>
  <si>
    <t>Office Supplies &gt; Label Makers &amp; Tapes &gt; Label Maker Tapes &amp; Printer Labels</t>
  </si>
  <si>
    <t>https://www.staples.com/Label-Maker-Tapes-Printer-Labels/cat_CL140557</t>
  </si>
  <si>
    <t>https://www.staples.com/Labels/cat_CL142725</t>
  </si>
  <si>
    <t>Laminators &amp; Supplies</t>
  </si>
  <si>
    <t>Laminating Machines</t>
  </si>
  <si>
    <t>CL142540</t>
  </si>
  <si>
    <t>Office Supplies &gt; Laminators &amp; Supplies &gt; Laminating Machines</t>
  </si>
  <si>
    <t>https://www.staples.com/Laminating-Machines/cat_CL142540</t>
  </si>
  <si>
    <t>Laminating Pouches &amp; Sheets</t>
  </si>
  <si>
    <t>CL142542</t>
  </si>
  <si>
    <t>Office Supplies &gt; Laminators &amp; Supplies &gt; Laminating Pouches &amp; Sheets</t>
  </si>
  <si>
    <t>https://www.staples.com/Laminating-Pouches-Sheets/cat_CL142542</t>
  </si>
  <si>
    <t>Notepads</t>
  </si>
  <si>
    <t>CL220835</t>
  </si>
  <si>
    <t>Office Supplies &gt; Notebooks &amp; Notepads &gt; Notepads</t>
  </si>
  <si>
    <t>https://www.staples.com/Notepads/cat_CL220835</t>
  </si>
  <si>
    <t>Office Basics</t>
  </si>
  <si>
    <t>Clipboards</t>
  </si>
  <si>
    <t>CL140606</t>
  </si>
  <si>
    <t>Office Supplies &gt; Office Basics &gt; Clipboards</t>
  </si>
  <si>
    <t>https://www.staples.com/Clipboards/cat_CL140606</t>
  </si>
  <si>
    <t>Office Supply Kits</t>
  </si>
  <si>
    <t>CL354685</t>
  </si>
  <si>
    <t>Office Supplies &gt; Office Basics &gt; Office Supply Kits</t>
  </si>
  <si>
    <t>https://www.staples.com/Office-Supply-Kits/cat_CL354685</t>
  </si>
  <si>
    <t>Post-it® &amp; Sticky Notes</t>
  </si>
  <si>
    <t>CL165755</t>
  </si>
  <si>
    <t>Office Supplies &gt; Office Basics &gt; Post-it® &amp; Sticky Notes</t>
  </si>
  <si>
    <t>https://www.staples.com/Post-it-Sticky-Notes/cat_CL165755</t>
  </si>
  <si>
    <t>Post-it® / Sticky Flags &amp; Tabs</t>
  </si>
  <si>
    <t>CL165756</t>
  </si>
  <si>
    <t>Office Supplies &gt; Office Basics &gt; Post-it® / Sticky Flags &amp; Tabs</t>
  </si>
  <si>
    <t>https://www.staples.com/Post-it-Sticky-Flags-Tabs/cat_CL165756</t>
  </si>
  <si>
    <t>Post-it® and Sticky Notes Dispensers</t>
  </si>
  <si>
    <t>CL165757</t>
  </si>
  <si>
    <t>Office Supplies &gt; Office Basics &gt; Post-it® and Sticky Notes Dispensers</t>
  </si>
  <si>
    <t>https://www.staples.com/Post-it-and-Sticky-Notes-Dispensers/cat_CL165757</t>
  </si>
  <si>
    <t>Rulers &amp; Measuring Devices</t>
  </si>
  <si>
    <t>CL10503</t>
  </si>
  <si>
    <t>Office Supplies &gt; Office Basics &gt; Rulers &amp; Measuring Devices</t>
  </si>
  <si>
    <t>https://www.staples.com/Rulers-Measuring-Devices/cat_CL10503</t>
  </si>
  <si>
    <t>Scissors, Hole Punches &amp; Paper Cutters</t>
  </si>
  <si>
    <t>Hole Punches</t>
  </si>
  <si>
    <t>CL160904</t>
  </si>
  <si>
    <t>Office Supplies &gt; Scissors, Hole Punches &amp; Paper Cutters &gt; Hole Punches</t>
  </si>
  <si>
    <t>https://www.staples.com/Paper-Punches/cat_CL160904</t>
  </si>
  <si>
    <t>Paper Cutters</t>
  </si>
  <si>
    <t>CL167637</t>
  </si>
  <si>
    <t>Office Supplies &gt; Scissors, Hole Punches &amp; Paper Cutters &gt; Paper Cutters</t>
  </si>
  <si>
    <t>https://www.staples.com/Paper-Trimmers/cat_CL167637</t>
  </si>
  <si>
    <t>Scissors</t>
  </si>
  <si>
    <t>CL10504</t>
  </si>
  <si>
    <t>Office Supplies &gt; Scissors, Hole Punches &amp; Paper Cutters &gt; Scissors</t>
  </si>
  <si>
    <t>https://www.staples.com/Scissors/cat_CL10504</t>
  </si>
  <si>
    <t>Sheet Protectors</t>
  </si>
  <si>
    <t>CL350730</t>
  </si>
  <si>
    <t>Office Supplies &gt; Sheet Protectors</t>
  </si>
  <si>
    <t>https://www.staples.com/Sheet-Protectors/cat_CL350730</t>
  </si>
  <si>
    <t>Stamps &amp; Stamp Pads</t>
  </si>
  <si>
    <t>CL142740</t>
  </si>
  <si>
    <t>Office Supplies &gt; Stamps &amp; Stamp Pads</t>
  </si>
  <si>
    <t>https://www.staples.com/Stamps-Stamp-Pads/cat_CL142740</t>
  </si>
  <si>
    <t>Staplers &amp; Staples</t>
  </si>
  <si>
    <t>Staple Removers</t>
  </si>
  <si>
    <t>CL140862</t>
  </si>
  <si>
    <t>Office Supplies &gt; Staplers &amp; Staples &gt; Staple Removers</t>
  </si>
  <si>
    <t>https://www.staples.com/Staple-Removers/cat_CL140862</t>
  </si>
  <si>
    <t>Staplers</t>
  </si>
  <si>
    <t>CL10700</t>
  </si>
  <si>
    <t>Office Supplies &gt; Staplers &amp; Staples &gt; Staplers</t>
  </si>
  <si>
    <t>https://www.staples.com/Staplers/cat_CL10700</t>
  </si>
  <si>
    <t>Staples</t>
  </si>
  <si>
    <t>CL10704</t>
  </si>
  <si>
    <t>Office Supplies &gt; Staplers &amp; Staples &gt; Staples</t>
  </si>
  <si>
    <t>https://www.staples.com/Staples/cat_CL10704</t>
  </si>
  <si>
    <t>Storage Containers &amp; Boxes</t>
  </si>
  <si>
    <t>CL215127</t>
  </si>
  <si>
    <t>Office Supplies &gt; Storage &amp; Organization &gt; Storage Containers &amp; Boxes</t>
  </si>
  <si>
    <t>https://www.staples.com/Storage-Containers-Boxes/cat_CL215127</t>
  </si>
  <si>
    <t>Storage Drawers</t>
  </si>
  <si>
    <t>CL140604</t>
  </si>
  <si>
    <t>Office Supplies &gt; Storage &amp; Organization &gt; Storage Drawers</t>
  </si>
  <si>
    <t>https://www.staples.com/Storage-Drawers/cat_CL140604</t>
  </si>
  <si>
    <t>Adhesive Dots &amp; Tape Runners</t>
  </si>
  <si>
    <t>CL354675</t>
  </si>
  <si>
    <t>Office Supplies &gt; Tape, Fasteners &amp; Adhesives &gt; Adhesive Dots &amp; Tape Runners</t>
  </si>
  <si>
    <t>https://www.staples.com/Adhesive-Dots-Tape-Runners/cat_CL354675</t>
  </si>
  <si>
    <t>Glue &amp; Glue Sticks</t>
  </si>
  <si>
    <t>CL166024</t>
  </si>
  <si>
    <t>Office Supplies &gt; Tape, Fasteners &amp; Adhesives &gt; Glue &amp; Glue Sticks</t>
  </si>
  <si>
    <t>https://www.staples.com/Glue-Glue-Sticks/cat_CL166024</t>
  </si>
  <si>
    <t>Hot Glue Sticks &amp; Guns</t>
  </si>
  <si>
    <t>CL354680</t>
  </si>
  <si>
    <t>Office Supplies &gt; Tape, Fasteners &amp; Adhesives &gt; Hot Glue Sticks &amp; Guns</t>
  </si>
  <si>
    <t>https://www.staples.com/Hot-Glue-Sticks-Guns/cat_CL354680</t>
  </si>
  <si>
    <t>Mounting</t>
  </si>
  <si>
    <t>Hook and Loop Fasteners</t>
  </si>
  <si>
    <t>CL140446</t>
  </si>
  <si>
    <t>Office Supplies &gt; Tape, Fasteners &amp; Adhesives &gt; Mounting &gt; Hook and Loop Fasteners</t>
  </si>
  <si>
    <t>https://www.staples.com/Hook-and-Loop-Fasteners/cat_CL140446</t>
  </si>
  <si>
    <t>Hooks &amp; Hanging Strips</t>
  </si>
  <si>
    <t>CL215292</t>
  </si>
  <si>
    <t>Office Supplies &gt; Tape, Fasteners &amp; Adhesives &gt; Mounting &gt; Hooks &amp; Hanging Strips</t>
  </si>
  <si>
    <t>https://www.staples.com/Hooks-Hanging-Strips/cat_CL215292</t>
  </si>
  <si>
    <t>Putty</t>
  </si>
  <si>
    <t>CL354681</t>
  </si>
  <si>
    <t>Office Supplies &gt; Tape, Fasteners &amp; Adhesives &gt; Mounting &gt; Putty</t>
  </si>
  <si>
    <t>https://www.staples.com/Putty/cat_CL354681</t>
  </si>
  <si>
    <t>Duct Tape</t>
  </si>
  <si>
    <t>CL167765</t>
  </si>
  <si>
    <t>Office Supplies &gt; Tape, Fasteners &amp; Adhesives &gt; Tape &gt; Duct Tape</t>
  </si>
  <si>
    <t>https://www.staples.com/Duct-Tape/cat_CL167765</t>
  </si>
  <si>
    <t>Electrical Tape</t>
  </si>
  <si>
    <t>CL216890</t>
  </si>
  <si>
    <t>Office Supplies &gt; Tape, Fasteners &amp; Adhesives &gt; Tape &gt; Electrical Tape</t>
  </si>
  <si>
    <t>https://www.staples.com/Electrical-Tape/cat_CL216890</t>
  </si>
  <si>
    <t>Filament &amp; Strapping Tape</t>
  </si>
  <si>
    <t>CL350296</t>
  </si>
  <si>
    <t>Office Supplies &gt; Tape, Fasteners &amp; Adhesives &gt; Tape &gt; Filament &amp; Strapping Tape</t>
  </si>
  <si>
    <t>https://www.staples.com/Filament-Strapping-Tape/cat_CL350296</t>
  </si>
  <si>
    <t>Gaffers Tape</t>
  </si>
  <si>
    <t>CL350300</t>
  </si>
  <si>
    <t>Office Supplies &gt; Tape, Fasteners &amp; Adhesives &gt; Tape &gt; Gaffers Tape</t>
  </si>
  <si>
    <t>https://www.staples.com/Gaffers-Tape/cat_CL350300</t>
  </si>
  <si>
    <t>Masking Tape</t>
  </si>
  <si>
    <t>CL141874</t>
  </si>
  <si>
    <t>Office Supplies &gt; Tape, Fasteners &amp; Adhesives &gt; Tape &gt; Masking Tape</t>
  </si>
  <si>
    <t>https://www.staples.com/Masking-Tape/cat_CL141874</t>
  </si>
  <si>
    <t>Mounting Tape</t>
  </si>
  <si>
    <t>CL350610</t>
  </si>
  <si>
    <t>Office Supplies &gt; Tape, Fasteners &amp; Adhesives &gt; Tape &gt; Mounting Tape</t>
  </si>
  <si>
    <t>https://www.staples.com/Mounting-Tape/cat_CL350610</t>
  </si>
  <si>
    <t>Packing Tape</t>
  </si>
  <si>
    <t>CL140631</t>
  </si>
  <si>
    <t>Office Supplies &gt; Tape, Fasteners &amp; Adhesives &gt; Tape &gt; Packing Tape</t>
  </si>
  <si>
    <t>https://www.staples.com/Packing-Tape/cat_CL140631</t>
  </si>
  <si>
    <t>Safety &amp; Reflective Tape</t>
  </si>
  <si>
    <t>CL218626</t>
  </si>
  <si>
    <t>Office Supplies &gt; Tape, Fasteners &amp; Adhesives &gt; Tape &gt; Safety &amp; Reflective Tape</t>
  </si>
  <si>
    <t>https://www.staples.com/Safety-Reflective-Tape/cat_CL218626</t>
  </si>
  <si>
    <t>Security Tape</t>
  </si>
  <si>
    <t>CL350283</t>
  </si>
  <si>
    <t>Office Supplies &gt; Tape, Fasteners &amp; Adhesives &gt; Tape &gt; Security Tape</t>
  </si>
  <si>
    <t>https://www.staples.com/Security-Tape/cat_CL350283</t>
  </si>
  <si>
    <t>Specialty Tape</t>
  </si>
  <si>
    <t>CL215667</t>
  </si>
  <si>
    <t>Office Supplies &gt; Tape, Fasteners &amp; Adhesives &gt; Tape &gt; Specialty Tape</t>
  </si>
  <si>
    <t>https://www.staples.com/Specialty-Tape/cat_CL215667</t>
  </si>
  <si>
    <t>Tape Dispensers</t>
  </si>
  <si>
    <t>CL215666</t>
  </si>
  <si>
    <t>Office Supplies &gt; Tape, Fasteners &amp; Adhesives &gt; Tape Dispensers</t>
  </si>
  <si>
    <t>https://www.staples.com/Tape-Dispensers/cat_CL215666</t>
  </si>
  <si>
    <t>Correction &amp; White Out</t>
  </si>
  <si>
    <t>CL350630</t>
  </si>
  <si>
    <t>Office Supplies &gt; Writing Supplies &amp; Instruments &gt; Correction &amp; White Out</t>
  </si>
  <si>
    <t>https://www.staples.com/Correction-White-Out/cat_CL350630</t>
  </si>
  <si>
    <t>Erasers</t>
  </si>
  <si>
    <t>CL140615</t>
  </si>
  <si>
    <t>Office Supplies &gt; Writing Supplies &amp; Instruments &gt; Erasers</t>
  </si>
  <si>
    <t>https://www.staples.com/Erasers/cat_CL140615</t>
  </si>
  <si>
    <t>Highlighters</t>
  </si>
  <si>
    <t>CL158890</t>
  </si>
  <si>
    <t>Office Supplies &gt; Writing Supplies &amp; Instruments &gt; Highlighters</t>
  </si>
  <si>
    <t>https://www.staples.com/Highlighters/cat_CL158890</t>
  </si>
  <si>
    <t>Markers</t>
  </si>
  <si>
    <t>CL140896</t>
  </si>
  <si>
    <t>Office Supplies &gt; Writing Supplies &amp; Instruments &gt; Markers</t>
  </si>
  <si>
    <t>https://www.staples.com/Markers/cat_CL140896</t>
  </si>
  <si>
    <t>CL207301</t>
  </si>
  <si>
    <t>Office Supplies &gt; Writing Supplies &amp; Instruments &gt; Pencil Accessories &gt; Pencil Accessories</t>
  </si>
  <si>
    <t>https://www.staples.com/Pencil-Accessories/cat_CL207301</t>
  </si>
  <si>
    <t>Pencil Sharpeners</t>
  </si>
  <si>
    <t>CL110300</t>
  </si>
  <si>
    <t>Office Supplies &gt; Writing Supplies &amp; Instruments &gt; Pencil Accessories &gt; Pencil Sharpeners</t>
  </si>
  <si>
    <t>https://www.staples.com/Pencil-Sharpeners/cat_CL110300</t>
  </si>
  <si>
    <t>Pencils</t>
  </si>
  <si>
    <t>CL110200</t>
  </si>
  <si>
    <t>Office Supplies &gt; Writing Supplies &amp; Instruments &gt; Pencils</t>
  </si>
  <si>
    <t>https://www.staples.com/Pencils/cat_CL110200</t>
  </si>
  <si>
    <t>https://www.staples.com/Pens/cat_CL110001</t>
  </si>
  <si>
    <t>Paper</t>
  </si>
  <si>
    <t>Business &amp; Loyalty Cards</t>
  </si>
  <si>
    <t>CL206118</t>
  </si>
  <si>
    <t>Paper &gt; Business &amp; Loyalty Cards</t>
  </si>
  <si>
    <t>https://www.staples.com/Business-Loyalty-Cards/cat_CL206118</t>
  </si>
  <si>
    <t>Card Stock</t>
  </si>
  <si>
    <t>CL214438</t>
  </si>
  <si>
    <t>Paper &gt; Card Stock</t>
  </si>
  <si>
    <t>https://www.staples.com/Card-Stock/cat_CL214438</t>
  </si>
  <si>
    <t>Certificates &amp; Holders</t>
  </si>
  <si>
    <t>CL158858</t>
  </si>
  <si>
    <t>Paper &gt; Certificates &amp; Holders</t>
  </si>
  <si>
    <t>https://www.staples.com/Certificates-Holders/cat_CL158858</t>
  </si>
  <si>
    <t>Classroom Paper</t>
  </si>
  <si>
    <t>CL216715</t>
  </si>
  <si>
    <t>Paper &gt; Classroom Paper</t>
  </si>
  <si>
    <t>https://www.staples.com/Classroom-Paper/cat_CL216715</t>
  </si>
  <si>
    <t>Construction Paper</t>
  </si>
  <si>
    <t>CL350245</t>
  </si>
  <si>
    <t>Paper &gt; Construction Paper</t>
  </si>
  <si>
    <t>https://www.staples.com/Construction-Paper/cat_CL350245</t>
  </si>
  <si>
    <t>Easel Pads</t>
  </si>
  <si>
    <t>CL140915</t>
  </si>
  <si>
    <t>Paper &gt; Easel Pads</t>
  </si>
  <si>
    <t>https://www.staples.com/Easel-Pads/cat_CL140915</t>
  </si>
  <si>
    <t>Envelopes</t>
  </si>
  <si>
    <t>CL142681</t>
  </si>
  <si>
    <t>Paper &gt; Envelopes &gt; Envelopes</t>
  </si>
  <si>
    <t>https://www.staples.com/Envelopes/cat_CL142681</t>
  </si>
  <si>
    <t>Finger Pads &amp; Moisteners</t>
  </si>
  <si>
    <t>CL141635</t>
  </si>
  <si>
    <t>Paper &gt; Envelopes &gt; Finger Pads &amp; Moisteners</t>
  </si>
  <si>
    <t>https://www.staples.com/Finger-Pads-Moisteners/cat_CL141635</t>
  </si>
  <si>
    <t>Fine Business &amp; Resume Papers</t>
  </si>
  <si>
    <t>CL221518</t>
  </si>
  <si>
    <t>Paper &gt; Fine Business &amp; Resume Papers</t>
  </si>
  <si>
    <t>https://www.staples.com/Fine-Business-Resume-Papers/cat_CL221518</t>
  </si>
  <si>
    <t>Index Cards</t>
  </si>
  <si>
    <t>CL214476</t>
  </si>
  <si>
    <t>Paper &gt; Index Cards</t>
  </si>
  <si>
    <t>https://www.staples.com/Index-Cards/cat_CL214476</t>
  </si>
  <si>
    <t>Loose Leaf &amp; Graph Paper</t>
  </si>
  <si>
    <t>CL161811</t>
  </si>
  <si>
    <t>Paper &gt; Loose Leaf &amp; Graph Paper</t>
  </si>
  <si>
    <t>https://www.staples.com/Loose-Leaf-Graph-Paper/cat_CL161811</t>
  </si>
  <si>
    <t>Notebooks</t>
  </si>
  <si>
    <t>CL165557</t>
  </si>
  <si>
    <t>Paper &gt; Notebooks</t>
  </si>
  <si>
    <t>https://www.staples.com/Notebooks/cat_CL165557</t>
  </si>
  <si>
    <t>Specialty Paper Products</t>
  </si>
  <si>
    <t>POS Paper</t>
  </si>
  <si>
    <t>CL140671</t>
  </si>
  <si>
    <t>Paper &gt; Specialty Paper Products &gt; POS Paper</t>
  </si>
  <si>
    <t>https://www.staples.com/POS-Paper/cat_CL140671</t>
  </si>
  <si>
    <t>Presentation &amp; Photo Paper</t>
  </si>
  <si>
    <t>CL168887</t>
  </si>
  <si>
    <t>Paper &gt; Specialty Paper Products &gt; Presentation &amp; Photo Paper</t>
  </si>
  <si>
    <t>https://www.staples.com/Presentation-Photo-Paper/cat_CL168887</t>
  </si>
  <si>
    <t>Security &amp; Carbon Paper</t>
  </si>
  <si>
    <t>CL206130</t>
  </si>
  <si>
    <t>Paper &gt; Specialty Paper Products &gt; Security &amp; Carbon Paper</t>
  </si>
  <si>
    <t>https://www.staples.com/Security-Carbon-Paper/cat_CL206130</t>
  </si>
  <si>
    <t>Thermal Fax Paper Rolls</t>
  </si>
  <si>
    <t>CL140672</t>
  </si>
  <si>
    <t>Paper &gt; Thermal Fax Paper Rolls</t>
  </si>
  <si>
    <t>https://www.staples.com/Thermal-Fax-Paper-Rolls/cat_CL140672</t>
  </si>
  <si>
    <t>Wide Format Paper</t>
  </si>
  <si>
    <t>CL142870</t>
  </si>
  <si>
    <t>Paper &gt; Wide Format Paper</t>
  </si>
  <si>
    <t>https://www.staples.com/Wide-Format-Paper/cat_CL142870</t>
  </si>
  <si>
    <t>Anniversary Supplies</t>
  </si>
  <si>
    <t>CL216994</t>
  </si>
  <si>
    <t>Party Supplies &gt; Anniversary Supplies</t>
  </si>
  <si>
    <t>https://www.staples.com/Anniversary-Supplies/cat_CL216994</t>
  </si>
  <si>
    <t>Balloons &amp; Accessories</t>
  </si>
  <si>
    <t>Balloon Accessories</t>
  </si>
  <si>
    <t>CL355093</t>
  </si>
  <si>
    <t>Party Supplies &gt; Balloons &amp; Accessories &gt; Balloon Accessories</t>
  </si>
  <si>
    <t>https://www.staples.com/Balloon-Accessories/cat_CL355093</t>
  </si>
  <si>
    <t>Balloons</t>
  </si>
  <si>
    <t>CL355028</t>
  </si>
  <si>
    <t>Party Supplies &gt; Balloons &amp; Accessories &gt; Balloons</t>
  </si>
  <si>
    <t>https://www.staples.com/Balloons/cat_CL355028</t>
  </si>
  <si>
    <t>Disposable Bowls</t>
  </si>
  <si>
    <t>CL218856</t>
  </si>
  <si>
    <t>Party Supplies &gt; Disposable Bowls</t>
  </si>
  <si>
    <t>https://www.staples.com/Disposable-Bowls/cat_CL218856</t>
  </si>
  <si>
    <t>Disposable Cup Lids &amp; Sleeves</t>
  </si>
  <si>
    <t>CL350751</t>
  </si>
  <si>
    <t>Party Supplies &gt; Disposable Cup Lids &amp; Sleeves</t>
  </si>
  <si>
    <t>https://www.staples.com/Disposable-Cup-Lids-Sleeves/cat_CL350751</t>
  </si>
  <si>
    <t>Disposable Cups</t>
  </si>
  <si>
    <t>CL218855</t>
  </si>
  <si>
    <t>Party Supplies &gt; Disposable Cups</t>
  </si>
  <si>
    <t>https://www.staples.com/Disposable-Cups/cat_CL218855</t>
  </si>
  <si>
    <t>Disposable Cutlery &amp; Dispensers</t>
  </si>
  <si>
    <t>CL142176</t>
  </si>
  <si>
    <t>Party Supplies &gt; Disposable Cutlery &amp; Dispensers</t>
  </si>
  <si>
    <t>https://www.staples.com/Disposable-Cutlery/cat_CL142176</t>
  </si>
  <si>
    <t>Disposable Plates</t>
  </si>
  <si>
    <t>CL142175</t>
  </si>
  <si>
    <t>Party Supplies &gt; Disposable Plates</t>
  </si>
  <si>
    <t>https://www.staples.com/Disposable-Plates/cat_CL142175</t>
  </si>
  <si>
    <t>Napkins</t>
  </si>
  <si>
    <t>CL141827</t>
  </si>
  <si>
    <t>Party Supplies &gt; Napkins</t>
  </si>
  <si>
    <t>https://www.staples.com/Napkins/cat_CL141827</t>
  </si>
  <si>
    <t>Party Décor</t>
  </si>
  <si>
    <t>CL214290</t>
  </si>
  <si>
    <t>Party Supplies &gt; Party Décor</t>
  </si>
  <si>
    <t>https://www.staples.com/Party-D-cor/cat_CL214290</t>
  </si>
  <si>
    <t>Party Favors &amp; Costumes</t>
  </si>
  <si>
    <t>Costumes &amp; Accessories</t>
  </si>
  <si>
    <t>CL214294</t>
  </si>
  <si>
    <t>Party Supplies &gt; Party Favors &amp; Costumes &gt; Costumes &amp; Accessories</t>
  </si>
  <si>
    <t>https://www.staples.com/Costumes/cat_CL214294</t>
  </si>
  <si>
    <t>Favor Bags &amp; Boxes</t>
  </si>
  <si>
    <t>CL214292</t>
  </si>
  <si>
    <t>Party Supplies &gt; Party Favors &amp; Costumes &gt; Favor Bags &amp; Boxes</t>
  </si>
  <si>
    <t>https://www.staples.com/Favor-Bags-Boxes/cat_CL214292</t>
  </si>
  <si>
    <t>Party Favors</t>
  </si>
  <si>
    <t>CL355030</t>
  </si>
  <si>
    <t>Party Supplies &gt; Party Favors &amp; Costumes &gt; Party Favors</t>
  </si>
  <si>
    <t>https://www.staples.com/Party-Favors/cat_CL355030</t>
  </si>
  <si>
    <t>Party Supply Kits</t>
  </si>
  <si>
    <t>CL355032</t>
  </si>
  <si>
    <t>Party Supplies &gt; Party Supply Kits</t>
  </si>
  <si>
    <t>https://www.staples.com/Party-Supply-Kits/cat_CL355032</t>
  </si>
  <si>
    <t>Ribbon, Bows &amp; Wrapping Supplies</t>
  </si>
  <si>
    <t>CL167953</t>
  </si>
  <si>
    <t>Party Supplies &gt; Ribbon, Bows &amp; Wrapping Supplies</t>
  </si>
  <si>
    <t>https://www.staples.com/Ribbon-Bows-Wrapping-Supplies/cat_CL167953</t>
  </si>
  <si>
    <t>Stirrers &amp; Straws</t>
  </si>
  <si>
    <t>CL164424</t>
  </si>
  <si>
    <t>Party Supplies &gt; Stirrers &amp; Straws</t>
  </si>
  <si>
    <t>https://www.staples.com/Stirrers-Straws/cat_CL164424</t>
  </si>
  <si>
    <t>Wedding Supplies</t>
  </si>
  <si>
    <t>Wedding Decorations &amp; Supplies</t>
  </si>
  <si>
    <t>CL212455</t>
  </si>
  <si>
    <t>Party Supplies &gt; Wedding Supplies &gt; Wedding Decorations &amp; Supplies</t>
  </si>
  <si>
    <t>https://www.staples.com/Wedding-Decorations-Supplies/cat_CL212455</t>
  </si>
  <si>
    <t>Wedding Favors</t>
  </si>
  <si>
    <t>CL212458</t>
  </si>
  <si>
    <t>Party Supplies &gt; Wedding Supplies &gt; Wedding Favors</t>
  </si>
  <si>
    <t>https://www.staples.com/Wedding-Favors/cat_CL212458</t>
  </si>
  <si>
    <t>Wedding Glassware</t>
  </si>
  <si>
    <t>CL212800</t>
  </si>
  <si>
    <t>Party Supplies &gt; Wedding Supplies &gt; Wedding Glassware</t>
  </si>
  <si>
    <t>https://www.staples.com/Wedding-Glassware/cat_CL212800</t>
  </si>
  <si>
    <t>Clear Tape</t>
  </si>
  <si>
    <t>CL10003</t>
  </si>
  <si>
    <t>Party Supplies &gt; Wrapping Supplies &gt; Clear Tape</t>
  </si>
  <si>
    <t>https://www.staples.com/Clear-Tape/cat_CL10003</t>
  </si>
  <si>
    <t>Double Sided Tape</t>
  </si>
  <si>
    <t>CL216891</t>
  </si>
  <si>
    <t>Party Supplies &gt; Wrapping Supplies &gt; Double Sided Tape</t>
  </si>
  <si>
    <t>https://www.staples.com/Double-Sided-Tape/cat_CL216891</t>
  </si>
  <si>
    <t>https://www.staples.com/Gift-Boxes-Bags/cat_CL215556</t>
  </si>
  <si>
    <t>https://www.staples.com/Gift-Wrap-Wrapping-Paper/cat_CL215563</t>
  </si>
  <si>
    <t>Tissue Paper</t>
  </si>
  <si>
    <t>CL350360</t>
  </si>
  <si>
    <t>Party Supplies &gt; Wrapping Supplies &gt; Tissue Paper</t>
  </si>
  <si>
    <t>https://www.staples.com/Tissue-Paper/cat_CL350360</t>
  </si>
  <si>
    <t>Phones, Cameras &amp; Electronics</t>
  </si>
  <si>
    <t>Cameras, Camcorders &amp; Accessories</t>
  </si>
  <si>
    <t>Camera &amp; Camcorder Accessories</t>
  </si>
  <si>
    <t>CL142476</t>
  </si>
  <si>
    <t>Phones, Cameras &amp; Electronics &gt; Cameras, Camcorders &amp; Accessories &gt; Camera &amp; Camcorder Accessories</t>
  </si>
  <si>
    <t>https://www.staples.com/Camera-Camcorder-Accessories/cat_CL142476</t>
  </si>
  <si>
    <t>Cameras &amp; Camcorders</t>
  </si>
  <si>
    <t>CL140465</t>
  </si>
  <si>
    <t>Phones, Cameras &amp; Electronics &gt; Cameras, Camcorders &amp; Accessories &gt; Cameras &amp; Camcorders</t>
  </si>
  <si>
    <t>https://www.staples.com/Cameras-Camcorders/cat_CL140465</t>
  </si>
  <si>
    <t>Digital Picture Frames</t>
  </si>
  <si>
    <t>CL163473</t>
  </si>
  <si>
    <t>Phones, Cameras &amp; Electronics &gt; Cameras, Camcorders &amp; Accessories &gt; Digital Picture Frames</t>
  </si>
  <si>
    <t>https://www.staples.com/Digital-Picture-Frames/cat_CL163473</t>
  </si>
  <si>
    <t>Cell Phone Accessories</t>
  </si>
  <si>
    <t>CL213856</t>
  </si>
  <si>
    <t>Phones, Cameras &amp; Electronics &gt; Cell Phone Accessories</t>
  </si>
  <si>
    <t>https://www.staples.com/Cell-Phone-Accessories/cat_CL213856</t>
  </si>
  <si>
    <t>Cell Phone Cases</t>
  </si>
  <si>
    <t>CL206053</t>
  </si>
  <si>
    <t>Phones, Cameras &amp; Electronics &gt; Cell Phone Cases</t>
  </si>
  <si>
    <t>https://www.staples.com/Cell-Phone-Cases/cat_CL206053</t>
  </si>
  <si>
    <t>Cell Phone Mounts &amp; Holders</t>
  </si>
  <si>
    <t>CL206054</t>
  </si>
  <si>
    <t>Phones, Cameras &amp; Electronics &gt; Cell Phone Mounts &amp; Holders</t>
  </si>
  <si>
    <t>https://www.staples.com/Cell-Phone-Mounts-Holders/cat_CL206054</t>
  </si>
  <si>
    <t>Cell Phone Screen Protectors</t>
  </si>
  <si>
    <t>CL216706</t>
  </si>
  <si>
    <t>Phones, Cameras &amp; Electronics &gt; Cell Phone Screen Protectors</t>
  </si>
  <si>
    <t>https://www.staples.com/Cell-Phone-Screen-Protectors/cat_CL216706</t>
  </si>
  <si>
    <t>Cell Phones</t>
  </si>
  <si>
    <t>CL166921</t>
  </si>
  <si>
    <t>Phones, Cameras &amp; Electronics &gt; Cell Phones</t>
  </si>
  <si>
    <t>https://www.staples.com/Cell-Phones/cat_CL166921</t>
  </si>
  <si>
    <t>Chargers &amp; Charging Cables</t>
  </si>
  <si>
    <t>CL162051</t>
  </si>
  <si>
    <t>Phones, Cameras &amp; Electronics &gt; Chargers &amp; Charging Cables</t>
  </si>
  <si>
    <t>https://www.staples.com/Chargers-Charging-Cables/cat_CL162051</t>
  </si>
  <si>
    <t>Drones &amp; UAV</t>
  </si>
  <si>
    <t>CL216560</t>
  </si>
  <si>
    <t>Phones, Cameras &amp; Electronics &gt; Drones &amp; UAV</t>
  </si>
  <si>
    <t>https://www.staples.com/Drones-UAV/cat_CL216560</t>
  </si>
  <si>
    <t>GPS</t>
  </si>
  <si>
    <t>GPS Accessories</t>
  </si>
  <si>
    <t>CL141015</t>
  </si>
  <si>
    <t>Phones, Cameras &amp; Electronics &gt; GPS &gt; GPS Accessories</t>
  </si>
  <si>
    <t>https://www.staples.com/GPS-Accessories/cat_CL141015</t>
  </si>
  <si>
    <t>GPS Navigation Units</t>
  </si>
  <si>
    <t>CL160930</t>
  </si>
  <si>
    <t>Phones, Cameras &amp; Electronics &gt; GPS &gt; GPS Navigation Units</t>
  </si>
  <si>
    <t>https://www.staples.com/GPS-Navigation-Units/cat_CL160930</t>
  </si>
  <si>
    <t>Phones &amp; Accessories</t>
  </si>
  <si>
    <t>Landline Phones</t>
  </si>
  <si>
    <t>CL142388</t>
  </si>
  <si>
    <t>Phones, Cameras &amp; Electronics &gt; Phones &amp; Accessories &gt; Landline Phones</t>
  </si>
  <si>
    <t>https://www.staples.com/Landline-Phones/cat_CL142388</t>
  </si>
  <si>
    <t>Office Phones</t>
  </si>
  <si>
    <t>CL166396</t>
  </si>
  <si>
    <t>Phones, Cameras &amp; Electronics &gt; Phones &amp; Accessories &gt; Office Phones</t>
  </si>
  <si>
    <t>https://www.staples.com/Office-Phones/cat_CL166396</t>
  </si>
  <si>
    <t>Phone Accessories</t>
  </si>
  <si>
    <t>CL140300</t>
  </si>
  <si>
    <t>Phones, Cameras &amp; Electronics &gt; Phones &amp; Accessories &gt; Phone Accessories</t>
  </si>
  <si>
    <t>https://www.staples.com/Phone-Accessories/cat_CL140300</t>
  </si>
  <si>
    <t>Stylus &amp; Smart Pens</t>
  </si>
  <si>
    <t>CL166408</t>
  </si>
  <si>
    <t>Phones, Cameras &amp; Electronics &gt; Stylus &amp; Smart Pens</t>
  </si>
  <si>
    <t>https://www.staples.com/Stylus-Smart-Pens/cat_CL166408</t>
  </si>
  <si>
    <t>Printers &amp; Scanners</t>
  </si>
  <si>
    <t>3D Printer Parts &amp; Accessories</t>
  </si>
  <si>
    <t>CL214385</t>
  </si>
  <si>
    <t>Printers &amp; Scanners &gt; 3D Printer Parts &amp; Accessories</t>
  </si>
  <si>
    <t>https://www.staples.com/3D-Printer-Parts-Accessories/cat_CL214385</t>
  </si>
  <si>
    <t>3D Printers</t>
  </si>
  <si>
    <t>CL211598</t>
  </si>
  <si>
    <t>Printers &amp; Scanners &gt; 3D Printers</t>
  </si>
  <si>
    <t>https://www.staples.com/3D-Printers/cat_CL211598</t>
  </si>
  <si>
    <t>Printer Accessories &amp; Replacement Parts</t>
  </si>
  <si>
    <t>CL140828</t>
  </si>
  <si>
    <t>Printers &amp; Scanners &gt; Printer Accessories &amp; Replacement Parts</t>
  </si>
  <si>
    <t>https://www.staples.com/Printer-Accessories-Replacement-Parts/cat_CL140828</t>
  </si>
  <si>
    <t>Printers</t>
  </si>
  <si>
    <t>CL167883</t>
  </si>
  <si>
    <t>Printers &amp; Scanners &gt; Printers</t>
  </si>
  <si>
    <t>https://www.staples.com/Printers/cat_CL167883</t>
  </si>
  <si>
    <t>Scanners &amp; Scanner Accessories</t>
  </si>
  <si>
    <t>Scanner Accessories &amp; Replacement Parts</t>
  </si>
  <si>
    <t>CL168162</t>
  </si>
  <si>
    <t>Printers &amp; Scanners &gt; Scanners &amp; Scanner Accessories &gt; Scanner Accessories &amp; Replacement Parts</t>
  </si>
  <si>
    <t>https://www.staples.com/Scanner-Accessories-Replacement-Parts/cat_CL168162</t>
  </si>
  <si>
    <t>Scanners</t>
  </si>
  <si>
    <t>CL158948</t>
  </si>
  <si>
    <t>Printers &amp; Scanners &gt; Scanners &amp; Scanner Accessories &gt; Scanners</t>
  </si>
  <si>
    <t>https://www.staples.com/Scanners/cat_CL158948</t>
  </si>
  <si>
    <t>Restaurant &amp; Foodservice Supplies</t>
  </si>
  <si>
    <t>Bar Supplies</t>
  </si>
  <si>
    <t>CL212438</t>
  </si>
  <si>
    <t>Restaurant &amp; Foodservice Supplies &gt; Bar Supplies</t>
  </si>
  <si>
    <t>https://www.staples.com/Bar-Supplies/cat_CL212438</t>
  </si>
  <si>
    <t>Commercial Restaurant Equipment</t>
  </si>
  <si>
    <t>Equipment Parts &amp; Accessories</t>
  </si>
  <si>
    <t>CL214701</t>
  </si>
  <si>
    <t>Restaurant &amp; Foodservice Supplies &gt; Commercial Restaurant Equipment &gt; Equipment Parts &amp; Accessories</t>
  </si>
  <si>
    <t>https://www.staples.com/Equipment-Parts-Accessories/cat_CL214701</t>
  </si>
  <si>
    <t>Concession Stand Supplies</t>
  </si>
  <si>
    <t>CL211868</t>
  </si>
  <si>
    <t>Restaurant &amp; Foodservice Supplies &gt; Concession Stand Supplies</t>
  </si>
  <si>
    <t>https://www.staples.com/Concession-Stand-Supplies/cat_CL211868</t>
  </si>
  <si>
    <t>Disposable Food Packaging</t>
  </si>
  <si>
    <t>Disposable Bags</t>
  </si>
  <si>
    <t>Food Storage Bags</t>
  </si>
  <si>
    <t>CL167775</t>
  </si>
  <si>
    <t>Restaurant &amp; Foodservice Supplies &gt; Disposable Food Packaging &gt; Disposable Bags &gt; Food Storage Bags</t>
  </si>
  <si>
    <t>https://www.staples.com/Food-Storage-Bags/cat_CL167775</t>
  </si>
  <si>
    <t>Food Packaging Wrap</t>
  </si>
  <si>
    <t>Butcher &amp; Freezer Paper</t>
  </si>
  <si>
    <t>CL216768</t>
  </si>
  <si>
    <t>Restaurant &amp; Foodservice Supplies &gt; Disposable Food Packaging &gt; Food Packaging Wrap &gt; Butcher &amp; Freezer Paper</t>
  </si>
  <si>
    <t>https://www.staples.com/Butcher-Freezer-Paper/cat_CL216768</t>
  </si>
  <si>
    <t>Food Wrap &amp; Foils</t>
  </si>
  <si>
    <t>CL350747</t>
  </si>
  <si>
    <t>Restaurant &amp; Foodservice Supplies &gt; Disposable Food Packaging &gt; Food Packaging Wrap &gt; Food Wrap &amp; Foils</t>
  </si>
  <si>
    <t>https://www.staples.com/Food-Wrap-Foils/cat_CL350747</t>
  </si>
  <si>
    <t>Single-Use Food Containers</t>
  </si>
  <si>
    <t>Carryout Containers &amp; Boxes</t>
  </si>
  <si>
    <t>CL350748</t>
  </si>
  <si>
    <t>Restaurant &amp; Foodservice Supplies &gt; Disposable Food Packaging &gt; Single-Use Food Containers &gt; Carryout Containers &amp; Boxes</t>
  </si>
  <si>
    <t>https://www.staples.com/Carryout-Containers-Boxes/cat_CL350748</t>
  </si>
  <si>
    <t>Pizza Supplies</t>
  </si>
  <si>
    <t>CL211878</t>
  </si>
  <si>
    <t>Restaurant &amp; Foodservice Supplies &gt; Pizza Supplies</t>
  </si>
  <si>
    <t>https://www.staples.com/Pizza-Supplies/cat_CL211878</t>
  </si>
  <si>
    <t>Restaurant Apparel</t>
  </si>
  <si>
    <t>Aprons &amp; Gloves</t>
  </si>
  <si>
    <t>CL211889</t>
  </si>
  <si>
    <t>Restaurant &amp; Foodservice Supplies &gt; Restaurant Apparel &gt; Restaurant Apparel &gt; Aprons &amp; Gloves</t>
  </si>
  <si>
    <t>https://www.staples.com/Aprons-Gloves/cat_CL211889</t>
  </si>
  <si>
    <t>Restaurant Storage &amp; Transport</t>
  </si>
  <si>
    <t>Catering &amp; Buffet Supplies</t>
  </si>
  <si>
    <t>CL213063</t>
  </si>
  <si>
    <t>Restaurant &amp; Foodservice Supplies &gt; Restaurant Storage &amp; Transport &gt; Catering &amp; Buffet Supplies</t>
  </si>
  <si>
    <t>https://www.staples.com/Catering-Buffet-Supplies/cat_CL213063</t>
  </si>
  <si>
    <t>Food Storage &amp; Containers</t>
  </si>
  <si>
    <t>CL211831</t>
  </si>
  <si>
    <t>Restaurant &amp; Foodservice Supplies &gt; Restaurant Storage &amp; Transport &gt; Food Storage &amp; Containers</t>
  </si>
  <si>
    <t>https://www.staples.com/Food-Storage-Containers/cat_CL211831</t>
  </si>
  <si>
    <t>Kitchen Racks</t>
  </si>
  <si>
    <t>CL211754</t>
  </si>
  <si>
    <t>Restaurant &amp; Foodservice Supplies &gt; Restaurant Storage &amp; Transport &gt; Kitchen Racks</t>
  </si>
  <si>
    <t>https://www.staples.com/Kitchen-Racks/cat_CL211754</t>
  </si>
  <si>
    <t>Restaurant Carts &amp; Dollies</t>
  </si>
  <si>
    <t>CL211753</t>
  </si>
  <si>
    <t>Restaurant &amp; Foodservice Supplies &gt; Restaurant Storage &amp; Transport &gt; Restaurant Carts &amp; Dollies</t>
  </si>
  <si>
    <t>https://www.staples.com/Restaurant-Carts-Dollies/cat_CL211753</t>
  </si>
  <si>
    <t>Smallwares</t>
  </si>
  <si>
    <t>Commercial Baking Tools</t>
  </si>
  <si>
    <t>CL211762</t>
  </si>
  <si>
    <t>Restaurant &amp; Foodservice Supplies &gt; Smallwares &gt; Commercial Baking Tools</t>
  </si>
  <si>
    <t>https://www.staples.com/Commercial-Baking-Tools/cat_CL211762</t>
  </si>
  <si>
    <t>Commercial Cookware</t>
  </si>
  <si>
    <t>CL211890</t>
  </si>
  <si>
    <t>Restaurant &amp; Foodservice Supplies &gt; Smallwares &gt; Commercial Cookware</t>
  </si>
  <si>
    <t>https://www.staples.com/Commercial-Cookware/cat_CL211890</t>
  </si>
  <si>
    <t>Commercial Cutlery</t>
  </si>
  <si>
    <t>CL211776</t>
  </si>
  <si>
    <t>Restaurant &amp; Foodservice Supplies &gt; Smallwares &gt; Commercial Cutlery</t>
  </si>
  <si>
    <t>https://www.staples.com/Commercial-Cutlery/cat_CL211776</t>
  </si>
  <si>
    <t>Commercial Food Prep</t>
  </si>
  <si>
    <t>CL211801</t>
  </si>
  <si>
    <t>Restaurant &amp; Foodservice Supplies &gt; Smallwares &gt; Commercial Food Prep</t>
  </si>
  <si>
    <t>https://www.staples.com/Commercial-Food-Prep/cat_CL211801</t>
  </si>
  <si>
    <t>Commercial Kitchen Tools</t>
  </si>
  <si>
    <t>CL212019</t>
  </si>
  <si>
    <t>Restaurant &amp; Foodservice Supplies &gt; Smallwares &gt; Commercial Kitchen Tools</t>
  </si>
  <si>
    <t>https://www.staples.com/Commercial-Kitchen-Tools/cat_CL212019</t>
  </si>
  <si>
    <t>Food Safety</t>
  </si>
  <si>
    <t>CL211812</t>
  </si>
  <si>
    <t>Restaurant &amp; Foodservice Supplies &gt; Smallwares &gt; Food Safety</t>
  </si>
  <si>
    <t>https://www.staples.com/Food-Safety/cat_CL211812</t>
  </si>
  <si>
    <t>Wine Stands &amp; Chiller Buckets</t>
  </si>
  <si>
    <t>CL211687</t>
  </si>
  <si>
    <t>Restaurant &amp; Foodservice Supplies &gt; Smallwares &gt; Wine Stands &amp; Chiller Buckets</t>
  </si>
  <si>
    <t>https://www.staples.com/Wine-Stands-Chiller-Buckets/cat_CL211687</t>
  </si>
  <si>
    <t>Tabletop</t>
  </si>
  <si>
    <t>Dinnerware</t>
  </si>
  <si>
    <t>CL211876</t>
  </si>
  <si>
    <t>Restaurant &amp; Foodservice Supplies &gt; Tabletop &gt; Dinnerware</t>
  </si>
  <si>
    <t>https://www.staples.com/Dinnerware/cat_CL211876</t>
  </si>
  <si>
    <t>Drinkware</t>
  </si>
  <si>
    <t>CL211680</t>
  </si>
  <si>
    <t>Restaurant &amp; Foodservice Supplies &gt; Tabletop &gt; Drinkware</t>
  </si>
  <si>
    <t>https://www.staples.com/Drinkware/cat_CL211680</t>
  </si>
  <si>
    <t>Flatware</t>
  </si>
  <si>
    <t>CL211701</t>
  </si>
  <si>
    <t>Restaurant &amp; Foodservice Supplies &gt; Tabletop &gt; Flatware</t>
  </si>
  <si>
    <t>https://www.staples.com/Flatware/cat_CL211701</t>
  </si>
  <si>
    <t>Host &amp; Server Supplies</t>
  </si>
  <si>
    <t>CL211920</t>
  </si>
  <si>
    <t>Restaurant &amp; Foodservice Supplies &gt; Tabletop &gt; Host &amp; Server Supplies</t>
  </si>
  <si>
    <t>https://www.staples.com/Host-Server-Supplies/cat_CL211920</t>
  </si>
  <si>
    <t>Placemats &amp; Tablecloths</t>
  </si>
  <si>
    <t>CL204432</t>
  </si>
  <si>
    <t>Restaurant &amp; Foodservice Supplies &gt; Tabletop &gt; Placemats &amp; Tablecloths</t>
  </si>
  <si>
    <t>https://www.staples.com/Placemats-Tablecloths/cat_CL204432</t>
  </si>
  <si>
    <t>Serveware</t>
  </si>
  <si>
    <t>CL167776</t>
  </si>
  <si>
    <t>Restaurant &amp; Foodservice Supplies &gt; Tabletop &gt; Serveware</t>
  </si>
  <si>
    <t>https://www.staples.com/Serveware/cat_CL167776</t>
  </si>
  <si>
    <t>Backroom Retail Supplies</t>
  </si>
  <si>
    <t>Backroom Storage</t>
  </si>
  <si>
    <t>CL209062</t>
  </si>
  <si>
    <t>Retail Store Supplies &gt; Backroom Retail Supplies &gt; Backroom Storage</t>
  </si>
  <si>
    <t>https://www.staples.com/Backroom-Storage/cat_CL209062</t>
  </si>
  <si>
    <t>Clothing Hangers &amp; Accessories</t>
  </si>
  <si>
    <t>CL209058</t>
  </si>
  <si>
    <t>Retail Store Supplies &gt; Backroom Retail Supplies &gt; Clothing Hangers &amp; Accessories</t>
  </si>
  <si>
    <t>https://www.staples.com/Clothing-Hangers-Accessories/cat_CL209058</t>
  </si>
  <si>
    <t>Dressing Room Supplies &amp; Try-On Accessories</t>
  </si>
  <si>
    <t>CL209054</t>
  </si>
  <si>
    <t>Retail Store Supplies &gt; Backroom Retail Supplies &gt; Dressing Room Supplies &amp; Try-On Accessories</t>
  </si>
  <si>
    <t>https://www.staples.com/Dressing-Room-Supplies/cat_CL209054</t>
  </si>
  <si>
    <t>Cash Handling</t>
  </si>
  <si>
    <t>Cash Boxes, Drawers &amp; Trays</t>
  </si>
  <si>
    <t>CL355119</t>
  </si>
  <si>
    <t>Retail Store Supplies &gt; Cash Handling &gt; Cash Boxes, Drawers &amp; Trays</t>
  </si>
  <si>
    <t>https://www.staples.com/Cash-Boxes-Drawers-Trays/cat_CL355119</t>
  </si>
  <si>
    <t>CL141449</t>
  </si>
  <si>
    <t>Retail Store Supplies &gt; Cash Handling &gt; Cash Handling</t>
  </si>
  <si>
    <t>https://www.staples.com/Cash-Handling/cat_CL141449</t>
  </si>
  <si>
    <t>Cash-Counting Machines</t>
  </si>
  <si>
    <t>CL355121</t>
  </si>
  <si>
    <t>Retail Store Supplies &gt; Cash Handling &gt; Cash-Counting Machines</t>
  </si>
  <si>
    <t>https://www.staples.com/Cash-Counting-Machines/cat_CL355121</t>
  </si>
  <si>
    <t>Counterfeit Money Detectors</t>
  </si>
  <si>
    <t>CL355117</t>
  </si>
  <si>
    <t>Retail Store Supplies &gt; Cash Handling &gt; Counterfeit Money Detectors</t>
  </si>
  <si>
    <t>https://www.staples.com/Counterfeit-Money-Detectors/cat_CL355117</t>
  </si>
  <si>
    <t>Point of Sale (POS) Equipment</t>
  </si>
  <si>
    <t>Barcode Scanners &amp; Readers</t>
  </si>
  <si>
    <t>CL141846</t>
  </si>
  <si>
    <t>Retail Store Supplies &gt; Point of Sale (POS) Equipment &gt; Barcode Scanners &amp; Readers</t>
  </si>
  <si>
    <t>https://www.staples.com/Barcode-Scanners-Readers/cat_CL141846</t>
  </si>
  <si>
    <t>Cash Register Ribbons</t>
  </si>
  <si>
    <t>CL164020</t>
  </si>
  <si>
    <t>Retail Store Supplies &gt; Point of Sale (POS) Equipment &gt; Cash Register Ribbons</t>
  </si>
  <si>
    <t>https://www.staples.com/Cash-Register-Ribbons/cat_CL164020</t>
  </si>
  <si>
    <t>Cash Registers</t>
  </si>
  <si>
    <t>CL140563</t>
  </si>
  <si>
    <t>Retail Store Supplies &gt; Point of Sale (POS) Equipment &gt; Cash Registers</t>
  </si>
  <si>
    <t>https://www.staples.com/Cash-Registers/cat_CL140563</t>
  </si>
  <si>
    <t>Credit Card Readers</t>
  </si>
  <si>
    <t>CL161346</t>
  </si>
  <si>
    <t>Retail Store Supplies &gt; Point of Sale (POS) Equipment &gt; Credit Card Readers</t>
  </si>
  <si>
    <t>https://www.staples.com/Credit-Card-Readers/cat_CL161346</t>
  </si>
  <si>
    <t>POS Computers &amp; Accessories</t>
  </si>
  <si>
    <t>CL167353</t>
  </si>
  <si>
    <t>Retail Store Supplies &gt; Point of Sale (POS) Equipment &gt; POS Computers &amp; Accessories</t>
  </si>
  <si>
    <t>https://www.staples.com/POS-Computers-Accessories/cat_CL167353</t>
  </si>
  <si>
    <t>POS Receipt Printers</t>
  </si>
  <si>
    <t>CL167354</t>
  </si>
  <si>
    <t>Retail Store Supplies &gt; Point of Sale (POS) Equipment &gt; POS Receipt Printers</t>
  </si>
  <si>
    <t>https://www.staples.com/POS-Receipt-Printers/cat_CL167354</t>
  </si>
  <si>
    <t>POS Software</t>
  </si>
  <si>
    <t>POS Systems &amp; Software</t>
  </si>
  <si>
    <t>CL215125</t>
  </si>
  <si>
    <t>Retail Store Supplies &gt; Point of Sale (POS) Equipment &gt; POS Software &gt; POS Systems &amp; Software</t>
  </si>
  <si>
    <t>https://www.staples.com/POS-Systems-Software/cat_CL215125</t>
  </si>
  <si>
    <t>Pricing &amp; Tagging</t>
  </si>
  <si>
    <t>Inventory Tags</t>
  </si>
  <si>
    <t>CL167806</t>
  </si>
  <si>
    <t>Retail Store Supplies &gt; Pricing &amp; Tagging &gt; Inventory Tags</t>
  </si>
  <si>
    <t>https://www.staples.com/Inventory-Tags/cat_CL167806</t>
  </si>
  <si>
    <t>Pricing &amp; Tagging Guns</t>
  </si>
  <si>
    <t>CL209033</t>
  </si>
  <si>
    <t>Retail Store Supplies &gt; Pricing &amp; Tagging &gt; Pricing &amp; Tagging Guns</t>
  </si>
  <si>
    <t>https://www.staples.com/Pricing-Tagging-Guns/cat_CL209033</t>
  </si>
  <si>
    <t>Pricing Tags &amp; Retail Tags</t>
  </si>
  <si>
    <t>CL141069</t>
  </si>
  <si>
    <t>Retail Store Supplies &gt; Pricing &amp; Tagging &gt; Pricing Tags &amp; Retail Tags</t>
  </si>
  <si>
    <t>https://www.staples.com/Pricing-Tags-Retail-Tags/cat_CL141069</t>
  </si>
  <si>
    <t>Promotional Products</t>
  </si>
  <si>
    <t>CL214878</t>
  </si>
  <si>
    <t>Retail Store Supplies &gt; Promotional Products</t>
  </si>
  <si>
    <t>https://www.staples.com/Promotional-Products/cat_CL214878</t>
  </si>
  <si>
    <t>Apparel Boxes &amp; Garment Bags</t>
  </si>
  <si>
    <t>CL215557</t>
  </si>
  <si>
    <t>Retail Store Supplies &gt; Retail Packaging &gt; Apparel Boxes &amp; Garment Bags</t>
  </si>
  <si>
    <t>https://www.staples.com/Apparel-Boxes-Garment-Bags/cat_CL215557</t>
  </si>
  <si>
    <t>Decorative Shipping Boxes</t>
  </si>
  <si>
    <t>CL214916</t>
  </si>
  <si>
    <t>Retail Store Supplies &gt; Retail Packaging &gt; Decorative Shipping Boxes</t>
  </si>
  <si>
    <t>https://www.staples.com/Decorative-Shipping-Boxes/cat_CL214916</t>
  </si>
  <si>
    <t>Food Boxes &amp; Bags</t>
  </si>
  <si>
    <t>CL215558</t>
  </si>
  <si>
    <t>Retail Store Supplies &gt; Retail Packaging &gt; Food Boxes &amp; Bags</t>
  </si>
  <si>
    <t>https://www.staples.com/Food-Boxes-Bags/cat_CL215558</t>
  </si>
  <si>
    <t>Mailers &amp; Shipping Boxes</t>
  </si>
  <si>
    <t>CL215559</t>
  </si>
  <si>
    <t>Retail Store Supplies &gt; Retail Packaging &gt; Mailers &amp; Shipping Boxes</t>
  </si>
  <si>
    <t>https://www.staples.com/Mailers-Shipping-Boxes/cat_CL215559</t>
  </si>
  <si>
    <t>Shopping Bags</t>
  </si>
  <si>
    <t>CL215555</t>
  </si>
  <si>
    <t>Retail Store Supplies &gt; Retail Packaging &gt; Shopping Bags</t>
  </si>
  <si>
    <t>https://www.staples.com/Shopping-Bags/cat_CL215555</t>
  </si>
  <si>
    <t>Retail Signage</t>
  </si>
  <si>
    <t>Custom Retail Signage</t>
  </si>
  <si>
    <t>CL167722</t>
  </si>
  <si>
    <t>Retail Store Supplies &gt; Retail Signage &gt; Custom Retail Signage</t>
  </si>
  <si>
    <t>https://www.staples.com/Custom-Retail-Signage/cat_CL167722</t>
  </si>
  <si>
    <t>Indoor &amp; Outdoor Retail Signage</t>
  </si>
  <si>
    <t>CL142611</t>
  </si>
  <si>
    <t>Retail Store Supplies &gt; Retail Signage &gt; Indoor &amp; Outdoor Retail Signage</t>
  </si>
  <si>
    <t>https://www.staples.com/Indoor-Outdoor-Retail-Signage/cat_CL142611</t>
  </si>
  <si>
    <t>Literature &amp; Sign Holders</t>
  </si>
  <si>
    <t>CL140608</t>
  </si>
  <si>
    <t>Retail Store Supplies &gt; Retail Signage &gt; Literature &amp; Sign Holders</t>
  </si>
  <si>
    <t>https://www.staples.com/Literature-Sign-Holders/cat_CL140608</t>
  </si>
  <si>
    <t>Sign Materials</t>
  </si>
  <si>
    <t>CL210924</t>
  </si>
  <si>
    <t>Retail Store Supplies &gt; Retail Signage &gt; Sign Materials</t>
  </si>
  <si>
    <t>https://www.staples.com/Sign-Materials/cat_CL210924</t>
  </si>
  <si>
    <t>Suggestion &amp; Ballot Boxes</t>
  </si>
  <si>
    <t>CL160033</t>
  </si>
  <si>
    <t>Retail Store Supplies &gt; Retail Signage &gt; Suggestion &amp; Ballot Boxes</t>
  </si>
  <si>
    <t>https://www.staples.com/Suggestion-Ballot-Boxes/cat_CL160033</t>
  </si>
  <si>
    <t>Sewing &amp; Tailoring</t>
  </si>
  <si>
    <t>Fabric</t>
  </si>
  <si>
    <t>CL211374</t>
  </si>
  <si>
    <t>Retail Store Supplies &gt; Sewing &amp; Tailoring &gt; Fabric</t>
  </si>
  <si>
    <t>https://www.staples.com/Fabric/cat_CL211374</t>
  </si>
  <si>
    <t>Fasteners</t>
  </si>
  <si>
    <t>CL211392</t>
  </si>
  <si>
    <t>Retail Store Supplies &gt; Sewing &amp; Tailoring &gt; Fasteners</t>
  </si>
  <si>
    <t>https://www.staples.com/Fasteners/cat_CL211392</t>
  </si>
  <si>
    <t>Garment Steamers &amp; Irons</t>
  </si>
  <si>
    <t>CL166373</t>
  </si>
  <si>
    <t>Retail Store Supplies &gt; Sewing &amp; Tailoring &gt; Garment Steamers &amp; Irons</t>
  </si>
  <si>
    <t>https://www.staples.com/Garment-Steamers-Irons/cat_CL166373</t>
  </si>
  <si>
    <t>Knit &amp; Crochet Supplies</t>
  </si>
  <si>
    <t>CL212762</t>
  </si>
  <si>
    <t>Retail Store Supplies &gt; Sewing &amp; Tailoring &gt; Knit &amp; Crochet Supplies</t>
  </si>
  <si>
    <t>https://www.staples.com/Knit-Crochet-Supplies/cat_CL212762</t>
  </si>
  <si>
    <t>Needles &amp; Pins</t>
  </si>
  <si>
    <t>CL211395</t>
  </si>
  <si>
    <t>Retail Store Supplies &gt; Sewing &amp; Tailoring &gt; Needles &amp; Pins</t>
  </si>
  <si>
    <t>https://www.staples.com/Needles-Pins/cat_CL211395</t>
  </si>
  <si>
    <t>Safety Pins</t>
  </si>
  <si>
    <t>CL168771</t>
  </si>
  <si>
    <t>Retail Store Supplies &gt; Sewing &amp; Tailoring &gt; Safety Pins</t>
  </si>
  <si>
    <t>https://www.staples.com/Safety-Pins/cat_CL168771</t>
  </si>
  <si>
    <t>Sewing Machines</t>
  </si>
  <si>
    <t>CL209206</t>
  </si>
  <si>
    <t>Retail Store Supplies &gt; Sewing &amp; Tailoring &gt; Sewing Machines</t>
  </si>
  <si>
    <t>https://www.staples.com/Sewing-Machines/cat_CL209206</t>
  </si>
  <si>
    <t>Sewing Tools</t>
  </si>
  <si>
    <t>CL211398</t>
  </si>
  <si>
    <t>Retail Store Supplies &gt; Sewing &amp; Tailoring &gt; Sewing Tools</t>
  </si>
  <si>
    <t>https://www.staples.com/Sewing-Tools/cat_CL211398</t>
  </si>
  <si>
    <t>Thread</t>
  </si>
  <si>
    <t>CL212792</t>
  </si>
  <si>
    <t>Retail Store Supplies &gt; Sewing &amp; Tailoring &gt; Thread</t>
  </si>
  <si>
    <t>https://www.staples.com/Thread/cat_CL212792</t>
  </si>
  <si>
    <t>Yarn</t>
  </si>
  <si>
    <t>CL212767</t>
  </si>
  <si>
    <t>Retail Store Supplies &gt; Sewing &amp; Tailoring &gt; Yarn</t>
  </si>
  <si>
    <t>https://www.staples.com/Yarn/cat_CL212767</t>
  </si>
  <si>
    <t>Spa &amp; Salon</t>
  </si>
  <si>
    <t>Bath &amp; Body</t>
  </si>
  <si>
    <t>Body Treatments</t>
  </si>
  <si>
    <t>CL214332</t>
  </si>
  <si>
    <t>Retail Store Supplies &gt; Spa &amp; Salon &gt; Bath &amp; Body &gt; Body Treatments</t>
  </si>
  <si>
    <t>https://www.staples.com/Body-Treatments/cat_CL214332</t>
  </si>
  <si>
    <t>Shower Caps</t>
  </si>
  <si>
    <t>CL214207</t>
  </si>
  <si>
    <t>Retail Store Supplies &gt; Spa &amp; Salon &gt; Bath &amp; Body &gt; Shower Caps</t>
  </si>
  <si>
    <t>https://www.staples.com/Shower-Caps/cat_CL214207</t>
  </si>
  <si>
    <t>Cosmetics</t>
  </si>
  <si>
    <t>CL214563</t>
  </si>
  <si>
    <t>Retail Store Supplies &gt; Spa &amp; Salon &gt; Cosmetics</t>
  </si>
  <si>
    <t>https://www.staples.com/Cosmetics/cat_CL214563</t>
  </si>
  <si>
    <t>Hair</t>
  </si>
  <si>
    <t>Brushes, Combs &amp; Piks</t>
  </si>
  <si>
    <t>CL214177</t>
  </si>
  <si>
    <t>Retail Store Supplies &gt; Spa &amp; Salon &gt; Hair &gt; Brushes, Combs &amp; Piks</t>
  </si>
  <si>
    <t>https://www.staples.com/Brushes-Combs-Piks/cat_CL214177</t>
  </si>
  <si>
    <t>Clippers &amp; Buzzers</t>
  </si>
  <si>
    <t>CL214184</t>
  </si>
  <si>
    <t>Retail Store Supplies &gt; Spa &amp; Salon &gt; Hair &gt; Clippers &amp; Buzzers</t>
  </si>
  <si>
    <t>https://www.staples.com/Clippers-Buzzers/cat_CL214184</t>
  </si>
  <si>
    <t>Hair Styling Products</t>
  </si>
  <si>
    <t>CL214181</t>
  </si>
  <si>
    <t>Retail Store Supplies &gt; Spa &amp; Salon &gt; Hair &gt; Hair Styling Products</t>
  </si>
  <si>
    <t>https://www.staples.com/Hair-Styling-Products/cat_CL214181</t>
  </si>
  <si>
    <t>Hair Styling Tools</t>
  </si>
  <si>
    <t>CL166372</t>
  </si>
  <si>
    <t>Retail Store Supplies &gt; Spa &amp; Salon &gt; Hair &gt; Hair Styling Tools</t>
  </si>
  <si>
    <t>https://www.staples.com/Hair-Styling-Tools/cat_CL166372</t>
  </si>
  <si>
    <t>Shampoo &amp; Conditioner</t>
  </si>
  <si>
    <t>CL214180</t>
  </si>
  <si>
    <t>Retail Store Supplies &gt; Spa &amp; Salon &gt; Hair &gt; Shampoo &amp; Conditioner</t>
  </si>
  <si>
    <t>https://www.staples.com/Shampoo-Conditioner/cat_CL214180</t>
  </si>
  <si>
    <t>Nails</t>
  </si>
  <si>
    <t>Artificial Nails &amp; Supplies</t>
  </si>
  <si>
    <t>CL214330</t>
  </si>
  <si>
    <t>Retail Store Supplies &gt; Spa &amp; Salon &gt; Nails &gt; Artificial Nails &amp; Supplies</t>
  </si>
  <si>
    <t>https://www.staples.com/Artificial-Nails-Supplies/cat_CL214330</t>
  </si>
  <si>
    <t>Manicure &amp; Pedicure Supplies</t>
  </si>
  <si>
    <t>CL214185</t>
  </si>
  <si>
    <t>Retail Store Supplies &gt; Spa &amp; Salon &gt; Nails &gt; Manicure &amp; Pedicure Supplies</t>
  </si>
  <si>
    <t>https://www.staples.com/Manicure-Pedicure-Supplies/cat_CL214185</t>
  </si>
  <si>
    <t>Nail Clippers</t>
  </si>
  <si>
    <t>CL214186</t>
  </si>
  <si>
    <t>Retail Store Supplies &gt; Spa &amp; Salon &gt; Nails &gt; Nail Clippers</t>
  </si>
  <si>
    <t>https://www.staples.com/Nail-Clippers/cat_CL214186</t>
  </si>
  <si>
    <t>Nail Treatment &amp; Remover</t>
  </si>
  <si>
    <t>CL214190</t>
  </si>
  <si>
    <t>Retail Store Supplies &gt; Spa &amp; Salon &gt; Nails &gt; Nail Treatment &amp; Remover</t>
  </si>
  <si>
    <t>https://www.staples.com/Nail-Treatment-Remover/cat_CL214190</t>
  </si>
  <si>
    <t>Shaving</t>
  </si>
  <si>
    <t>Aftershave</t>
  </si>
  <si>
    <t>CL168727</t>
  </si>
  <si>
    <t>Retail Store Supplies &gt; Spa &amp; Salon &gt; Shaving &gt; Aftershave</t>
  </si>
  <si>
    <t>https://www.staples.com/Aftershave/cat_CL168727</t>
  </si>
  <si>
    <t>Disposable Razors</t>
  </si>
  <si>
    <t>CL168728</t>
  </si>
  <si>
    <t>Retail Store Supplies &gt; Spa &amp; Salon &gt; Shaving &gt; Disposable Razors</t>
  </si>
  <si>
    <t>https://www.staples.com/Disposable-Razors/cat_CL168728</t>
  </si>
  <si>
    <t>Hair Removal &amp; Shaving Products</t>
  </si>
  <si>
    <t>CL214331</t>
  </si>
  <si>
    <t>Retail Store Supplies &gt; Spa &amp; Salon &gt; Shaving &gt; Hair Removal &amp; Shaving Products</t>
  </si>
  <si>
    <t>https://www.staples.com/Hair-Removal-Shaving-Products/cat_CL214331</t>
  </si>
  <si>
    <t>Spa &amp; Massage</t>
  </si>
  <si>
    <t>Heating &amp; Warming Pads</t>
  </si>
  <si>
    <t>CL214210</t>
  </si>
  <si>
    <t>Retail Store Supplies &gt; Spa &amp; Salon &gt; Spa &amp; Massage &gt; Heating &amp; Warming Pads</t>
  </si>
  <si>
    <t>https://www.staples.com/Heating-Warming-Pads/cat_CL214210</t>
  </si>
  <si>
    <t>Massage &amp; Recovery Tools</t>
  </si>
  <si>
    <t>CL214214</t>
  </si>
  <si>
    <t>Retail Store Supplies &gt; Spa &amp; Salon &gt; Spa &amp; Massage &gt; Massage &amp; Recovery Tools</t>
  </si>
  <si>
    <t>https://www.staples.com/Massage-Tools/cat_CL214214</t>
  </si>
  <si>
    <t>Massage Stools</t>
  </si>
  <si>
    <t>CL214212</t>
  </si>
  <si>
    <t>Retail Store Supplies &gt; Spa &amp; Salon &gt; Spa &amp; Massage &gt; Massage Stools</t>
  </si>
  <si>
    <t>https://www.staples.com/Massage-Stools/cat_CL214212</t>
  </si>
  <si>
    <t>Massage Tables</t>
  </si>
  <si>
    <t>CL214213</t>
  </si>
  <si>
    <t>Retail Store Supplies &gt; Spa &amp; Salon &gt; Spa &amp; Massage &gt; Massage Tables</t>
  </si>
  <si>
    <t>https://www.staples.com/Massage-Tables/cat_CL214213</t>
  </si>
  <si>
    <t>Oils, Creams, Lotions</t>
  </si>
  <si>
    <t>CL214215</t>
  </si>
  <si>
    <t>Retail Store Supplies &gt; Spa &amp; Salon &gt; Spa &amp; Massage &gt; Oils, Creams, Lotions</t>
  </si>
  <si>
    <t>https://www.staples.com/Oils-Creams-Lotions/cat_CL214215</t>
  </si>
  <si>
    <t>Pillows &amp; Pillow Cover</t>
  </si>
  <si>
    <t>CL214216</t>
  </si>
  <si>
    <t>Retail Store Supplies &gt; Spa &amp; Salon &gt; Spa &amp; Massage &gt; Pillows &amp; Pillow Cover</t>
  </si>
  <si>
    <t>https://www.staples.com/Pillows-Pillow-Cover/cat_CL214216</t>
  </si>
  <si>
    <t>Store Fixtures &amp; Retail Displays</t>
  </si>
  <si>
    <t>Dress Forms</t>
  </si>
  <si>
    <t>CL209129</t>
  </si>
  <si>
    <t>Retail Store Supplies &gt; Store Fixtures &amp; Retail Displays &gt; Dress Forms</t>
  </si>
  <si>
    <t>https://www.staples.com/Dress-Forms/cat_CL209129</t>
  </si>
  <si>
    <t>Floor &amp; Wall Mirrors</t>
  </si>
  <si>
    <t>CL209124</t>
  </si>
  <si>
    <t>Retail Store Supplies &gt; Store Fixtures &amp; Retail Displays &gt; Floor &amp; Wall Mirrors</t>
  </si>
  <si>
    <t>https://www.staples.com/Floor-Wall-Mirrors/cat_CL209124</t>
  </si>
  <si>
    <t>Hangrails &amp; Accessories</t>
  </si>
  <si>
    <t>CL210793</t>
  </si>
  <si>
    <t>Retail Store Supplies &gt; Store Fixtures &amp; Retail Displays &gt; Hangrails &amp; Accessories</t>
  </si>
  <si>
    <t>https://www.staples.com/Hangrails-Accessories/cat_CL210793</t>
  </si>
  <si>
    <t>Mannequins</t>
  </si>
  <si>
    <t>CL209130</t>
  </si>
  <si>
    <t>Retail Store Supplies &gt; Store Fixtures &amp; Retail Displays &gt; Mannequins</t>
  </si>
  <si>
    <t>https://www.staples.com/Mannequins/cat_CL209130</t>
  </si>
  <si>
    <t>Merchandisers</t>
  </si>
  <si>
    <t>CL209126</t>
  </si>
  <si>
    <t>Retail Store Supplies &gt; Store Fixtures &amp; Retail Displays &gt; Merchandisers</t>
  </si>
  <si>
    <t>https://www.staples.com/Merchandisers/cat_CL209126</t>
  </si>
  <si>
    <t>Pegboard &amp; Accessories</t>
  </si>
  <si>
    <t>CL209118</t>
  </si>
  <si>
    <t>Retail Store Supplies &gt; Store Fixtures &amp; Retail Displays &gt; Pegboard &amp; Accessories</t>
  </si>
  <si>
    <t>https://www.staples.com/Pegboard-Accessories/cat_CL209118</t>
  </si>
  <si>
    <t>Retail Displays</t>
  </si>
  <si>
    <t>CL209133</t>
  </si>
  <si>
    <t>Retail Store Supplies &gt; Store Fixtures &amp; Retail Displays &gt; Retail Displays</t>
  </si>
  <si>
    <t>https://www.staples.com/Retail-Displays/cat_CL209133</t>
  </si>
  <si>
    <t>Slat-Grid Panels &amp; Accessories</t>
  </si>
  <si>
    <t>CL209120</t>
  </si>
  <si>
    <t>Retail Store Supplies &gt; Store Fixtures &amp; Retail Displays &gt; Slat-Grid Panels &amp; Accessories</t>
  </si>
  <si>
    <t>https://www.staples.com/Slat-Grid-Panels-Accessories/cat_CL209120</t>
  </si>
  <si>
    <t>Slatwall Panels &amp; Accessories</t>
  </si>
  <si>
    <t>CL163457</t>
  </si>
  <si>
    <t>Retail Store Supplies &gt; Store Fixtures &amp; Retail Displays &gt; Slatwall Panels &amp; Accessories</t>
  </si>
  <si>
    <t>https://www.staples.com/Slatwall-Panels-Accessories/cat_CL163457</t>
  </si>
  <si>
    <t>Wire Grid Panels &amp; Accessories</t>
  </si>
  <si>
    <t>CL163458</t>
  </si>
  <si>
    <t>Retail Store Supplies &gt; Store Fixtures &amp; Retail Displays &gt; Wire Grid Panels &amp; Accessories</t>
  </si>
  <si>
    <t>https://www.staples.com/Wire-Grid-Panels-Accessories/cat_CL163458</t>
  </si>
  <si>
    <t>Store Security &amp; Operations</t>
  </si>
  <si>
    <t>Gift Certificates</t>
  </si>
  <si>
    <t>CL164586</t>
  </si>
  <si>
    <t>Retail Store Supplies &gt; Store Security &amp; Operations &gt; Gift Certificates</t>
  </si>
  <si>
    <t>https://www.staples.com/Gift-Certificates/cat_CL164586</t>
  </si>
  <si>
    <t>Motion Detectors</t>
  </si>
  <si>
    <t>CL209045</t>
  </si>
  <si>
    <t>Retail Store Supplies &gt; Store Security &amp; Operations &gt; Motion Detectors</t>
  </si>
  <si>
    <t>https://www.staples.com/Motion-Detectors/cat_CL209045</t>
  </si>
  <si>
    <t>Name Tags &amp; Badges</t>
  </si>
  <si>
    <t>CL140965</t>
  </si>
  <si>
    <t>Retail Store Supplies &gt; Store Security &amp; Operations &gt; Name Tags &amp; Badges</t>
  </si>
  <si>
    <t>https://www.staples.com/Name-Tags-Badges/cat_CL140965</t>
  </si>
  <si>
    <t>Shopping Baskets &amp; Carts</t>
  </si>
  <si>
    <t>CL209052</t>
  </si>
  <si>
    <t>Retail Store Supplies &gt; Store Security &amp; Operations &gt; Shopping Baskets &amp; Carts</t>
  </si>
  <si>
    <t>https://www.staples.com/Shopping-Baskets-Carts/cat_CL209052</t>
  </si>
  <si>
    <t>Time Clock Cards &amp; Racks</t>
  </si>
  <si>
    <t>CL142193</t>
  </si>
  <si>
    <t>Retail Store Supplies &gt; Time Clock Cards &amp; Racks</t>
  </si>
  <si>
    <t>https://www.staples.com/Time-Clock-Cards-Racks/cat_CL142193</t>
  </si>
  <si>
    <t>Time Clock Ribbons &amp; Batteries</t>
  </si>
  <si>
    <t>CL159773</t>
  </si>
  <si>
    <t>Retail Store Supplies &gt; Time Clock Ribbons &amp; Batteries</t>
  </si>
  <si>
    <t>https://www.staples.com/Time-Clock-Ribbons-Batteries/cat_CL159773</t>
  </si>
  <si>
    <t>Time Clock Systems</t>
  </si>
  <si>
    <t>CL163590</t>
  </si>
  <si>
    <t>Retail Store Supplies &gt; Time Clock Systems</t>
  </si>
  <si>
    <t>https://www.staples.com/Time-Clock-Systems/cat_CL163590</t>
  </si>
  <si>
    <t>Safety Supplies</t>
  </si>
  <si>
    <t>Crowd Control Accessories</t>
  </si>
  <si>
    <t>CL169146</t>
  </si>
  <si>
    <t>Safety Supplies &gt; Crowd Control Accessories</t>
  </si>
  <si>
    <t>https://www.staples.com/Crowd-Control-Accessories/cat_CL169146</t>
  </si>
  <si>
    <t>Fall Protection Kits, Parts &amp; Accessories</t>
  </si>
  <si>
    <t>CL166996</t>
  </si>
  <si>
    <t>Safety Supplies &gt; Fall Protection Kits, Parts &amp; Accessories</t>
  </si>
  <si>
    <t>https://www.staples.com/Fall-Protection-Kits-Parts-Accessories/cat_CL166996</t>
  </si>
  <si>
    <t>Fire Protection</t>
  </si>
  <si>
    <t>Fire Extinguishers</t>
  </si>
  <si>
    <t>CL166489</t>
  </si>
  <si>
    <t>Safety Supplies &gt; Fire Protection &gt; Fire Extinguishers</t>
  </si>
  <si>
    <t>https://www.staples.com/Fire-Extinguishers/cat_CL166489</t>
  </si>
  <si>
    <t>Smoke Alarms &amp; Carbon Monoxide Detectors</t>
  </si>
  <si>
    <t>CL169139</t>
  </si>
  <si>
    <t>Safety Supplies &gt; Fire Protection &gt; Smoke Alarms &amp; Carbon Monoxide Detectors</t>
  </si>
  <si>
    <t>https://www.staples.com/Smoke-Alarms-Carbon-Monoxide-Detectors/cat_CL169139</t>
  </si>
  <si>
    <t>Generators</t>
  </si>
  <si>
    <t>CL211530</t>
  </si>
  <si>
    <t>Safety Supplies &gt; Generators</t>
  </si>
  <si>
    <t>https://www.staples.com/Generators/cat_CL211530</t>
  </si>
  <si>
    <t>Ice Melt</t>
  </si>
  <si>
    <t>CL164825</t>
  </si>
  <si>
    <t>Safety Supplies &gt; Ice Melt</t>
  </si>
  <si>
    <t>https://www.staples.com/Ice-Melt/cat_CL164825</t>
  </si>
  <si>
    <t>Personal Protective Equipment (PPE)</t>
  </si>
  <si>
    <t>Ear Protection</t>
  </si>
  <si>
    <t>CL167051</t>
  </si>
  <si>
    <t>Safety Supplies &gt; Personal Protective Equipment (PPE) &gt; Ear Protection</t>
  </si>
  <si>
    <t>https://www.staples.com/Ear-Protection/cat_CL167051</t>
  </si>
  <si>
    <t>Ergonomic Support</t>
  </si>
  <si>
    <t>CL167043</t>
  </si>
  <si>
    <t>Safety Supplies &gt; Personal Protective Equipment (PPE) &gt; Ergonomic Support</t>
  </si>
  <si>
    <t>https://www.staples.com/Ergonomic-Support/cat_CL167043</t>
  </si>
  <si>
    <t>Eye Protection</t>
  </si>
  <si>
    <t>Eyewash Stations &amp; Showers</t>
  </si>
  <si>
    <t>CL350695</t>
  </si>
  <si>
    <t>Safety Supplies &gt; Personal Protective Equipment (PPE) &gt; Eye Protection &gt; Eyewash Stations &amp; Showers</t>
  </si>
  <si>
    <t>https://www.staples.com/Eyewash-Stations-Showers/cat_CL350695</t>
  </si>
  <si>
    <t>Safety Glasses, Goggles &amp; Accessories</t>
  </si>
  <si>
    <t>CL167003</t>
  </si>
  <si>
    <t>Safety Supplies &gt; Personal Protective Equipment (PPE) &gt; Eye Protection &gt; Safety Glasses, Goggles &amp; Accessories</t>
  </si>
  <si>
    <t>https://www.staples.com/Safety-Glasses-Goggles-Accessories/cat_CL167003</t>
  </si>
  <si>
    <t>Face Masks &amp; Respirators</t>
  </si>
  <si>
    <t>CL167000</t>
  </si>
  <si>
    <t>Safety Supplies &gt; Personal Protective Equipment (PPE) &gt; Face Masks &amp; Respirators</t>
  </si>
  <si>
    <t>https://www.staples.com/Face-Masks-Respirators/cat_CL167000</t>
  </si>
  <si>
    <t>Gloves &amp; Hand Protection</t>
  </si>
  <si>
    <t>Disposable Gloves</t>
  </si>
  <si>
    <t>CL167009</t>
  </si>
  <si>
    <t>Safety Supplies &gt; Personal Protective Equipment (PPE) &gt; Gloves &amp; Hand Protection &gt; Disposable Gloves</t>
  </si>
  <si>
    <t>https://www.staples.com/Disposable-Gloves/cat_CL167009</t>
  </si>
  <si>
    <t>Work Gloves</t>
  </si>
  <si>
    <t>CL354511</t>
  </si>
  <si>
    <t>Safety Supplies &gt; Personal Protective Equipment (PPE) &gt; Gloves &amp; Hand Protection &gt; Work Gloves</t>
  </si>
  <si>
    <t>https://www.staples.com/Work-Gloves/cat_CL354511</t>
  </si>
  <si>
    <t>Head &amp; Face Protection</t>
  </si>
  <si>
    <t>Bandanas, Headbands &amp; Headwear</t>
  </si>
  <si>
    <t>CL167049</t>
  </si>
  <si>
    <t>Safety Supplies &gt; Personal Protective Equipment (PPE) &gt; Head &amp; Face Protection &gt; Bandanas, Headbands &amp; Headwear</t>
  </si>
  <si>
    <t>https://www.staples.com/Bandanas-Headbands-Headwear/cat_CL167049</t>
  </si>
  <si>
    <t>Beard &amp; Hair Nets</t>
  </si>
  <si>
    <t>CL167295</t>
  </si>
  <si>
    <t>Safety Supplies &gt; Personal Protective Equipment (PPE) &gt; Head &amp; Face Protection &gt; Beard &amp; Hair Nets</t>
  </si>
  <si>
    <t>https://www.staples.com/Beard-Hair-Nets/cat_CL167295</t>
  </si>
  <si>
    <t>Face Shields &amp; Visors</t>
  </si>
  <si>
    <t>CL166863</t>
  </si>
  <si>
    <t>Safety Supplies &gt; Personal Protective Equipment (PPE) &gt; Head &amp; Face Protection &gt; Face Shields &amp; Visors</t>
  </si>
  <si>
    <t>https://www.staples.com/Face-Shields-Visors/cat_CL166863</t>
  </si>
  <si>
    <t>Hard Hat &amp; Safety Helmet Accessories</t>
  </si>
  <si>
    <t>CL354516</t>
  </si>
  <si>
    <t>Safety Supplies &gt; Personal Protective Equipment (PPE) &gt; Head &amp; Face Protection &gt; Hard Hat &amp; Safety Helmet Accessories</t>
  </si>
  <si>
    <t>https://www.staples.com/Hard-Hat-Safety-Helmet-Accessories/cat_CL354516</t>
  </si>
  <si>
    <t>Hard Hats &amp; Safety Helmets</t>
  </si>
  <si>
    <t>CL167013</t>
  </si>
  <si>
    <t>Safety Supplies &gt; Personal Protective Equipment (PPE) &gt; Head &amp; Face Protection &gt; Hard Hats &amp; Safety Helmets</t>
  </si>
  <si>
    <t>https://www.staples.com/Hard-Hats-Safety-Helmets/cat_CL167013</t>
  </si>
  <si>
    <t>Personal Protective Equipment (PPE) Kits</t>
  </si>
  <si>
    <t>CL350720</t>
  </si>
  <si>
    <t>Safety Supplies &gt; Personal Protective Equipment (PPE) &gt; Personal Protective Equipment (PPE) Kits</t>
  </si>
  <si>
    <t>https://www.staples.com/Personal-Protective-Equipment-PPE-Kits/cat_CL350720</t>
  </si>
  <si>
    <t>Shoe Covers</t>
  </si>
  <si>
    <t>CL355123</t>
  </si>
  <si>
    <t>Safety Supplies &gt; Personal Protective Equipment (PPE) &gt; Shoe Covers</t>
  </si>
  <si>
    <t>https://www.staples.com/Shoe-Covers/cat_CL355123</t>
  </si>
  <si>
    <t>Shoe Insoles</t>
  </si>
  <si>
    <t>CL355116</t>
  </si>
  <si>
    <t>Safety Supplies &gt; Personal Protective Equipment (PPE) &gt; Shoe Insoles</t>
  </si>
  <si>
    <t>https://www.staples.com/Shoe-Insoles/cat_CL355116</t>
  </si>
  <si>
    <t>Shoe Traction</t>
  </si>
  <si>
    <t>CL167041</t>
  </si>
  <si>
    <t>Safety Supplies &gt; Personal Protective Equipment (PPE) &gt; Shoe Traction</t>
  </si>
  <si>
    <t>https://www.staples.com/Footwear-Covers/cat_CL167041</t>
  </si>
  <si>
    <t>Workwear &amp; Rainwear</t>
  </si>
  <si>
    <t>Coats &amp; Jackets</t>
  </si>
  <si>
    <t>CL167038</t>
  </si>
  <si>
    <t>Safety Supplies &gt; Personal Protective Equipment (PPE) &gt; Workwear &amp; Rainwear &gt; Coats &amp; Jackets</t>
  </si>
  <si>
    <t>https://www.staples.com/Coats-Jackets/cat_CL167038</t>
  </si>
  <si>
    <t>Coveralls &amp; Overalls</t>
  </si>
  <si>
    <t>CL214831</t>
  </si>
  <si>
    <t>Safety Supplies &gt; Personal Protective Equipment (PPE) &gt; Workwear &amp; Rainwear &gt; Coveralls &amp; Overalls</t>
  </si>
  <si>
    <t>https://www.staples.com/Coveralls-Overalls/cat_CL214831</t>
  </si>
  <si>
    <t>Hand Warmers &amp; Pads</t>
  </si>
  <si>
    <t>CL167006</t>
  </si>
  <si>
    <t>Safety Supplies &gt; Personal Protective Equipment (PPE) &gt; Workwear &amp; Rainwear &gt; Hand Warmers &amp; Pads</t>
  </si>
  <si>
    <t>https://www.staples.com/Hand-Warmers-Pads/cat_CL167006</t>
  </si>
  <si>
    <t>Jackets &amp; Vests</t>
  </si>
  <si>
    <t>CL214829</t>
  </si>
  <si>
    <t>Safety Supplies &gt; Personal Protective Equipment (PPE) &gt; Workwear &amp; Rainwear &gt; Jackets &amp; Vests</t>
  </si>
  <si>
    <t>https://www.staples.com/Jackets-Vests/cat_CL214829</t>
  </si>
  <si>
    <t>Pants &amp; Jeans</t>
  </si>
  <si>
    <t>CL214830</t>
  </si>
  <si>
    <t>Safety Supplies &gt; Personal Protective Equipment (PPE) &gt; Workwear &amp; Rainwear &gt; Pants &amp; Jeans</t>
  </si>
  <si>
    <t>https://www.staples.com/Pants-Jeans/cat_CL214830</t>
  </si>
  <si>
    <t>Protective Clothing</t>
  </si>
  <si>
    <t>CL165303</t>
  </si>
  <si>
    <t>Safety Supplies &gt; Personal Protective Equipment (PPE) &gt; Workwear &amp; Rainwear &gt; Protective Clothing</t>
  </si>
  <si>
    <t>https://www.staples.com/Protective-Clothing/cat_CL165303</t>
  </si>
  <si>
    <t>Raincoats &amp; Rainwear</t>
  </si>
  <si>
    <t>CL167039</t>
  </si>
  <si>
    <t>Safety Supplies &gt; Personal Protective Equipment (PPE) &gt; Workwear &amp; Rainwear &gt; Raincoats &amp; Rainwear</t>
  </si>
  <si>
    <t>https://www.staples.com/Raincoats-Rainwear/cat_CL167039</t>
  </si>
  <si>
    <t>Sleeves &amp; Bibs</t>
  </si>
  <si>
    <t>CL167047</t>
  </si>
  <si>
    <t>Safety Supplies &gt; Personal Protective Equipment (PPE) &gt; Workwear &amp; Rainwear &gt; Sleeves &amp; Bibs</t>
  </si>
  <si>
    <t>https://www.staples.com/Sleeves-Bibs/cat_CL167047</t>
  </si>
  <si>
    <t>Winter Hoods &amp; Balaclavas</t>
  </si>
  <si>
    <t>CL167040</t>
  </si>
  <si>
    <t>Safety Supplies &gt; Personal Protective Equipment (PPE) &gt; Workwear &amp; Rainwear &gt; Winter Hoods &amp; Balaclavas</t>
  </si>
  <si>
    <t>https://www.staples.com/Winter-Hoods-Balaclavas/cat_CL167040</t>
  </si>
  <si>
    <t>Workwear Accessories</t>
  </si>
  <si>
    <t>CL215613</t>
  </si>
  <si>
    <t>Safety Supplies &gt; Personal Protective Equipment (PPE) &gt; Workwear &amp; Rainwear &gt; Workwear Accessories</t>
  </si>
  <si>
    <t>https://www.staples.com/Workwear-Accessories/cat_CL215613</t>
  </si>
  <si>
    <t>Safety Harnesses</t>
  </si>
  <si>
    <t>CL166997</t>
  </si>
  <si>
    <t>Safety Supplies &gt; Safety Harnesses</t>
  </si>
  <si>
    <t>https://www.staples.com/Safety-Harnesses/cat_CL166997</t>
  </si>
  <si>
    <t>Safety Lanyards</t>
  </si>
  <si>
    <t>CL166998</t>
  </si>
  <si>
    <t>Safety Supplies &gt; Safety Lanyards</t>
  </si>
  <si>
    <t>https://www.staples.com/Safety-Lanyards/cat_CL166998</t>
  </si>
  <si>
    <t>Safety Storage</t>
  </si>
  <si>
    <t>Safety Cabinets &amp; Shelves</t>
  </si>
  <si>
    <t>CL208109</t>
  </si>
  <si>
    <t>Safety Supplies &gt; Safety Storage &gt; Safety Cabinets &amp; Shelves</t>
  </si>
  <si>
    <t>https://www.staples.com/Safety-Cabinets-Shelves/cat_CL208109</t>
  </si>
  <si>
    <t>Safety Cans &amp; Drums</t>
  </si>
  <si>
    <t>CL167052</t>
  </si>
  <si>
    <t>Safety Supplies &gt; Safety Storage &gt; Safety Cans &amp; Drums</t>
  </si>
  <si>
    <t>https://www.staples.com/Safety-Cans-Drums/cat_CL167052</t>
  </si>
  <si>
    <t>Safety Vests &amp; High Visibility Clothing</t>
  </si>
  <si>
    <t>CL169143</t>
  </si>
  <si>
    <t>Safety Supplies &gt; Safety Vests &amp; High Visibility Clothing</t>
  </si>
  <si>
    <t>https://www.staples.com/Safety-Vests-High-Visibility-Clothing/cat_CL169143</t>
  </si>
  <si>
    <t>Security Mirrors</t>
  </si>
  <si>
    <t>CL140730</t>
  </si>
  <si>
    <t>Safety Supplies &gt; Security Mirrors</t>
  </si>
  <si>
    <t>https://www.staples.com/Security-Mirrors/cat_CL140730</t>
  </si>
  <si>
    <t>Stanchions &amp; Barricades</t>
  </si>
  <si>
    <t>CL354515</t>
  </si>
  <si>
    <t>Safety Supplies &gt; Stanchions &amp; Barricades</t>
  </si>
  <si>
    <t>https://www.staples.com/Stanchions-Barricades/cat_CL354515</t>
  </si>
  <si>
    <t>Test Instruments, Meters &amp; Precision Tools</t>
  </si>
  <si>
    <t>CL215419</t>
  </si>
  <si>
    <t>Safety Supplies &gt; Test Instruments, Meters &amp; Precision Tools</t>
  </si>
  <si>
    <t>https://www.staples.com/Test-Instruments-Meters-Precision-Tools/cat_CL215419</t>
  </si>
  <si>
    <t>Traffic Cones</t>
  </si>
  <si>
    <t>CL354521</t>
  </si>
  <si>
    <t>Safety Supplies &gt; Traffic Cones</t>
  </si>
  <si>
    <t>https://www.staples.com/Traffic-Cones/cat_CL354521</t>
  </si>
  <si>
    <t>Traffic Signs</t>
  </si>
  <si>
    <t>CL169144</t>
  </si>
  <si>
    <t>Safety Supplies &gt; Traffic Signs</t>
  </si>
  <si>
    <t>https://www.staples.com/Traffic-Signs/cat_CL169144</t>
  </si>
  <si>
    <t>Elementary School Supplies</t>
  </si>
  <si>
    <t>Display Boards</t>
  </si>
  <si>
    <t>CL140934</t>
  </si>
  <si>
    <t>School Supplies &gt; Elementary School Supplies &gt; Display Boards</t>
  </si>
  <si>
    <t>https://www.staples.com/Display-Boards/cat_CL140934</t>
  </si>
  <si>
    <t>Learning at Home</t>
  </si>
  <si>
    <t>Board &amp; Card Games</t>
  </si>
  <si>
    <t>CL166715</t>
  </si>
  <si>
    <t>School Supplies &gt; Learning at Home &gt; Board &amp; Card Games</t>
  </si>
  <si>
    <t>https://www.staples.com/Board-Card-Games/cat_CL166715</t>
  </si>
  <si>
    <t>Building Sets</t>
  </si>
  <si>
    <t>CL354847</t>
  </si>
  <si>
    <t>School Supplies &gt; Learning at Home &gt; Building Sets</t>
  </si>
  <si>
    <t>https://www.staples.com/Building-Sets/cat_CL354847</t>
  </si>
  <si>
    <t>Educational &amp; STEM Toys</t>
  </si>
  <si>
    <t>CL212812</t>
  </si>
  <si>
    <t>School Supplies &gt; Learning at Home &gt; Educational &amp; STEM Toys</t>
  </si>
  <si>
    <t>https://www.staples.com/Educational-STEM-Toys/cat_CL212812</t>
  </si>
  <si>
    <t>Learning &amp; Development Toys</t>
  </si>
  <si>
    <t>CL214686</t>
  </si>
  <si>
    <t>School Supplies &gt; Learning at Home &gt; Learning &amp; Development Toys</t>
  </si>
  <si>
    <t>https://www.staples.com/Learning-Development-Toys/cat_CL214686</t>
  </si>
  <si>
    <t>Learning Games</t>
  </si>
  <si>
    <t>CL213128</t>
  </si>
  <si>
    <t>School Supplies &gt; Learning at Home &gt; Learning Games</t>
  </si>
  <si>
    <t>https://www.staples.com/Learning-Games/cat_CL213128</t>
  </si>
  <si>
    <t>Musical Instruments</t>
  </si>
  <si>
    <t>CL207326</t>
  </si>
  <si>
    <t>School Supplies &gt; Learning at Home &gt; Musical Instruments</t>
  </si>
  <si>
    <t>https://www.staples.com/Musical-Instruments/cat_CL207326</t>
  </si>
  <si>
    <t>Pretend Play</t>
  </si>
  <si>
    <t>Dolls &amp; Dollhouses</t>
  </si>
  <si>
    <t>CL212627</t>
  </si>
  <si>
    <t>School Supplies &gt; Learning at Home &gt; Pretend Play &gt; Dolls &amp; Dollhouses</t>
  </si>
  <si>
    <t>https://www.staples.com/Dolls-Dollhouses/cat_CL212627</t>
  </si>
  <si>
    <t>Stuffed Animals &amp; Puppets</t>
  </si>
  <si>
    <t>CL206872</t>
  </si>
  <si>
    <t>School Supplies &gt; Learning at Home &gt; Pretend Play &gt; Stuffed Animals &amp; Puppets</t>
  </si>
  <si>
    <t>https://www.staples.com/Stuffed-Animals-Puppets/cat_CL206872</t>
  </si>
  <si>
    <t>Toy Vehicles</t>
  </si>
  <si>
    <t>CL212673</t>
  </si>
  <si>
    <t>School Supplies &gt; Learning at Home &gt; Pretend Play &gt; Toy Vehicles</t>
  </si>
  <si>
    <t>https://www.staples.com/Toy-Vehicles/cat_CL212673</t>
  </si>
  <si>
    <t>Puzzles</t>
  </si>
  <si>
    <t>CL350795</t>
  </si>
  <si>
    <t>School Supplies &gt; Learning at Home &gt; Puzzles</t>
  </si>
  <si>
    <t>https://www.staples.com/Puzzles/cat_CL350795</t>
  </si>
  <si>
    <t>Preschool Supplies</t>
  </si>
  <si>
    <t>Classroom Posters &amp; Charts</t>
  </si>
  <si>
    <t>CL166104</t>
  </si>
  <si>
    <t>School Supplies &gt; Preschool Supplies &gt; Classroom Posters &amp; Charts</t>
  </si>
  <si>
    <t>https://www.staples.com/Classroom-Posters-Charts/cat_CL166104</t>
  </si>
  <si>
    <t>Pretend Play &amp; Dress Up</t>
  </si>
  <si>
    <t>CL206883</t>
  </si>
  <si>
    <t>School Supplies &gt; Preschool Supplies &gt; Pretend Play &amp; Dress Up</t>
  </si>
  <si>
    <t>https://www.staples.com/Pretend-Play-Dress-Up/cat_CL206883</t>
  </si>
  <si>
    <t>School Art Supplies</t>
  </si>
  <si>
    <t>Art &amp; School Markers</t>
  </si>
  <si>
    <t>CL221591</t>
  </si>
  <si>
    <t>School Supplies &gt; School Art Supplies &gt; Art &amp; School Markers</t>
  </si>
  <si>
    <t>https://www.staples.com/Art-School-Markers/cat_CL221591</t>
  </si>
  <si>
    <t>School Bags &amp; Lunch Boxes</t>
  </si>
  <si>
    <t>CG350602</t>
  </si>
  <si>
    <t>School Supplies &gt; School Bags &amp; Lunch Boxes</t>
  </si>
  <si>
    <t>https://www.staples.com/school-bags-lunch-boxes/cat_CG350602</t>
  </si>
  <si>
    <t>Classroom Books &amp; Digital Media</t>
  </si>
  <si>
    <t>CDs &amp; DVDs</t>
  </si>
  <si>
    <t>CL207320</t>
  </si>
  <si>
    <t>School Supplies &gt; Teacher Supplies &gt; Classroom Books &amp; Digital Media &gt; CDs &amp; DVDs</t>
  </si>
  <si>
    <t>https://www.staples.com/CDs-DVDs/cat_CL207320</t>
  </si>
  <si>
    <t>Classroom Books</t>
  </si>
  <si>
    <t>CL350830</t>
  </si>
  <si>
    <t>School Supplies &gt; Teacher Supplies &gt; Classroom Books &amp; Digital Media &gt; Classroom Books</t>
  </si>
  <si>
    <t>https://www.staples.com/Classroom-Books/cat_CL350830</t>
  </si>
  <si>
    <t>Borders &amp; Trims</t>
  </si>
  <si>
    <t>CL168929</t>
  </si>
  <si>
    <t>School Supplies &gt; Teacher Supplies &gt; Classroom Decorations &gt; Borders &amp; Trims</t>
  </si>
  <si>
    <t>https://www.staples.com/Borders-Trims/cat_CL168929</t>
  </si>
  <si>
    <t>Classroom Name Plates &amp; Name Tags</t>
  </si>
  <si>
    <t>CL168928</t>
  </si>
  <si>
    <t>School Supplies &gt; Teacher Supplies &gt; Classroom Decorations &gt; Classroom Name Plates &amp; Name Tags</t>
  </si>
  <si>
    <t>https://www.staples.com/Classroom-Name-Plates-Name-Tags/cat_CL168928</t>
  </si>
  <si>
    <t>Flags</t>
  </si>
  <si>
    <t>CL350780</t>
  </si>
  <si>
    <t>School Supplies &gt; Teacher Supplies &gt; Classroom Decorations &gt; Flags</t>
  </si>
  <si>
    <t>https://www.staples.com/Flags/cat_CL350780</t>
  </si>
  <si>
    <t>Letters &amp; Numbers</t>
  </si>
  <si>
    <t>CL207283</t>
  </si>
  <si>
    <t>School Supplies &gt; Teacher Supplies &gt; Classroom Decorations &gt; Letters &amp; Numbers</t>
  </si>
  <si>
    <t>https://www.staples.com/Letters-Numbers/cat_CL207283</t>
  </si>
  <si>
    <t>https://www.staples.com/Classroom-Storage-Organization/cat_CL207294</t>
  </si>
  <si>
    <t>Locker Accessories</t>
  </si>
  <si>
    <t>CL350826</t>
  </si>
  <si>
    <t>School Supplies &gt; Teacher Supplies &gt; Locker Accessories</t>
  </si>
  <si>
    <t>https://www.staples.com/Locker-Accessories/cat_CL350826</t>
  </si>
  <si>
    <t>Physical Education &amp; Recreation</t>
  </si>
  <si>
    <t>Bicycles, Tricycles &amp; Accessories</t>
  </si>
  <si>
    <t>CL212887</t>
  </si>
  <si>
    <t>School Supplies &gt; Teacher Supplies &gt; Physical Education &amp; Recreation &gt; Bicycles, Tricycles &amp; Accessories</t>
  </si>
  <si>
    <t>https://www.staples.com/Bicycles-Tricycles-Accessories/cat_CL212887</t>
  </si>
  <si>
    <t>Outdoor Games</t>
  </si>
  <si>
    <t>CL353835</t>
  </si>
  <si>
    <t>School Supplies &gt; Teacher Supplies &gt; Physical Education &amp; Recreation &gt; Outdoor Games</t>
  </si>
  <si>
    <t>https://www.staples.com/Outdoor-Games/cat_CL353835</t>
  </si>
  <si>
    <t>Physical Education Equipment</t>
  </si>
  <si>
    <t>CL207334</t>
  </si>
  <si>
    <t>School Supplies &gt; Teacher Supplies &gt; Physical Education &amp; Recreation &gt; Physical Education Equipment</t>
  </si>
  <si>
    <t>https://www.staples.com/Physical-Education-Equipment/cat_CL207334</t>
  </si>
  <si>
    <t>Playground Equipment</t>
  </si>
  <si>
    <t>CL207331</t>
  </si>
  <si>
    <t>School Supplies &gt; Teacher Supplies &gt; Physical Education &amp; Recreation &gt; Playground Equipment</t>
  </si>
  <si>
    <t>https://www.staples.com/Playground-Equipment/cat_CL207331</t>
  </si>
  <si>
    <t>Riding Toys &amp; Wagons</t>
  </si>
  <si>
    <t>CL207333</t>
  </si>
  <si>
    <t>School Supplies &gt; Teacher Supplies &gt; Physical Education &amp; Recreation &gt; Riding Toys &amp; Wagons</t>
  </si>
  <si>
    <t>https://www.staples.com/Riding-Toys-Wagons/cat_CL207333</t>
  </si>
  <si>
    <t>Sporting Goods</t>
  </si>
  <si>
    <t>CL212585</t>
  </si>
  <si>
    <t>School Supplies &gt; Teacher Supplies &gt; Physical Education &amp; Recreation &gt; Sporting Goods</t>
  </si>
  <si>
    <t>https://www.staples.com/Sporting-Goods/cat_CL212585</t>
  </si>
  <si>
    <t>Teacher Resources</t>
  </si>
  <si>
    <t>Bookmarks</t>
  </si>
  <si>
    <t>CL204517</t>
  </si>
  <si>
    <t>School Supplies &gt; Teacher Supplies &gt; Teacher Resources &gt; Bookmarks</t>
  </si>
  <si>
    <t>https://www.staples.com/Bookmarks/cat_CL204517</t>
  </si>
  <si>
    <t>Flash Cards</t>
  </si>
  <si>
    <t>CL207266</t>
  </si>
  <si>
    <t>School Supplies &gt; Teacher Supplies &gt; Teacher Resources &gt; Flash Cards</t>
  </si>
  <si>
    <t>https://www.staples.com/Flash-Cards/cat_CL207266</t>
  </si>
  <si>
    <t>Hall Passes &amp; Library Cards</t>
  </si>
  <si>
    <t>CL207507</t>
  </si>
  <si>
    <t>School Supplies &gt; Teacher Supplies &gt; Teacher Resources &gt; Hall Passes &amp; Library Cards</t>
  </si>
  <si>
    <t>https://www.staples.com/Hall-Passes-Library-Cards/cat_CL207507</t>
  </si>
  <si>
    <t>Lesson Plans &amp; Grade Books</t>
  </si>
  <si>
    <t>CL207302</t>
  </si>
  <si>
    <t>School Supplies &gt; Teacher Supplies &gt; Teacher Resources &gt; Lesson Plans &amp; Grade Books</t>
  </si>
  <si>
    <t>https://www.staples.com/Lesson-Plans-Grade-Books/cat_CL207302</t>
  </si>
  <si>
    <t>Maps &amp; Globes</t>
  </si>
  <si>
    <t>CL211434</t>
  </si>
  <si>
    <t>School Supplies &gt; Teacher Supplies &gt; Teacher Resources &gt; Maps &amp; Globes</t>
  </si>
  <si>
    <t>https://www.staples.com/Maps-Globes/cat_CL211434</t>
  </si>
  <si>
    <t>Rewards &amp; Incentives</t>
  </si>
  <si>
    <t>CL207287</t>
  </si>
  <si>
    <t>School Supplies &gt; Teacher Supplies &gt; Teacher Resources &gt; Rewards &amp; Incentives</t>
  </si>
  <si>
    <t>https://www.staples.com/Rewards-Incentives/cat_CL207287</t>
  </si>
  <si>
    <t>Teaching Resources</t>
  </si>
  <si>
    <t>CL167759</t>
  </si>
  <si>
    <t>School Supplies &gt; Teacher Supplies &gt; Teacher Resources &gt; Teaching Resources</t>
  </si>
  <si>
    <t>https://www.staples.com/Teaching-Resources/cat_CL167759</t>
  </si>
  <si>
    <t>Timers &amp; Buzzers</t>
  </si>
  <si>
    <t>CL219246</t>
  </si>
  <si>
    <t>School Supplies &gt; Teacher Supplies &gt; Teacher Resources &gt; Timers &amp; Buzzers</t>
  </si>
  <si>
    <t>https://www.staples.com/Timers-Buzzers/cat_CL219246</t>
  </si>
  <si>
    <t>Security, Banking &amp; Cash</t>
  </si>
  <si>
    <t>Call Bells</t>
  </si>
  <si>
    <t>CL142096</t>
  </si>
  <si>
    <t>Security, Banking &amp; Cash &gt; Call Bells</t>
  </si>
  <si>
    <t>https://www.staples.com/Call-Bells/cat_CL142096</t>
  </si>
  <si>
    <t>Shredders &amp; Accessories</t>
  </si>
  <si>
    <t>Shredder Accessories</t>
  </si>
  <si>
    <t>CL158967</t>
  </si>
  <si>
    <t>Security, Banking &amp; Cash &gt; Shredders &amp; Accessories &gt; Shredder Accessories</t>
  </si>
  <si>
    <t>https://www.staples.com/Shredder-Accessories/cat_CL158967</t>
  </si>
  <si>
    <t>Shredders</t>
  </si>
  <si>
    <t>CL141980</t>
  </si>
  <si>
    <t>Security, Banking &amp; Cash &gt; Shredders &amp; Accessories &gt; Shredders</t>
  </si>
  <si>
    <t>https://www.staples.com/Shredders/cat_CL141980</t>
  </si>
  <si>
    <t>Tickets &amp; Tags</t>
  </si>
  <si>
    <t>CL206119</t>
  </si>
  <si>
    <t>Security, Banking &amp; Cash &gt; Tickets &amp; Tags</t>
  </si>
  <si>
    <t>https://www.staples.com/Tickets-Tags/cat_CL206119</t>
  </si>
  <si>
    <t>Letter Openers</t>
  </si>
  <si>
    <t>CL10500</t>
  </si>
  <si>
    <t>Shipping, Packing &amp; Mailing Supplies &gt; Mailing Supplies &gt; Letter Openers</t>
  </si>
  <si>
    <t>https://www.staples.com/Letter-Openers/cat_CL10500</t>
  </si>
  <si>
    <t>Literature &amp; Mail Sorters</t>
  </si>
  <si>
    <t>CL141866</t>
  </si>
  <si>
    <t>Shipping, Packing &amp; Mailing Supplies &gt; Mailing Supplies &gt; Literature &amp; Mail Sorters</t>
  </si>
  <si>
    <t>https://www.staples.com/Literature-Mail-Sorters/cat_CL141866</t>
  </si>
  <si>
    <t>Mailing Tubes</t>
  </si>
  <si>
    <t>CL141868</t>
  </si>
  <si>
    <t>Shipping, Packing &amp; Mailing Supplies &gt; Mailing Supplies &gt; Mailing Tubes &gt; Mailing Tubes</t>
  </si>
  <si>
    <t>https://www.staples.com/Mailing-Tubes/cat_CL141868</t>
  </si>
  <si>
    <t>Paper Folding Machines &amp; Joggers</t>
  </si>
  <si>
    <t>CL140639</t>
  </si>
  <si>
    <t>Shipping, Packing &amp; Mailing Supplies &gt; Mailing Supplies &gt; Paper Folding Machines &amp; Joggers</t>
  </si>
  <si>
    <t>https://www.staples.com/Paper-Folding-Machines-Joggers/cat_CL140639</t>
  </si>
  <si>
    <t>Postage Stamps</t>
  </si>
  <si>
    <t>CL354846</t>
  </si>
  <si>
    <t>Shipping, Packing &amp; Mailing Supplies &gt; Mailing Supplies &gt; Postage Stamps</t>
  </si>
  <si>
    <t>https://www.staples.com/Postage-Stamps/cat_CL354846</t>
  </si>
  <si>
    <t>Postal Scales &amp; Meters</t>
  </si>
  <si>
    <t>CL141867</t>
  </si>
  <si>
    <t>Shipping, Packing &amp; Mailing Supplies &gt; Mailing Supplies &gt; Postal Scales &amp; Meters</t>
  </si>
  <si>
    <t>https://www.staples.com/Postal-Scales-Meters/cat_CL141867</t>
  </si>
  <si>
    <t>Shipping Supplies</t>
  </si>
  <si>
    <t>Corrugated Boxes &amp; Pads</t>
  </si>
  <si>
    <t>Corrugated Mailers</t>
  </si>
  <si>
    <t>CL141997</t>
  </si>
  <si>
    <t>Shipping, Packing &amp; Mailing Supplies &gt; Shipping Supplies &gt; Corrugated Boxes &amp; Pads &gt; Corrugated Mailers</t>
  </si>
  <si>
    <t>https://www.staples.com/Corrugated-Mailers/cat_CL141997</t>
  </si>
  <si>
    <t>Layer Pads</t>
  </si>
  <si>
    <t>CL350281</t>
  </si>
  <si>
    <t>Shipping, Packing &amp; Mailing Supplies &gt; Shipping Supplies &gt; Corrugated Boxes &amp; Pads &gt; Layer Pads</t>
  </si>
  <si>
    <t>https://www.staples.com/Layer-Pads/cat_CL350281</t>
  </si>
  <si>
    <t>Shippers</t>
  </si>
  <si>
    <t>CL350280</t>
  </si>
  <si>
    <t>Shipping, Packing &amp; Mailing Supplies &gt; Shipping Supplies &gt; Corrugated Boxes &amp; Pads &gt; Shippers</t>
  </si>
  <si>
    <t>https://www.staples.com/Shippers/cat_CL350280</t>
  </si>
  <si>
    <t>Shipping Boxes</t>
  </si>
  <si>
    <t>CL213835</t>
  </si>
  <si>
    <t>Shipping, Packing &amp; Mailing Supplies &gt; Shipping Supplies &gt; Corrugated Boxes &amp; Pads &gt; Shipping Boxes</t>
  </si>
  <si>
    <t>https://www.staples.com/Shipping-Boxes/cat_CL213835</t>
  </si>
  <si>
    <t>Cushioning &amp; Void Fill</t>
  </si>
  <si>
    <t>Air Pillows &amp; Inflatable Packaging</t>
  </si>
  <si>
    <t>CL350317</t>
  </si>
  <si>
    <t>Shipping, Packing &amp; Mailing Supplies &gt; Shipping Supplies &gt; Cushioning &amp; Void Fill &gt; Air Pillows &amp; Inflatable Packaging</t>
  </si>
  <si>
    <t>https://www.staples.com/Air-Pillows-Inflatable-Packaging/cat_CL350317</t>
  </si>
  <si>
    <t>Bubble Rolls</t>
  </si>
  <si>
    <t>CL350310</t>
  </si>
  <si>
    <t>Shipping, Packing &amp; Mailing Supplies &gt; Shipping Supplies &gt; Cushioning &amp; Void Fill &gt; Bubble Rolls</t>
  </si>
  <si>
    <t>https://www.staples.com/Bubble-Rolls/cat_CL350310</t>
  </si>
  <si>
    <t>Cushioning Bags &amp; Sleeves</t>
  </si>
  <si>
    <t>CL350313</t>
  </si>
  <si>
    <t>Shipping, Packing &amp; Mailing Supplies &gt; Shipping Supplies &gt; Cushioning &amp; Void Fill &gt; Cushioning Bags &amp; Sleeves</t>
  </si>
  <si>
    <t>https://www.staples.com/Cushioning-Bags-Sleeves/cat_CL350313</t>
  </si>
  <si>
    <t>Cushioning Sheets</t>
  </si>
  <si>
    <t>CL350312</t>
  </si>
  <si>
    <t>Shipping, Packing &amp; Mailing Supplies &gt; Shipping Supplies &gt; Cushioning &amp; Void Fill &gt; Cushioning Sheets</t>
  </si>
  <si>
    <t>https://www.staples.com/Cushioning-Sheets/cat_CL350312</t>
  </si>
  <si>
    <t>Foam Rolls</t>
  </si>
  <si>
    <t>CL350311</t>
  </si>
  <si>
    <t>Shipping, Packing &amp; Mailing Supplies &gt; Shipping Supplies &gt; Cushioning &amp; Void Fill &gt; Foam Rolls</t>
  </si>
  <si>
    <t>https://www.staples.com/Foam-Rolls/cat_CL350311</t>
  </si>
  <si>
    <t>Packing Paper Rolls</t>
  </si>
  <si>
    <t>CL350314</t>
  </si>
  <si>
    <t>Shipping, Packing &amp; Mailing Supplies &gt; Shipping Supplies &gt; Cushioning &amp; Void Fill &gt; Packing Paper Rolls</t>
  </si>
  <si>
    <t>https://www.staples.com/Packing-Paper-Rolls/cat_CL350314</t>
  </si>
  <si>
    <t>Packing Paper Sheets</t>
  </si>
  <si>
    <t>CL350315</t>
  </si>
  <si>
    <t>Shipping, Packing &amp; Mailing Supplies &gt; Shipping Supplies &gt; Cushioning &amp; Void Fill &gt; Packing Paper Sheets</t>
  </si>
  <si>
    <t>https://www.staples.com/Packing-Paper-Sheets/cat_CL350315</t>
  </si>
  <si>
    <t>Desiccants &amp; Cold Packs</t>
  </si>
  <si>
    <t>Desiccants</t>
  </si>
  <si>
    <t>CL167816</t>
  </si>
  <si>
    <t>Shipping, Packing &amp; Mailing Supplies &gt; Shipping Supplies &gt; Desiccants &amp; Cold Packs &gt; Desiccants</t>
  </si>
  <si>
    <t>https://www.staples.com/Desiccants/cat_CL167816</t>
  </si>
  <si>
    <t>Shipping Cold Packs</t>
  </si>
  <si>
    <t>CL350680</t>
  </si>
  <si>
    <t>Shipping, Packing &amp; Mailing Supplies &gt; Shipping Supplies &gt; Desiccants &amp; Cold Packs &gt; Shipping Cold Packs</t>
  </si>
  <si>
    <t>https://www.staples.com/Shipping-Cold-Packs/cat_CL350680</t>
  </si>
  <si>
    <t>Moving Supplies</t>
  </si>
  <si>
    <t>CL221465</t>
  </si>
  <si>
    <t>Shipping, Packing &amp; Mailing Supplies &gt; Shipping Supplies &gt; Moving Supplies</t>
  </si>
  <si>
    <t>https://www.staples.com/Moving-Supplies/cat_CL221465</t>
  </si>
  <si>
    <t>Package Identification &amp; Indicators</t>
  </si>
  <si>
    <t>Damage Indicators</t>
  </si>
  <si>
    <t>CL350290</t>
  </si>
  <si>
    <t>Shipping, Packing &amp; Mailing Supplies &gt; Shipping Supplies &gt; Package Identification &amp; Indicators &gt; Damage Indicators</t>
  </si>
  <si>
    <t>https://www.staples.com/Damage-Indicators/cat_CL350290</t>
  </si>
  <si>
    <t>Packing List Envelopes</t>
  </si>
  <si>
    <t>CL141896</t>
  </si>
  <si>
    <t>Shipping, Packing &amp; Mailing Supplies &gt; Shipping Supplies &gt; Package Identification &amp; Indicators &gt; Packing List Envelopes</t>
  </si>
  <si>
    <t>https://www.staples.com/Packing-List-Envelopes/cat_CL141896</t>
  </si>
  <si>
    <t>Shipping Tags &amp; Seals</t>
  </si>
  <si>
    <t>CL167807</t>
  </si>
  <si>
    <t>Shipping, Packing &amp; Mailing Supplies &gt; Shipping Supplies &gt; Package Identification &amp; Indicators &gt; Shipping Tags &amp; Seals</t>
  </si>
  <si>
    <t>https://www.staples.com/Shipping-Tags-Seals/cat_CL167807</t>
  </si>
  <si>
    <t>Packing Peanuts</t>
  </si>
  <si>
    <t>CL141645</t>
  </si>
  <si>
    <t>Shipping, Packing &amp; Mailing Supplies &gt; Shipping Supplies &gt; Packing Peanuts</t>
  </si>
  <si>
    <t>https://www.staples.com/Packing-Peanuts/cat_CL141645</t>
  </si>
  <si>
    <t>Packing Tape &amp; Dispensers</t>
  </si>
  <si>
    <t>Packing Tape Dispensers</t>
  </si>
  <si>
    <t>CL350620</t>
  </si>
  <si>
    <t>Shipping, Packing &amp; Mailing Supplies &gt; Shipping Supplies &gt; Packing Tape &amp; Dispensers &gt; Packing Tape Dispensers</t>
  </si>
  <si>
    <t>https://www.staples.com/Packing-Tape-Dispensers/cat_CL350620</t>
  </si>
  <si>
    <t>Poly Bags &amp; Tubing</t>
  </si>
  <si>
    <t>Impulse Sealers</t>
  </si>
  <si>
    <t>CL350304</t>
  </si>
  <si>
    <t>Shipping, Packing &amp; Mailing Supplies &gt; Shipping Supplies &gt; Poly Bags &amp; Tubing &gt; Impulse Sealers</t>
  </si>
  <si>
    <t>https://www.staples.com/Impulse-Sealers/cat_CL350304</t>
  </si>
  <si>
    <t>Pallet Covers &amp; Sheeting</t>
  </si>
  <si>
    <t>CL215790</t>
  </si>
  <si>
    <t>Shipping, Packing &amp; Mailing Supplies &gt; Shipping Supplies &gt; Poly Bags &amp; Tubing &gt; Pallet Covers &amp; Sheeting</t>
  </si>
  <si>
    <t>https://www.staples.com/Pallet-Covers-Sheeting/cat_CL215790</t>
  </si>
  <si>
    <t>Poly Bags</t>
  </si>
  <si>
    <t>CL350297</t>
  </si>
  <si>
    <t>Shipping, Packing &amp; Mailing Supplies &gt; Shipping Supplies &gt; Poly Bags &amp; Tubing &gt; Poly Bags</t>
  </si>
  <si>
    <t>https://www.staples.com/Poly-Bags/cat_CL350297</t>
  </si>
  <si>
    <t>Poly Tubing</t>
  </si>
  <si>
    <t>CL141805</t>
  </si>
  <si>
    <t>Shipping, Packing &amp; Mailing Supplies &gt; Shipping Supplies &gt; Poly Bags &amp; Tubing &gt; Poly Tubing</t>
  </si>
  <si>
    <t>https://www.staples.com/Poly-Tubing/cat_CL141805</t>
  </si>
  <si>
    <t>Twist Ties &amp; Bag Tape</t>
  </si>
  <si>
    <t>CL350305</t>
  </si>
  <si>
    <t>Shipping, Packing &amp; Mailing Supplies &gt; Shipping Supplies &gt; Poly Bags &amp; Tubing &gt; Twist Ties &amp; Bag Tape</t>
  </si>
  <si>
    <t>https://www.staples.com/Twist-Ties-Bag-Tape/cat_CL350305</t>
  </si>
  <si>
    <t>Shipping &amp; Packing Dispensers</t>
  </si>
  <si>
    <t>CL350319</t>
  </si>
  <si>
    <t>Shipping, Packing &amp; Mailing Supplies &gt; Shipping Supplies &gt; Shipping &amp; Packing Dispensers</t>
  </si>
  <si>
    <t>https://www.staples.com/Shipping-Packing-Dispensers/cat_CL350319</t>
  </si>
  <si>
    <t>Strapping &amp; Strapping Equipment</t>
  </si>
  <si>
    <t>Edge Protectors</t>
  </si>
  <si>
    <t>CL218877</t>
  </si>
  <si>
    <t>Shipping, Packing &amp; Mailing Supplies &gt; Shipping Supplies &gt; Strapping &amp; Strapping Equipment &gt; Edge Protectors</t>
  </si>
  <si>
    <t>https://www.staples.com/Edge-Protectors/cat_CL218877</t>
  </si>
  <si>
    <t>Rope, String &amp; Twine</t>
  </si>
  <si>
    <t>CL141640</t>
  </si>
  <si>
    <t>Shipping, Packing &amp; Mailing Supplies &gt; Shipping Supplies &gt; Strapping &amp; Strapping Equipment &gt; Rope, String &amp; Twine</t>
  </si>
  <si>
    <t>https://www.staples.com/Rope-String-Twine/cat_CL141640</t>
  </si>
  <si>
    <t>Seals &amp; Buckles</t>
  </si>
  <si>
    <t>CL350282</t>
  </si>
  <si>
    <t>Shipping, Packing &amp; Mailing Supplies &gt; Shipping Supplies &gt; Strapping &amp; Strapping Equipment &gt; Seals &amp; Buckles</t>
  </si>
  <si>
    <t>https://www.staples.com/Seals-Buckles/cat_CL350282</t>
  </si>
  <si>
    <t>Strapping</t>
  </si>
  <si>
    <t>CL350293</t>
  </si>
  <si>
    <t>Shipping, Packing &amp; Mailing Supplies &gt; Shipping Supplies &gt; Strapping &amp; Strapping Equipment &gt; Strapping</t>
  </si>
  <si>
    <t>https://www.staples.com/Strapping/cat_CL350293</t>
  </si>
  <si>
    <t>Strapping Tools</t>
  </si>
  <si>
    <t>CL350294</t>
  </si>
  <si>
    <t>Shipping, Packing &amp; Mailing Supplies &gt; Shipping Supplies &gt; Strapping &amp; Strapping Equipment &gt; Strapping Tools</t>
  </si>
  <si>
    <t>https://www.staples.com/Strapping-Tools/cat_CL350294</t>
  </si>
  <si>
    <t>Stretch &amp; Shrink Film</t>
  </si>
  <si>
    <t>Shrink Film</t>
  </si>
  <si>
    <t>CL350306</t>
  </si>
  <si>
    <t>Shipping, Packing &amp; Mailing Supplies &gt; Shipping Supplies &gt; Stretch &amp; Shrink Film &gt; Shrink Film</t>
  </si>
  <si>
    <t>https://www.staples.com/Shrink-Film/cat_CL350306</t>
  </si>
  <si>
    <t>Stretch Wrap</t>
  </si>
  <si>
    <t>CL215789</t>
  </si>
  <si>
    <t>Shipping, Packing &amp; Mailing Supplies &gt; Shipping Supplies &gt; Stretch &amp; Shrink Film &gt; Stretch Wrap</t>
  </si>
  <si>
    <t>https://www.staples.com/Stretch-Wrap/cat_CL215789</t>
  </si>
  <si>
    <t>Shredders, Projectors &amp; Office Machines</t>
  </si>
  <si>
    <t>Binding Equipment</t>
  </si>
  <si>
    <t>Binding Combs &amp; Spines</t>
  </si>
  <si>
    <t>CL159938</t>
  </si>
  <si>
    <t>Shredders, Projectors &amp; Office Machines &gt; Binding Equipment &gt; Binding Combs &amp; Spines</t>
  </si>
  <si>
    <t>https://www.staples.com/Binding-Combs-Spines/cat_CL159938</t>
  </si>
  <si>
    <t>Binding Covers &amp; Accessories</t>
  </si>
  <si>
    <t>CL140547</t>
  </si>
  <si>
    <t>Shredders, Projectors &amp; Office Machines &gt; Binding Equipment &gt; Binding Covers &amp; Accessories</t>
  </si>
  <si>
    <t>https://www.staples.com/Binding-Covers-Accessories/cat_CL140547</t>
  </si>
  <si>
    <t>Binding Machines</t>
  </si>
  <si>
    <t>CL161082</t>
  </si>
  <si>
    <t>Shredders, Projectors &amp; Office Machines &gt; Binding Equipment &gt; Binding Machines</t>
  </si>
  <si>
    <t>https://www.staples.com/Binding-Machines/cat_CL161082</t>
  </si>
  <si>
    <t>Calculators</t>
  </si>
  <si>
    <t>Basic Calculators</t>
  </si>
  <si>
    <t>CL90000</t>
  </si>
  <si>
    <t>Shredders, Projectors &amp; Office Machines &gt; Calculators &gt; Basic Calculators</t>
  </si>
  <si>
    <t>https://www.staples.com/Basic-Calculators/cat_CL90000</t>
  </si>
  <si>
    <t>Calculator Accessories</t>
  </si>
  <si>
    <t>CL30100</t>
  </si>
  <si>
    <t>Shredders, Projectors &amp; Office Machines &gt; Calculators &gt; Calculator Accessories</t>
  </si>
  <si>
    <t>https://www.staples.com/Calculator-Accessories/cat_CL30100</t>
  </si>
  <si>
    <t>Financial Calculators</t>
  </si>
  <si>
    <t>CL140514</t>
  </si>
  <si>
    <t>Shredders, Projectors &amp; Office Machines &gt; Calculators &gt; Financial Calculators</t>
  </si>
  <si>
    <t>https://www.staples.com/Financial-Calculators/cat_CL140514</t>
  </si>
  <si>
    <t>Graphing Calculators</t>
  </si>
  <si>
    <t>CL90003</t>
  </si>
  <si>
    <t>Shredders, Projectors &amp; Office Machines &gt; Calculators &gt; Graphing Calculators</t>
  </si>
  <si>
    <t>https://www.staples.com/Graphing-Calculators/cat_CL90003</t>
  </si>
  <si>
    <t>Industry Specific Calculators</t>
  </si>
  <si>
    <t>CL215227</t>
  </si>
  <si>
    <t>Shredders, Projectors &amp; Office Machines &gt; Calculators &gt; Industry Specific Calculators</t>
  </si>
  <si>
    <t>https://www.staples.com/Industry-Specific-Calculators/cat_CL215227</t>
  </si>
  <si>
    <t>Printing Calculators</t>
  </si>
  <si>
    <t>CL90001</t>
  </si>
  <si>
    <t>Shredders, Projectors &amp; Office Machines &gt; Calculators &gt; Printing Calculators</t>
  </si>
  <si>
    <t>https://www.staples.com/Printing-Calculators/cat_CL90001</t>
  </si>
  <si>
    <t>Scientific Calculators</t>
  </si>
  <si>
    <t>CL90002</t>
  </si>
  <si>
    <t>Shredders, Projectors &amp; Office Machines &gt; Calculators &gt; Scientific Calculators</t>
  </si>
  <si>
    <t>https://www.staples.com/Scientific-Calculators/cat_CL90002</t>
  </si>
  <si>
    <t>Fax Machines</t>
  </si>
  <si>
    <t>CL165742</t>
  </si>
  <si>
    <t>Shredders, Projectors &amp; Office Machines &gt; Fax Machines</t>
  </si>
  <si>
    <t>https://www.staples.com/Fax-Machines/cat_CL165742</t>
  </si>
  <si>
    <t>Projectors &amp; Accessories</t>
  </si>
  <si>
    <t>Document Cameras</t>
  </si>
  <si>
    <t>CL169123</t>
  </si>
  <si>
    <t>Shredders, Projectors &amp; Office Machines &gt; Projectors &amp; Accessories &gt; Document Cameras</t>
  </si>
  <si>
    <t>https://www.staples.com/Document-Cameras/cat_CL169123</t>
  </si>
  <si>
    <t>Laser Pointers &amp; Remotes</t>
  </si>
  <si>
    <t>CL140540</t>
  </si>
  <si>
    <t>Shredders, Projectors &amp; Office Machines &gt; Projectors &amp; Accessories &gt; Laser Pointers &amp; Remotes</t>
  </si>
  <si>
    <t>https://www.staples.com/Laser-Pointers-Remotes/cat_CL140540</t>
  </si>
  <si>
    <t>Projector Parts &amp; Accessories</t>
  </si>
  <si>
    <t>CL140550</t>
  </si>
  <si>
    <t>Shredders, Projectors &amp; Office Machines &gt; Projectors &amp; Accessories &gt; Projector Parts &amp; Accessories</t>
  </si>
  <si>
    <t>https://www.staples.com/Projector-Parts-Accessories/cat_CL140550</t>
  </si>
  <si>
    <t>Projector Screens</t>
  </si>
  <si>
    <t>CL141762</t>
  </si>
  <si>
    <t>Shredders, Projectors &amp; Office Machines &gt; Projectors &amp; Accessories &gt; Projector Screens</t>
  </si>
  <si>
    <t>https://www.staples.com/Projector-Screens/cat_CL141762</t>
  </si>
  <si>
    <t>Projectors</t>
  </si>
  <si>
    <t>CL140542</t>
  </si>
  <si>
    <t>Shredders, Projectors &amp; Office Machines &gt; Projectors &amp; Accessories &gt; Projectors</t>
  </si>
  <si>
    <t>https://www.staples.com/Projectors/cat_CL140542</t>
  </si>
  <si>
    <t>Typewriters &amp; Typewriter Supplies</t>
  </si>
  <si>
    <t>CL90800</t>
  </si>
  <si>
    <t>Shredders, Projectors &amp; Office Machines &gt; Typewriters &amp; Typewriter Supplies</t>
  </si>
  <si>
    <t>https://www.staples.com/Typewriters-Typewriter-Supplies/cat_CL90800</t>
  </si>
  <si>
    <t>Smart Home &amp; Security</t>
  </si>
  <si>
    <t>Security Cameras &amp; Systems</t>
  </si>
  <si>
    <t>CL160405</t>
  </si>
  <si>
    <t>Smart Home &amp; Security &gt; Security Cameras &amp; Systems</t>
  </si>
  <si>
    <t>https://www.staples.com/Security-Cameras-Systems/cat_CL160405</t>
  </si>
  <si>
    <t>Security System Accessories</t>
  </si>
  <si>
    <t>CL163142</t>
  </si>
  <si>
    <t>Smart Home &amp; Security &gt; Security System Accessories</t>
  </si>
  <si>
    <t>https://www.staples.com/Security-System-Accessories/cat_CL163142</t>
  </si>
  <si>
    <t>Smart Bulbs</t>
  </si>
  <si>
    <t>CL353947</t>
  </si>
  <si>
    <t>Smart Home &amp; Security &gt; Smart Bulbs</t>
  </si>
  <si>
    <t>https://www.staples.com/Smart-Bulbs/cat_CL353947</t>
  </si>
  <si>
    <t>Smart Doorbells</t>
  </si>
  <si>
    <t>CL353945</t>
  </si>
  <si>
    <t>Smart Home &amp; Security &gt; Smart Doorbells</t>
  </si>
  <si>
    <t>https://www.staples.com/Smart-Doorbells/cat_CL353945</t>
  </si>
  <si>
    <t>Smart Light Switches &amp; Dimmers</t>
  </si>
  <si>
    <t>CL353946</t>
  </si>
  <si>
    <t>Smart Home &amp; Security &gt; Smart Light Switches &amp; Dimmers</t>
  </si>
  <si>
    <t>https://www.staples.com/Smart-Light-Switches-Dimmers/cat_CL353946</t>
  </si>
  <si>
    <t>Smart Locks</t>
  </si>
  <si>
    <t>CL216607</t>
  </si>
  <si>
    <t>Smart Home &amp; Security &gt; Smart Locks</t>
  </si>
  <si>
    <t>https://www.staples.com/Smart-Locks/cat_CL216607</t>
  </si>
  <si>
    <t>Smart Plugs &amp; Outlets</t>
  </si>
  <si>
    <t>CL211550</t>
  </si>
  <si>
    <t>Smart Home &amp; Security &gt; Smart Plugs &amp; Outlets</t>
  </si>
  <si>
    <t>https://www.staples.com/Smart-Plugs-Outlets/cat_CL211550</t>
  </si>
  <si>
    <t>Smart Sensors</t>
  </si>
  <si>
    <t>CL211416</t>
  </si>
  <si>
    <t>Smart Home &amp; Security &gt; Smart Sensors</t>
  </si>
  <si>
    <t>https://www.staples.com/Smart-Sensors/cat_CL211416</t>
  </si>
  <si>
    <t>Smart Speakers &amp; Displays</t>
  </si>
  <si>
    <t>CL216608</t>
  </si>
  <si>
    <t>Smart Home &amp; Security &gt; Smart Speakers &amp; Displays</t>
  </si>
  <si>
    <t>https://www.staples.com/Smart-Speakers-Displays/cat_CL216608</t>
  </si>
  <si>
    <t>Smart Thermostats</t>
  </si>
  <si>
    <t>CL211415</t>
  </si>
  <si>
    <t>Smart Home &amp; Security &gt; Smart Thermostats</t>
  </si>
  <si>
    <t>https://www.staples.com/Smart-Thermostats/cat_CL211415</t>
  </si>
  <si>
    <t>TV &amp; Streaming Media</t>
  </si>
  <si>
    <t>DJ Equipment &amp; Musical Instruments</t>
  </si>
  <si>
    <t>Equalizers &amp; Mixers</t>
  </si>
  <si>
    <t>CL168301</t>
  </si>
  <si>
    <t>TV &amp; Streaming Media &gt; DJ Equipment &amp; Musical Instruments &gt; Equalizers &amp; Mixers</t>
  </si>
  <si>
    <t>https://www.staples.com/Equalizers-Mixers/cat_CL168301</t>
  </si>
  <si>
    <t>Karaoke Machines</t>
  </si>
  <si>
    <t>CL215631</t>
  </si>
  <si>
    <t>TV &amp; Streaming Media &gt; DJ Equipment &amp; Musical Instruments &gt; Karaoke Machines</t>
  </si>
  <si>
    <t>https://www.staples.com/Karaoke-Machines/cat_CL215631</t>
  </si>
  <si>
    <t>Stage Equipment</t>
  </si>
  <si>
    <t>CL219247</t>
  </si>
  <si>
    <t>TV &amp; Streaming Media &gt; DJ Equipment &amp; Musical Instruments &gt; Stage Equipment</t>
  </si>
  <si>
    <t>https://www.staples.com/Stage-Equipment/cat_CL219247</t>
  </si>
  <si>
    <t>Turn Tables &amp; DJ Equipment</t>
  </si>
  <si>
    <t>CL168298</t>
  </si>
  <si>
    <t>TV &amp; Streaming Media &gt; DJ Equipment &amp; Musical Instruments &gt; Turn Tables &amp; DJ Equipment</t>
  </si>
  <si>
    <t>https://www.staples.com/Turn-Tables-DJ-Equipment/cat_CL168298</t>
  </si>
  <si>
    <t>Streaming Media Players</t>
  </si>
  <si>
    <t>CL160115</t>
  </si>
  <si>
    <t>TV &amp; Streaming Media &gt; Streaming Media Players &gt; Streaming Media Players</t>
  </si>
  <si>
    <t>https://www.staples.com/Streaming-Media-Players/cat_CL160115</t>
  </si>
  <si>
    <t>TV &amp; Video</t>
  </si>
  <si>
    <t>Car CD Players &amp; Monitors</t>
  </si>
  <si>
    <t>CL168300</t>
  </si>
  <si>
    <t>TV &amp; Streaming Media &gt; TV &amp; Video &gt; Car CD Players &amp; Monitors</t>
  </si>
  <si>
    <t>https://www.staples.com/Car-CD-Players-Monitors/cat_CL168300</t>
  </si>
  <si>
    <t>DVD &amp; Blu-Ray Players</t>
  </si>
  <si>
    <t>CL141768</t>
  </si>
  <si>
    <t>TV &amp; Streaming Media &gt; TV &amp; Video &gt; DVD &amp; Blu-Ray Players</t>
  </si>
  <si>
    <t>https://www.staples.com/DVD-Blu-Ray-Players/cat_CL141768</t>
  </si>
  <si>
    <t>Digital Signage</t>
  </si>
  <si>
    <t>CL168890</t>
  </si>
  <si>
    <t>TV &amp; Streaming Media &gt; TV &amp; Video &gt; Digital Signage</t>
  </si>
  <si>
    <t>https://www.staples.com/Digital-Signage/cat_CL168890</t>
  </si>
  <si>
    <t>Smart Boards</t>
  </si>
  <si>
    <t>CL355009</t>
  </si>
  <si>
    <t>TV &amp; Streaming Media &gt; TV &amp; Video &gt; Smart Boards</t>
  </si>
  <si>
    <t>https://www.staples.com/Smart-Boards/cat_CL355009</t>
  </si>
  <si>
    <t>TV Accessories</t>
  </si>
  <si>
    <t>CL168253</t>
  </si>
  <si>
    <t>TV &amp; Streaming Media &gt; TV &amp; Video &gt; TV Accessories</t>
  </si>
  <si>
    <t>https://www.staples.com/TV-Accessories/cat_CL168253</t>
  </si>
  <si>
    <t>TV Wall Mounts</t>
  </si>
  <si>
    <t>CL142753</t>
  </si>
  <si>
    <t>TV &amp; Streaming Media &gt; TV &amp; Video &gt; TV Wall Mounts</t>
  </si>
  <si>
    <t>https://www.staples.com/TV-Wall-Mounts/cat_CL142753</t>
  </si>
  <si>
    <t>TVs</t>
  </si>
  <si>
    <t>CL164870</t>
  </si>
  <si>
    <t>TV &amp; Streaming Media &gt; TV &amp; Video &gt; TVs</t>
  </si>
  <si>
    <t>https://www.staples.com/TVs/cat_CL164870</t>
  </si>
  <si>
    <t>Tablets &amp; iPads</t>
  </si>
  <si>
    <t>Digital Notebooks &amp; Accessories</t>
  </si>
  <si>
    <t>CL354964</t>
  </si>
  <si>
    <t>Tablets &amp; iPads &gt; Digital Notebooks &amp; Accessories</t>
  </si>
  <si>
    <t>https://www.staples.com/Digital-Notebooks-Accessories/cat_CL354964</t>
  </si>
  <si>
    <t>E-Readers</t>
  </si>
  <si>
    <t>CL164364</t>
  </si>
  <si>
    <t>Tablets &amp; iPads &gt; E-Readers</t>
  </si>
  <si>
    <t>https://www.staples.com/E-Readers/cat_CL164364</t>
  </si>
  <si>
    <t>Tablet &amp; iPad Cases, Covers &amp; Keyboards</t>
  </si>
  <si>
    <t>CL166405</t>
  </si>
  <si>
    <t>Tablets &amp; iPads &gt; Tablet &amp; iPad Cases, Covers &amp; Keyboards</t>
  </si>
  <si>
    <t>https://www.staples.com/Tablet-iPad-Cases-Covers-Keyboards/cat_CL166405</t>
  </si>
  <si>
    <t>Tablet Screen Protectors</t>
  </si>
  <si>
    <t>CL166407</t>
  </si>
  <si>
    <t>Tablets &amp; iPads &gt; Tablet Screen Protectors</t>
  </si>
  <si>
    <t>https://www.staples.com/Tablet-Screen-Protectors/cat_CL166407</t>
  </si>
  <si>
    <t>Tablet Stands &amp; Mounts</t>
  </si>
  <si>
    <t>CL166415</t>
  </si>
  <si>
    <t>Tablets &amp; iPads &gt; Tablet Stands &amp; Mounts</t>
  </si>
  <si>
    <t>https://www.staples.com/Tablet-Stands-Mounts/cat_CL166415</t>
  </si>
  <si>
    <t>CL204449</t>
  </si>
  <si>
    <t>Tablets &amp; iPads &gt; Tablets &amp; iPads</t>
  </si>
  <si>
    <t>https://www.staples.com/Tablets-iPads/cat_CL204449</t>
  </si>
  <si>
    <t>Tech Services</t>
  </si>
  <si>
    <t>Data Backup</t>
  </si>
  <si>
    <t>CL218593</t>
  </si>
  <si>
    <t>Tech Services &gt; Data Backup</t>
  </si>
  <si>
    <t>https://www.staples.com/Data-Backup/cat_CL218593</t>
  </si>
  <si>
    <t>Data Recovery</t>
  </si>
  <si>
    <t>CL218594</t>
  </si>
  <si>
    <t>Tech Services &gt; Data Recovery</t>
  </si>
  <si>
    <t>https://www.staples.com/Data-Recovery/cat_CL218594</t>
  </si>
  <si>
    <t>Mail-In Recycling Services</t>
  </si>
  <si>
    <t>CL354593</t>
  </si>
  <si>
    <t>Tech Services &gt; Mail-In Recycling Services</t>
  </si>
  <si>
    <t>https://www.staples.com/Mail-In-Recycling-Services/cat_CL354593</t>
  </si>
  <si>
    <t>PC &amp; Memory Upgrade</t>
  </si>
  <si>
    <t>CL218589</t>
  </si>
  <si>
    <t>Tech Services &gt; PC &amp; Memory Upgrade</t>
  </si>
  <si>
    <t>https://www.staples.com/PC-Memory-Upgrade/cat_CL218589</t>
  </si>
  <si>
    <t>PC Tune-Up</t>
  </si>
  <si>
    <t>CL218586</t>
  </si>
  <si>
    <t>Tech Services &gt; PC Tune-Up</t>
  </si>
  <si>
    <t>https://www.staples.com/PC-Tune-Up/cat_CL218586</t>
  </si>
  <si>
    <t>Set Up My Device</t>
  </si>
  <si>
    <t>CL218587</t>
  </si>
  <si>
    <t>Tech Services &gt; Set Up My Device</t>
  </si>
  <si>
    <t>https://www.staples.com/Set-Up-My-Device/cat_CL218587</t>
  </si>
  <si>
    <t>Software Installation</t>
  </si>
  <si>
    <t>CL218590</t>
  </si>
  <si>
    <t>Tech Services &gt; Software Installation</t>
  </si>
  <si>
    <t>https://www.staples.com/Software-Installation/cat_CL218590</t>
  </si>
  <si>
    <t>Tech Support</t>
  </si>
  <si>
    <t>CL218591</t>
  </si>
  <si>
    <t>Tech Services &gt; Tech Support</t>
  </si>
  <si>
    <t>https://www.staples.com/Tech-Support/cat_CL218591</t>
  </si>
  <si>
    <t>Virus Protection</t>
  </si>
  <si>
    <t>CL218585</t>
  </si>
  <si>
    <t>Tech Services &gt; Virus Protection</t>
  </si>
  <si>
    <t>https://www.staples.com/Virus-Protection/cat_CL218585</t>
  </si>
  <si>
    <t>Virus Removal</t>
  </si>
  <si>
    <t>CL218584</t>
  </si>
  <si>
    <t>Tech Services &gt; Virus Removal</t>
  </si>
  <si>
    <t>https://www.staples.com/Virus-Removal/cat_CL218584</t>
  </si>
  <si>
    <t>Wireless Networking Setup &amp; Repair</t>
  </si>
  <si>
    <t>CL218588</t>
  </si>
  <si>
    <t>Tech Services &gt; Wireless Networking Setup &amp; Repair</t>
  </si>
  <si>
    <t>https://www.staples.com/Wireless-Networking-Setup-Repair/cat_CL218588</t>
  </si>
  <si>
    <t>Tools, Parts &amp; Supplies</t>
  </si>
  <si>
    <t>Anchors: Screw &amp; Wedge</t>
  </si>
  <si>
    <t>CL167128</t>
  </si>
  <si>
    <t>Tools, Parts &amp; Supplies &gt; Anchors: Screw &amp; Wedge</t>
  </si>
  <si>
    <t>https://www.staples.com/Anchors-Screw-Wedge/cat_CL167128</t>
  </si>
  <si>
    <t>Automotive</t>
  </si>
  <si>
    <t>Auto &amp; Auto Part Cleaners</t>
  </si>
  <si>
    <t>CL204562</t>
  </si>
  <si>
    <t>Tools, Parts &amp; Supplies &gt; Automotive &gt; Auto &amp; Auto Part Cleaners</t>
  </si>
  <si>
    <t>https://www.staples.com/Auto-Auto-Part-Cleaners/cat_CL204562</t>
  </si>
  <si>
    <t>Automotive Accessories</t>
  </si>
  <si>
    <t>CL168936</t>
  </si>
  <si>
    <t>Tools, Parts &amp; Supplies &gt; Automotive &gt; Automotive Accessories</t>
  </si>
  <si>
    <t>https://www.staples.com/Automotive-Accessories/cat_CL168936</t>
  </si>
  <si>
    <t>Booster Cables, Battery Clamps &amp; Chargers</t>
  </si>
  <si>
    <t>CL167111</t>
  </si>
  <si>
    <t>Tools, Parts &amp; Supplies &gt; Automotive &gt; Booster Cables, Battery Clamps &amp; Chargers</t>
  </si>
  <si>
    <t>https://www.staples.com/Booster-Cables-Battery-Clamps-Chargers/cat_CL167111</t>
  </si>
  <si>
    <t>Jack &amp; Jack Stands</t>
  </si>
  <si>
    <t>CL167067</t>
  </si>
  <si>
    <t>Tools, Parts &amp; Supplies &gt; Automotive &gt; Jack &amp; Jack Stands</t>
  </si>
  <si>
    <t>https://www.staples.com/Jack-Stands/cat_CL167067</t>
  </si>
  <si>
    <t>Roadside Emergency Tool Kit</t>
  </si>
  <si>
    <t>CL162791</t>
  </si>
  <si>
    <t>Tools, Parts &amp; Supplies &gt; Automotive &gt; Roadside Emergency Tool Kit</t>
  </si>
  <si>
    <t>https://www.staples.com/Roadside-Emergency-Tool-Kit/cat_CL162791</t>
  </si>
  <si>
    <t>Tarps &amp; Plastic Sheeting</t>
  </si>
  <si>
    <t>CL167116</t>
  </si>
  <si>
    <t>Tools, Parts &amp; Supplies &gt; Automotive &gt; Tarps &amp; Plastic Sheeting</t>
  </si>
  <si>
    <t>https://www.staples.com/Tarps-Plastic-Sheeting/cat_CL167116</t>
  </si>
  <si>
    <t>Windshield Wiper Fluid</t>
  </si>
  <si>
    <t>CL210858</t>
  </si>
  <si>
    <t>Tools, Parts &amp; Supplies &gt; Automotive &gt; Windshield Wiper Fluid</t>
  </si>
  <si>
    <t>https://www.staples.com/Windshield-Wiper-Fluid/cat_CL210858</t>
  </si>
  <si>
    <t>Buckles, Bands &amp; Straps</t>
  </si>
  <si>
    <t>CL167129</t>
  </si>
  <si>
    <t>Tools, Parts &amp; Supplies &gt; Buckles, Bands &amp; Straps</t>
  </si>
  <si>
    <t>https://www.staples.com/Buckles-Bands-Straps/cat_CL167129</t>
  </si>
  <si>
    <t>Cable Ties &amp; Tie Guns</t>
  </si>
  <si>
    <t>CL167229</t>
  </si>
  <si>
    <t>Tools, Parts &amp; Supplies &gt; Cable Ties &amp; Tie Guns</t>
  </si>
  <si>
    <t>https://www.staples.com/Cable-Ties-Tie-Guns/cat_CL167229</t>
  </si>
  <si>
    <t>Chalk Reels &amp; Marking Tools</t>
  </si>
  <si>
    <t>Chalk Line Reels &amp; Marking Chalk</t>
  </si>
  <si>
    <t>CL167118</t>
  </si>
  <si>
    <t>Tools, Parts &amp; Supplies &gt; Chalk Reels &amp; Marking Tools &gt; Chalk Line Reels &amp; Marking Chalk</t>
  </si>
  <si>
    <t>https://www.staples.com/Chalk-Line-Reels-Marking-Chalk/cat_CL167118</t>
  </si>
  <si>
    <t>Crayons: Lumber, Paint, Marking</t>
  </si>
  <si>
    <t>CL167119</t>
  </si>
  <si>
    <t>Tools, Parts &amp; Supplies &gt; Chalk Reels &amp; Marking Tools &gt; Crayons: Lumber, Paint, Marking</t>
  </si>
  <si>
    <t>https://www.staples.com/Crayons-Lumber-Paint-Marking/cat_CL167119</t>
  </si>
  <si>
    <t>Labeling Tool Ribbons</t>
  </si>
  <si>
    <t>CL167120</t>
  </si>
  <si>
    <t>Tools, Parts &amp; Supplies &gt; Chalk Reels &amp; Marking Tools &gt; Labeling Tool Ribbons</t>
  </si>
  <si>
    <t>https://www.staples.com/Labeling-Tool-Ribbons/cat_CL167120</t>
  </si>
  <si>
    <t>Markers: Metal, Paint, China</t>
  </si>
  <si>
    <t>CL167121</t>
  </si>
  <si>
    <t>Tools, Parts &amp; Supplies &gt; Chalk Reels &amp; Marking Tools &gt; Markers: Metal, Paint, China</t>
  </si>
  <si>
    <t>https://www.staples.com/Markers-Metal-Paint-China/cat_CL167121</t>
  </si>
  <si>
    <t>Pencils: Welders, Carpenters, Art</t>
  </si>
  <si>
    <t>CL167122</t>
  </si>
  <si>
    <t>Tools, Parts &amp; Supplies &gt; Chalk Reels &amp; Marking Tools &gt; Pencils: Welders, Carpenters, Art</t>
  </si>
  <si>
    <t>https://www.staples.com/Pencils-Welders-Carpenters-Art/cat_CL167122</t>
  </si>
  <si>
    <t>Soapstones &amp; Holders</t>
  </si>
  <si>
    <t>CL167123</t>
  </si>
  <si>
    <t>Tools, Parts &amp; Supplies &gt; Chalk Reels &amp; Marking Tools &gt; Soapstones &amp; Holders</t>
  </si>
  <si>
    <t>https://www.staples.com/Soapstones-Holders/cat_CL167123</t>
  </si>
  <si>
    <t>Stencil Sets</t>
  </si>
  <si>
    <t>CL167125</t>
  </si>
  <si>
    <t>Tools, Parts &amp; Supplies &gt; Chalk Reels &amp; Marking Tools &gt; Stencil Sets</t>
  </si>
  <si>
    <t>https://www.staples.com/Stencil-Sets/cat_CL167125</t>
  </si>
  <si>
    <t>Chemicals, Lubricants &amp; Paints</t>
  </si>
  <si>
    <t>Grease Guns &amp; Fittings</t>
  </si>
  <si>
    <t>CL167209</t>
  </si>
  <si>
    <t>Tools, Parts &amp; Supplies &gt; Chemicals, Lubricants &amp; Paints &gt; Grease Guns &amp; Fittings</t>
  </si>
  <si>
    <t>https://www.staples.com/Grease-Guns-Fittings/cat_CL167209</t>
  </si>
  <si>
    <t>Lubricants</t>
  </si>
  <si>
    <t>CL167167</t>
  </si>
  <si>
    <t>Tools, Parts &amp; Supplies &gt; Chemicals, Lubricants &amp; Paints &gt; Lubricants</t>
  </si>
  <si>
    <t>https://www.staples.com/Lubricants/cat_CL167167</t>
  </si>
  <si>
    <t>Clips, Rings &amp; Pins</t>
  </si>
  <si>
    <t>CL167130</t>
  </si>
  <si>
    <t>Tools, Parts &amp; Supplies &gt; Clips, Rings &amp; Pins</t>
  </si>
  <si>
    <t>https://www.staples.com/Clips-Rings-Pins/cat_CL167130</t>
  </si>
  <si>
    <t>Coated Disc Abrasives</t>
  </si>
  <si>
    <t>CL167148</t>
  </si>
  <si>
    <t>Tools, Parts &amp; Supplies &gt; Coated Disc Abrasives</t>
  </si>
  <si>
    <t>https://www.staples.com/Coated-Disc-Abrasives/cat_CL167148</t>
  </si>
  <si>
    <t>Coated Flap Disc Abrasives</t>
  </si>
  <si>
    <t>CL167149</t>
  </si>
  <si>
    <t>Tools, Parts &amp; Supplies &gt; Coated Flap Disc Abrasives</t>
  </si>
  <si>
    <t>https://www.staples.com/Coated-Flap-Disc-Abrasives/cat_CL167149</t>
  </si>
  <si>
    <t>Coated Flap Wheel Abrasives</t>
  </si>
  <si>
    <t>CL167150</t>
  </si>
  <si>
    <t>Tools, Parts &amp; Supplies &gt; Coated Flap Wheel Abrasives</t>
  </si>
  <si>
    <t>https://www.staples.com/Coated-Flap-Wheel-Abrasives/cat_CL167150</t>
  </si>
  <si>
    <t>Coated Roll Abrasives</t>
  </si>
  <si>
    <t>CL167250</t>
  </si>
  <si>
    <t>Tools, Parts &amp; Supplies &gt; Coated Roll Abrasives</t>
  </si>
  <si>
    <t>https://www.staples.com/Coated-Roll-Abrasives/cat_CL167250</t>
  </si>
  <si>
    <t>End Brushes</t>
  </si>
  <si>
    <t>CL167152</t>
  </si>
  <si>
    <t>Tools, Parts &amp; Supplies &gt; End Brushes</t>
  </si>
  <si>
    <t>https://www.staples.com/End-Brushes/cat_CL167152</t>
  </si>
  <si>
    <t>Fittings</t>
  </si>
  <si>
    <t>CL167211</t>
  </si>
  <si>
    <t>Tools, Parts &amp; Supplies &gt; Fittings</t>
  </si>
  <si>
    <t>https://www.staples.com/Fittings/cat_CL167211</t>
  </si>
  <si>
    <t>All Hand Tools</t>
  </si>
  <si>
    <t>CL213520</t>
  </si>
  <si>
    <t>Tools, Parts &amp; Supplies &gt; Hand Tools &gt; All Hand Tools</t>
  </si>
  <si>
    <t>https://www.staples.com/All-Hand-Tools/cat_CL213520</t>
  </si>
  <si>
    <t>Chisels, Punches &amp; Pins</t>
  </si>
  <si>
    <t>CL166888</t>
  </si>
  <si>
    <t>Tools, Parts &amp; Supplies &gt; Hand Tools &gt; Chisels, Punches &amp; Pins</t>
  </si>
  <si>
    <t>https://www.staples.com/Chisels-Punches-Pins/cat_CL166888</t>
  </si>
  <si>
    <t>Concrete &amp; Masonry Tools</t>
  </si>
  <si>
    <t>CL166890</t>
  </si>
  <si>
    <t>Tools, Parts &amp; Supplies &gt; Hand Tools &gt; Concrete &amp; Masonry Tools</t>
  </si>
  <si>
    <t>https://www.staples.com/Concrete-Masonry-Tools/cat_CL166890</t>
  </si>
  <si>
    <t>Cutters &amp; Cutter Wheels</t>
  </si>
  <si>
    <t>CL166892</t>
  </si>
  <si>
    <t>Tools, Parts &amp; Supplies &gt; Hand Tools &gt; Cutters &amp; Cutter Wheels</t>
  </si>
  <si>
    <t>https://www.staples.com/Cutters-Cutter-Wheels/cat_CL166892</t>
  </si>
  <si>
    <t>Files &amp; Handles</t>
  </si>
  <si>
    <t>CL166894</t>
  </si>
  <si>
    <t>Tools, Parts &amp; Supplies &gt; Hand Tools &gt; Files &amp; Handles</t>
  </si>
  <si>
    <t>https://www.staples.com/Files-Handles/cat_CL166894</t>
  </si>
  <si>
    <t>Magnetic Pickups &amp; Retrieving Tools</t>
  </si>
  <si>
    <t>CL166899</t>
  </si>
  <si>
    <t>Tools, Parts &amp; Supplies &gt; Hand Tools &gt; Magnetic Pickups &amp; Retrieving Tools</t>
  </si>
  <si>
    <t>https://www.staples.com/Magnetic-Pickups-Retrieving-Tools/cat_CL166899</t>
  </si>
  <si>
    <t>Putty Knives &amp; Scrapers</t>
  </si>
  <si>
    <t>CL166902</t>
  </si>
  <si>
    <t>Tools, Parts &amp; Supplies &gt; Hand Tools &gt; Putty Knives &amp; Scrapers</t>
  </si>
  <si>
    <t>https://www.staples.com/Putty-Knives-Scrapers/cat_CL166902</t>
  </si>
  <si>
    <t>Scribers &amp; Scratch Awls</t>
  </si>
  <si>
    <t>CL166905</t>
  </si>
  <si>
    <t>Tools, Parts &amp; Supplies &gt; Hand Tools &gt; Scribers &amp; Scratch Awls</t>
  </si>
  <si>
    <t>https://www.staples.com/Scribers-Scratch-Awls/cat_CL166905</t>
  </si>
  <si>
    <t>Sockets &amp; Accessories</t>
  </si>
  <si>
    <t>CL166907</t>
  </si>
  <si>
    <t>Tools, Parts &amp; Supplies &gt; Hand Tools &gt; Sockets &amp; Accessories</t>
  </si>
  <si>
    <t>https://www.staples.com/Sockets-Accessories/cat_CL166907</t>
  </si>
  <si>
    <t>Staplers &amp; Riveters</t>
  </si>
  <si>
    <t>CL166908</t>
  </si>
  <si>
    <t>Tools, Parts &amp; Supplies &gt; Hand Tools &gt; Staplers &amp; Riveters</t>
  </si>
  <si>
    <t>https://www.staples.com/Staplers-Riveters/cat_CL166908</t>
  </si>
  <si>
    <t>Tap Wrenches &amp; Dies</t>
  </si>
  <si>
    <t>CL166989</t>
  </si>
  <si>
    <t>Tools, Parts &amp; Supplies &gt; Hand Tools &gt; Tap Wrenches &amp; Dies</t>
  </si>
  <si>
    <t>https://www.staples.com/Tap-Wrenches-Dies/cat_CL166989</t>
  </si>
  <si>
    <t>Wedges</t>
  </si>
  <si>
    <t>CL166911</t>
  </si>
  <si>
    <t>Tools, Parts &amp; Supplies &gt; Hand Tools &gt; Wedges</t>
  </si>
  <si>
    <t>https://www.staples.com/Wedges/cat_CL166911</t>
  </si>
  <si>
    <t>CL213514</t>
  </si>
  <si>
    <t>Tools, Parts &amp; Supplies &gt; Hardware</t>
  </si>
  <si>
    <t>https://www.staples.com/Hardware/cat_CL213514</t>
  </si>
  <si>
    <t>Hose Clamps</t>
  </si>
  <si>
    <t>CL167131</t>
  </si>
  <si>
    <t>Tools, Parts &amp; Supplies &gt; Hose Clamps</t>
  </si>
  <si>
    <t>https://www.staples.com/Hose-Clamps/cat_CL167131</t>
  </si>
  <si>
    <t>Keystocks, Shims &amp; Valves</t>
  </si>
  <si>
    <t>CL167112</t>
  </si>
  <si>
    <t>Tools, Parts &amp; Supplies &gt; Keystocks, Shims &amp; Valves</t>
  </si>
  <si>
    <t>https://www.staples.com/Keystocks-Shims-Valves/cat_CL167112</t>
  </si>
  <si>
    <t>Measuring &amp; Leveling Tools</t>
  </si>
  <si>
    <t>Compasses, Protractors and Markers</t>
  </si>
  <si>
    <t>CL167135</t>
  </si>
  <si>
    <t>Tools, Parts &amp; Supplies &gt; Measuring &amp; Leveling Tools &gt; Compasses, Protractors and Markers</t>
  </si>
  <si>
    <t>https://www.staples.com/Compasses-Protractors-and-Markers/cat_CL167135</t>
  </si>
  <si>
    <t>Flange Pins</t>
  </si>
  <si>
    <t>CL167240</t>
  </si>
  <si>
    <t>Tools, Parts &amp; Supplies &gt; Measuring &amp; Leveling Tools &gt; Flange Pins</t>
  </si>
  <si>
    <t>https://www.staples.com/Flange-Pins/cat_CL167240</t>
  </si>
  <si>
    <t>Gauges / Gages</t>
  </si>
  <si>
    <t>CL166964</t>
  </si>
  <si>
    <t>Tools, Parts &amp; Supplies &gt; Measuring &amp; Leveling Tools &gt; Gauges / Gages</t>
  </si>
  <si>
    <t>https://www.staples.com/Gauges-Gages/cat_CL166964</t>
  </si>
  <si>
    <t>Industrial Tape</t>
  </si>
  <si>
    <t>CL166976</t>
  </si>
  <si>
    <t>Tools, Parts &amp; Supplies &gt; Measuring &amp; Leveling Tools &gt; Industrial Tape</t>
  </si>
  <si>
    <t>https://www.staples.com/Industrial-Tape/cat_CL166976</t>
  </si>
  <si>
    <t>Medical Thermometers</t>
  </si>
  <si>
    <t>CL167138</t>
  </si>
  <si>
    <t>Tools, Parts &amp; Supplies &gt; Measuring &amp; Leveling Tools &gt; Medical Thermometers</t>
  </si>
  <si>
    <t>https://www.staples.com/Medical-Thermometers/cat_CL167138</t>
  </si>
  <si>
    <t>Ruler</t>
  </si>
  <si>
    <t>CL167136</t>
  </si>
  <si>
    <t>Tools, Parts &amp; Supplies &gt; Measuring &amp; Leveling Tools &gt; Ruler</t>
  </si>
  <si>
    <t>https://www.staples.com/Ruler/cat_CL167136</t>
  </si>
  <si>
    <t>Non Woven Disc Abrasives</t>
  </si>
  <si>
    <t>CL167153</t>
  </si>
  <si>
    <t>Tools, Parts &amp; Supplies &gt; Non Woven Disc Abrasives</t>
  </si>
  <si>
    <t>https://www.staples.com/Non-Woven-Disc-Abrasives/cat_CL167153</t>
  </si>
  <si>
    <t>Non Woven Pad Abrasives</t>
  </si>
  <si>
    <t>CL167154</t>
  </si>
  <si>
    <t>Tools, Parts &amp; Supplies &gt; Non Woven Pad Abrasives</t>
  </si>
  <si>
    <t>https://www.staples.com/Non-Woven-Pad-Abrasives/cat_CL167154</t>
  </si>
  <si>
    <t>Non Woven Wheel Abrasives</t>
  </si>
  <si>
    <t>CL167253</t>
  </si>
  <si>
    <t>Tools, Parts &amp; Supplies &gt; Non Woven Wheel Abrasives</t>
  </si>
  <si>
    <t>https://www.staples.com/Non-Woven-Wheel-Abrasives/cat_CL167253</t>
  </si>
  <si>
    <t>Heat Guns &amp; Torches</t>
  </si>
  <si>
    <t>CL167142</t>
  </si>
  <si>
    <t>Tools, Parts &amp; Supplies &gt; Power Tools &gt; Heat Guns &amp; Torches</t>
  </si>
  <si>
    <t>https://www.staples.com/Heat-Guns-Torches/cat_CL167142</t>
  </si>
  <si>
    <t>Metal Detectors</t>
  </si>
  <si>
    <t>CL211074</t>
  </si>
  <si>
    <t>Tools, Parts &amp; Supplies &gt; Power Tools &gt; Metal Detectors</t>
  </si>
  <si>
    <t>https://www.staples.com/Metal-Detectors/cat_CL211074</t>
  </si>
  <si>
    <t>Sanders &amp; Accessories</t>
  </si>
  <si>
    <t>CL167247</t>
  </si>
  <si>
    <t>Tools, Parts &amp; Supplies &gt; Power Tools &gt; Sanders &amp; Accessories</t>
  </si>
  <si>
    <t>https://www.staples.com/Sanders-Accessories/cat_CL167247</t>
  </si>
  <si>
    <t>Soldering Guns &amp; Irons</t>
  </si>
  <si>
    <t>CL167147</t>
  </si>
  <si>
    <t>Tools, Parts &amp; Supplies &gt; Power Tools &gt; Soldering Guns &amp; Irons</t>
  </si>
  <si>
    <t>https://www.staples.com/Soldering-Guns-Irons/cat_CL167147</t>
  </si>
  <si>
    <t>Resin Bonded Abrasives</t>
  </si>
  <si>
    <t>CL167155</t>
  </si>
  <si>
    <t>Tools, Parts &amp; Supplies &gt; Resin Bonded Abrasives</t>
  </si>
  <si>
    <t>https://www.staples.com/Resin-Bonded-Abrasives/cat_CL167155</t>
  </si>
  <si>
    <t>Scratch Brushes</t>
  </si>
  <si>
    <t>CL167156</t>
  </si>
  <si>
    <t>Tools, Parts &amp; Supplies &gt; Scratch Brushes</t>
  </si>
  <si>
    <t>https://www.staples.com/Scratch-Brushes/cat_CL167156</t>
  </si>
  <si>
    <t>Tool &amp; Garage Organization</t>
  </si>
  <si>
    <t>Garage Storage Equipment</t>
  </si>
  <si>
    <t>CL213519</t>
  </si>
  <si>
    <t>Tools, Parts &amp; Supplies &gt; Tool &amp; Garage Organization &gt; Garage Storage Equipment</t>
  </si>
  <si>
    <t>https://www.staples.com/Garage-Storage-Equipment/cat_CL213519</t>
  </si>
  <si>
    <t>Tube Brushes</t>
  </si>
  <si>
    <t>CL167158</t>
  </si>
  <si>
    <t>Tools, Parts &amp; Supplies &gt; Tube Brushes</t>
  </si>
  <si>
    <t>https://www.staples.com/Tube-Brushes/cat_CL167158</t>
  </si>
  <si>
    <t>Vitrified Abrasives</t>
  </si>
  <si>
    <t>CL167159</t>
  </si>
  <si>
    <t>Tools, Parts &amp; Supplies &gt; Vitrified Abrasives</t>
  </si>
  <si>
    <t>https://www.staples.com/Vitrified-Abrasives/cat_CL167159</t>
  </si>
  <si>
    <t>Wheel Brushes</t>
  </si>
  <si>
    <t>CL167160</t>
  </si>
  <si>
    <t>Tools, Parts &amp; Supplies &gt; Wheel Brushes</t>
  </si>
  <si>
    <t>https://www.staples.com/Wheel-Brushes/cat_CL167160</t>
  </si>
  <si>
    <t>Warranties &amp; Protection Plans</t>
  </si>
  <si>
    <t>Protection Plans</t>
  </si>
  <si>
    <t>CL350656</t>
  </si>
  <si>
    <t>Warranties &amp; Protection Plans &gt; Protection Plans</t>
  </si>
  <si>
    <t>https://www.staples.com/Protection-Plans/cat_CL350656</t>
  </si>
  <si>
    <t>Wearable Technology</t>
  </si>
  <si>
    <t>Action Cameras</t>
  </si>
  <si>
    <t>CL213905</t>
  </si>
  <si>
    <t>Wearable Technology &gt; Action Cameras</t>
  </si>
  <si>
    <t>https://www.staples.com/Action-Cameras/cat_CL213905</t>
  </si>
  <si>
    <t>Camera Glasses</t>
  </si>
  <si>
    <t>CL213903</t>
  </si>
  <si>
    <t>Wearable Technology &gt; Camera Glasses</t>
  </si>
  <si>
    <t>https://www.staples.com/Camera-Glasses/cat_CL213903</t>
  </si>
  <si>
    <t>Heart Rate Monitors</t>
  </si>
  <si>
    <t>CL211900</t>
  </si>
  <si>
    <t>Wearable Technology &gt; Heart Rate Monitors</t>
  </si>
  <si>
    <t>https://www.staples.com/Heart-Rate-Monitors/cat_CL211900</t>
  </si>
  <si>
    <t>Pedometers &amp; Fitness Trackers</t>
  </si>
  <si>
    <t>CL211981</t>
  </si>
  <si>
    <t>Wearable Technology &gt; Pedometers &amp; Fitness Trackers</t>
  </si>
  <si>
    <t>https://www.staples.com/Pedometers-Fitness-Trackers/cat_CL211981</t>
  </si>
  <si>
    <t>Smart Rings</t>
  </si>
  <si>
    <t>CL354959</t>
  </si>
  <si>
    <t>Wearable Technology &gt; Smart Rings</t>
  </si>
  <si>
    <t>https://www.staples.com/Smart-Rings/cat_CL354959</t>
  </si>
  <si>
    <t>Smart Watches</t>
  </si>
  <si>
    <t>CL211894</t>
  </si>
  <si>
    <t>Wearable Technology &gt; Smart Watches</t>
  </si>
  <si>
    <t>https://www.staples.com/Smart-Watches/cat_CL211894</t>
  </si>
  <si>
    <t>Sports &amp; Handheld GPS</t>
  </si>
  <si>
    <t>CL213901</t>
  </si>
  <si>
    <t>Wearable Technology &gt; Sports &amp; Handheld GPS</t>
  </si>
  <si>
    <t>https://www.staples.com/Sports-Handheld-GPS/cat_CL213901</t>
  </si>
  <si>
    <t>Workwear</t>
  </si>
  <si>
    <t>Occupational Workwear</t>
  </si>
  <si>
    <t>Healthcare Apparel</t>
  </si>
  <si>
    <t>Lab Coats</t>
  </si>
  <si>
    <t>CL214870</t>
  </si>
  <si>
    <t>Workwear &gt; Occupational Workwear &gt; Healthcare Apparel &gt; Lab Coats</t>
  </si>
  <si>
    <t>https://www.staples.com/Lab-Coats/cat_CL214870</t>
  </si>
  <si>
    <t>Medical Gowns &amp; Aprons</t>
  </si>
  <si>
    <t>CL161994</t>
  </si>
  <si>
    <t>Workwear &gt; Occupational Workwear &gt; Healthcare Apparel &gt; Medical Gowns &amp; Aprons</t>
  </si>
  <si>
    <t>https://www.staples.com/Medical-Gowns-Aprons/cat_CL161994</t>
  </si>
  <si>
    <t>Patient Apparel</t>
  </si>
  <si>
    <t>CL168222</t>
  </si>
  <si>
    <t>Workwear &gt; Occupational Workwear &gt; Healthcare Apparel &gt; Patient Apparel</t>
  </si>
  <si>
    <t>https://www.staples.com/Patient-Apparel/cat_CL168222</t>
  </si>
  <si>
    <t>Scrubs &amp; Medical Staff Apparel</t>
  </si>
  <si>
    <t>CL168217</t>
  </si>
  <si>
    <t>Workwear &gt; Occupational Workwear &gt; Healthcare Apparel &gt; Scrubs &amp; Medical Staff Apparel</t>
  </si>
  <si>
    <t>https://www.staples.com/Scrubs-Medical-Staff-Apparel/cat_CL168217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</si>
</sst>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2"/>
      <color rgb="FF2E75B6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8"/>
      <color rgb="FF8080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0" borderId="0" xfId="0" applyFont="1"/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3" fontId="6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1" fontId="8" fillId="0" borderId="0" xfId="0" applyNumberFormat="1" applyFont="1"/>
    <xf numFmtId="0" fontId="5" fillId="0" borderId="0" xfId="0" applyFont="1"/>
    <xf numFmtId="0" fontId="0" fillId="0" borderId="0" xfId="0"/>
    <xf numFmtId="0" fontId="6" fillId="0" borderId="0" xfId="0" applyFont="1"/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7"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Live segment map (updates with inputs)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Hero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'Hero Segmentation'!$V$5:$V$71</c:f>
              <c:numCache>
                <c:formatCode>0</c:formatCode>
                <c:ptCount val="67"/>
                <c:pt idx="0">
                  <c:v>100</c:v>
                </c:pt>
                <c:pt idx="1">
                  <c:v>83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74</c:v>
                </c:pt>
                <c:pt idx="7">
                  <c:v>#N/A</c:v>
                </c:pt>
                <c:pt idx="8">
                  <c:v>83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95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77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77</c:v>
                </c:pt>
                <c:pt idx="27">
                  <c:v>#N/A</c:v>
                </c:pt>
                <c:pt idx="28">
                  <c:v>95</c:v>
                </c:pt>
                <c:pt idx="29">
                  <c:v>#N/A</c:v>
                </c:pt>
                <c:pt idx="30">
                  <c:v>#N/A</c:v>
                </c:pt>
                <c:pt idx="31">
                  <c:v>66</c:v>
                </c:pt>
                <c:pt idx="32">
                  <c:v>83</c:v>
                </c:pt>
                <c:pt idx="33">
                  <c:v>72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100</c:v>
                </c:pt>
                <c:pt idx="38">
                  <c:v>#N/A</c:v>
                </c:pt>
                <c:pt idx="39">
                  <c:v>78</c:v>
                </c:pt>
                <c:pt idx="40">
                  <c:v>#N/A</c:v>
                </c:pt>
                <c:pt idx="41">
                  <c:v>78</c:v>
                </c:pt>
                <c:pt idx="42">
                  <c:v>66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83</c:v>
                </c:pt>
                <c:pt idx="47">
                  <c:v>100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78</c:v>
                </c:pt>
                <c:pt idx="52">
                  <c:v>#N/A</c:v>
                </c:pt>
                <c:pt idx="53">
                  <c:v>89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xVal>
          <c:yVal>
            <c:numRef>
              <c:f>'Hero Segmentation'!$W$5:$W$71</c:f>
              <c:numCache>
                <c:formatCode>0</c:formatCode>
                <c:ptCount val="67"/>
                <c:pt idx="0">
                  <c:v>95</c:v>
                </c:pt>
                <c:pt idx="1">
                  <c:v>88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93</c:v>
                </c:pt>
                <c:pt idx="7">
                  <c:v>#N/A</c:v>
                </c:pt>
                <c:pt idx="8">
                  <c:v>83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78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68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75</c:v>
                </c:pt>
                <c:pt idx="27">
                  <c:v>#N/A</c:v>
                </c:pt>
                <c:pt idx="28">
                  <c:v>76</c:v>
                </c:pt>
                <c:pt idx="29">
                  <c:v>#N/A</c:v>
                </c:pt>
                <c:pt idx="30">
                  <c:v>#N/A</c:v>
                </c:pt>
                <c:pt idx="31">
                  <c:v>72</c:v>
                </c:pt>
                <c:pt idx="32">
                  <c:v>75</c:v>
                </c:pt>
                <c:pt idx="33">
                  <c:v>81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78</c:v>
                </c:pt>
                <c:pt idx="38">
                  <c:v>#N/A</c:v>
                </c:pt>
                <c:pt idx="39">
                  <c:v>65</c:v>
                </c:pt>
                <c:pt idx="40">
                  <c:v>#N/A</c:v>
                </c:pt>
                <c:pt idx="41">
                  <c:v>60</c:v>
                </c:pt>
                <c:pt idx="42">
                  <c:v>56.000000000000007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65</c:v>
                </c:pt>
                <c:pt idx="47">
                  <c:v>78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50</c:v>
                </c:pt>
                <c:pt idx="52">
                  <c:v>#N/A</c:v>
                </c:pt>
                <c:pt idx="53">
                  <c:v>57.999999999999993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35-4484-86EE-BB79A7774E3A}"/>
            </c:ext>
          </c:extLst>
        </c:ser>
        <c:ser>
          <c:idx val="1"/>
          <c:order val="1"/>
          <c:tx>
            <c:v>Probable Hero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'Hero Segmentation'!$X$5:$X$71</c:f>
              <c:numCache>
                <c:formatCode>0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60</c:v>
                </c:pt>
                <c:pt idx="3">
                  <c:v>55.000000000000007</c:v>
                </c:pt>
                <c:pt idx="4">
                  <c:v>61</c:v>
                </c:pt>
                <c:pt idx="5">
                  <c:v>60</c:v>
                </c:pt>
                <c:pt idx="6">
                  <c:v>#N/A</c:v>
                </c:pt>
                <c:pt idx="7">
                  <c:v>56.999999999999993</c:v>
                </c:pt>
                <c:pt idx="8">
                  <c:v>#N/A</c:v>
                </c:pt>
                <c:pt idx="9">
                  <c:v>44</c:v>
                </c:pt>
                <c:pt idx="10">
                  <c:v>63</c:v>
                </c:pt>
                <c:pt idx="11">
                  <c:v>40</c:v>
                </c:pt>
                <c:pt idx="12">
                  <c:v>#N/A</c:v>
                </c:pt>
                <c:pt idx="13">
                  <c:v>60</c:v>
                </c:pt>
                <c:pt idx="14">
                  <c:v>55.000000000000007</c:v>
                </c:pt>
                <c:pt idx="15">
                  <c:v>32</c:v>
                </c:pt>
                <c:pt idx="16">
                  <c:v>35</c:v>
                </c:pt>
                <c:pt idx="17">
                  <c:v>61</c:v>
                </c:pt>
                <c:pt idx="18">
                  <c:v>#N/A</c:v>
                </c:pt>
                <c:pt idx="19">
                  <c:v>#N/A</c:v>
                </c:pt>
                <c:pt idx="20">
                  <c:v>61</c:v>
                </c:pt>
                <c:pt idx="21">
                  <c:v>46</c:v>
                </c:pt>
                <c:pt idx="22">
                  <c:v>#N/A</c:v>
                </c:pt>
                <c:pt idx="23">
                  <c:v>61</c:v>
                </c:pt>
                <c:pt idx="24">
                  <c:v>43</c:v>
                </c:pt>
                <c:pt idx="25">
                  <c:v>44</c:v>
                </c:pt>
                <c:pt idx="26">
                  <c:v>#N/A</c:v>
                </c:pt>
                <c:pt idx="27">
                  <c:v>55.000000000000007</c:v>
                </c:pt>
                <c:pt idx="28">
                  <c:v>#N/A</c:v>
                </c:pt>
                <c:pt idx="29">
                  <c:v>61</c:v>
                </c:pt>
                <c:pt idx="30">
                  <c:v>38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60</c:v>
                </c:pt>
                <c:pt idx="35">
                  <c:v>32</c:v>
                </c:pt>
                <c:pt idx="36">
                  <c:v>#N/A</c:v>
                </c:pt>
                <c:pt idx="37">
                  <c:v>#N/A</c:v>
                </c:pt>
                <c:pt idx="38">
                  <c:v>63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23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60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xVal>
          <c:yVal>
            <c:numRef>
              <c:f>'Hero Segmentation'!$Y$5:$Y$71</c:f>
              <c:numCache>
                <c:formatCode>0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97</c:v>
                </c:pt>
                <c:pt idx="3">
                  <c:v>82</c:v>
                </c:pt>
                <c:pt idx="4">
                  <c:v>82</c:v>
                </c:pt>
                <c:pt idx="5">
                  <c:v>90</c:v>
                </c:pt>
                <c:pt idx="6">
                  <c:v>#N/A</c:v>
                </c:pt>
                <c:pt idx="7">
                  <c:v>95</c:v>
                </c:pt>
                <c:pt idx="8">
                  <c:v>#N/A</c:v>
                </c:pt>
                <c:pt idx="9">
                  <c:v>88</c:v>
                </c:pt>
                <c:pt idx="10">
                  <c:v>73</c:v>
                </c:pt>
                <c:pt idx="11">
                  <c:v>65</c:v>
                </c:pt>
                <c:pt idx="12">
                  <c:v>#N/A</c:v>
                </c:pt>
                <c:pt idx="13">
                  <c:v>87</c:v>
                </c:pt>
                <c:pt idx="14">
                  <c:v>82</c:v>
                </c:pt>
                <c:pt idx="15">
                  <c:v>72</c:v>
                </c:pt>
                <c:pt idx="16">
                  <c:v>70</c:v>
                </c:pt>
                <c:pt idx="17">
                  <c:v>72</c:v>
                </c:pt>
                <c:pt idx="18">
                  <c:v>#N/A</c:v>
                </c:pt>
                <c:pt idx="19">
                  <c:v>#N/A</c:v>
                </c:pt>
                <c:pt idx="20">
                  <c:v>75</c:v>
                </c:pt>
                <c:pt idx="21">
                  <c:v>65</c:v>
                </c:pt>
                <c:pt idx="22">
                  <c:v>#N/A</c:v>
                </c:pt>
                <c:pt idx="23">
                  <c:v>72</c:v>
                </c:pt>
                <c:pt idx="24">
                  <c:v>67</c:v>
                </c:pt>
                <c:pt idx="25">
                  <c:v>67</c:v>
                </c:pt>
                <c:pt idx="26">
                  <c:v>#N/A</c:v>
                </c:pt>
                <c:pt idx="27">
                  <c:v>72</c:v>
                </c:pt>
                <c:pt idx="28">
                  <c:v>#N/A</c:v>
                </c:pt>
                <c:pt idx="29">
                  <c:v>72</c:v>
                </c:pt>
                <c:pt idx="30">
                  <c:v>67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65</c:v>
                </c:pt>
                <c:pt idx="35">
                  <c:v>67</c:v>
                </c:pt>
                <c:pt idx="36">
                  <c:v>#N/A</c:v>
                </c:pt>
                <c:pt idx="37">
                  <c:v>#N/A</c:v>
                </c:pt>
                <c:pt idx="38">
                  <c:v>90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75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67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35-4484-86EE-BB79A7774E3A}"/>
            </c:ext>
          </c:extLst>
        </c:ser>
        <c:ser>
          <c:idx val="2"/>
          <c:order val="2"/>
          <c:tx>
            <c:v>Non-Hero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9E9D98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'Hero Segmentation'!$Z$5:$Z$71</c:f>
              <c:numCache>
                <c:formatCode>0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50</c:v>
                </c:pt>
                <c:pt idx="20">
                  <c:v>#N/A</c:v>
                </c:pt>
                <c:pt idx="21">
                  <c:v>#N/A</c:v>
                </c:pt>
                <c:pt idx="22">
                  <c:v>55.000000000000007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60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60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43</c:v>
                </c:pt>
                <c:pt idx="45">
                  <c:v>32</c:v>
                </c:pt>
                <c:pt idx="46">
                  <c:v>#N/A</c:v>
                </c:pt>
                <c:pt idx="47">
                  <c:v>#N/A</c:v>
                </c:pt>
                <c:pt idx="48">
                  <c:v>44</c:v>
                </c:pt>
                <c:pt idx="49">
                  <c:v>23</c:v>
                </c:pt>
                <c:pt idx="50">
                  <c:v>38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49</c:v>
                </c:pt>
                <c:pt idx="55">
                  <c:v>49</c:v>
                </c:pt>
                <c:pt idx="56">
                  <c:v>55.000000000000007</c:v>
                </c:pt>
                <c:pt idx="57">
                  <c:v>49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xVal>
          <c:yVal>
            <c:numRef>
              <c:f>'Hero Segmentation'!$AA$5:$AA$71</c:f>
              <c:numCache>
                <c:formatCode>0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60</c:v>
                </c:pt>
                <c:pt idx="20">
                  <c:v>#N/A</c:v>
                </c:pt>
                <c:pt idx="21">
                  <c:v>#N/A</c:v>
                </c:pt>
                <c:pt idx="22">
                  <c:v>62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55.000000000000007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60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62</c:v>
                </c:pt>
                <c:pt idx="45">
                  <c:v>62</c:v>
                </c:pt>
                <c:pt idx="46">
                  <c:v>#N/A</c:v>
                </c:pt>
                <c:pt idx="47">
                  <c:v>#N/A</c:v>
                </c:pt>
                <c:pt idx="48">
                  <c:v>60</c:v>
                </c:pt>
                <c:pt idx="49">
                  <c:v>50</c:v>
                </c:pt>
                <c:pt idx="50">
                  <c:v>50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51</c:v>
                </c:pt>
                <c:pt idx="55">
                  <c:v>62</c:v>
                </c:pt>
                <c:pt idx="56">
                  <c:v>28.000000000000004</c:v>
                </c:pt>
                <c:pt idx="57">
                  <c:v>62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35-4484-86EE-BB79A7774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Staples Strength Index (SSI)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40"/>
        </c:scaling>
        <c:delete val="0"/>
        <c:axPos val="l"/>
        <c:majorGridlines>
          <c:spPr>
            <a:ln>
              <a:solidFill>
                <a:srgbClr val="E5E4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Market Attractiveness Index (MAI)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</xdr:row>
      <xdr:rowOff>0</xdr:rowOff>
    </xdr:from>
    <xdr:ext cx="11144250" cy="7715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52"/>
  <sheetViews>
    <sheetView showGridLines="0" tabSelected="1" workbookViewId="0"/>
  </sheetViews>
  <sheetFormatPr defaultRowHeight="14.4" x14ac:dyDescent="0.3"/>
  <cols>
    <col min="1" max="1" width="5" customWidth="1"/>
    <col min="2" max="2" width="56" customWidth="1"/>
    <col min="3" max="3" width="8" customWidth="1"/>
    <col min="4" max="4" width="7" customWidth="1"/>
    <col min="5" max="5" width="22" customWidth="1"/>
    <col min="6" max="7" width="18" customWidth="1"/>
    <col min="8" max="8" width="42" customWidth="1"/>
    <col min="9" max="9" width="28" customWidth="1"/>
    <col min="10" max="10" width="9" customWidth="1"/>
  </cols>
  <sheetData>
    <row r="1" spans="1:10" ht="21" x14ac:dyDescent="0.4">
      <c r="A1" s="1" t="s">
        <v>0</v>
      </c>
    </row>
    <row r="2" spans="1:10" x14ac:dyDescent="0.3">
      <c r="A2" s="2" t="s">
        <v>1</v>
      </c>
    </row>
    <row r="4" spans="1:10" ht="34.049999999999997" customHeight="1" x14ac:dyDescent="0.3">
      <c r="A4" s="3" t="s">
        <v>2</v>
      </c>
      <c r="B4" s="28" t="s">
        <v>3</v>
      </c>
      <c r="C4" s="26"/>
      <c r="D4" s="26"/>
      <c r="E4" s="26"/>
      <c r="F4" s="26"/>
      <c r="G4" s="26"/>
      <c r="H4" s="26"/>
      <c r="I4" s="26"/>
    </row>
    <row r="5" spans="1:10" ht="34.049999999999997" customHeight="1" x14ac:dyDescent="0.3">
      <c r="A5" s="3" t="s">
        <v>2</v>
      </c>
      <c r="B5" s="28" t="s">
        <v>4</v>
      </c>
      <c r="C5" s="26"/>
      <c r="D5" s="26"/>
      <c r="E5" s="26"/>
      <c r="F5" s="26"/>
      <c r="G5" s="26"/>
      <c r="H5" s="26"/>
      <c r="I5" s="26"/>
    </row>
    <row r="6" spans="1:10" ht="34.049999999999997" customHeight="1" x14ac:dyDescent="0.3">
      <c r="A6" s="3" t="s">
        <v>2</v>
      </c>
      <c r="B6" s="28" t="s">
        <v>5</v>
      </c>
      <c r="C6" s="26"/>
      <c r="D6" s="26"/>
      <c r="E6" s="26"/>
      <c r="F6" s="26"/>
      <c r="G6" s="26"/>
      <c r="H6" s="26"/>
      <c r="I6" s="26"/>
    </row>
    <row r="7" spans="1:10" ht="34.049999999999997" customHeight="1" x14ac:dyDescent="0.3">
      <c r="A7" s="3" t="s">
        <v>2</v>
      </c>
      <c r="B7" s="28" t="s">
        <v>6</v>
      </c>
      <c r="C7" s="26"/>
      <c r="D7" s="26"/>
      <c r="E7" s="26"/>
      <c r="F7" s="26"/>
      <c r="G7" s="26"/>
      <c r="H7" s="26"/>
      <c r="I7" s="26"/>
    </row>
    <row r="8" spans="1:10" ht="34.049999999999997" customHeight="1" x14ac:dyDescent="0.3">
      <c r="A8" s="3" t="s">
        <v>2</v>
      </c>
      <c r="B8" s="28" t="s">
        <v>7</v>
      </c>
      <c r="C8" s="26"/>
      <c r="D8" s="26"/>
      <c r="E8" s="26"/>
      <c r="F8" s="26"/>
      <c r="G8" s="26"/>
      <c r="H8" s="26"/>
      <c r="I8" s="26"/>
    </row>
    <row r="9" spans="1:10" ht="34.049999999999997" customHeight="1" x14ac:dyDescent="0.3">
      <c r="A9" s="3" t="s">
        <v>2</v>
      </c>
      <c r="B9" s="28" t="s">
        <v>8</v>
      </c>
      <c r="C9" s="26"/>
      <c r="D9" s="26"/>
      <c r="E9" s="26"/>
      <c r="F9" s="26"/>
      <c r="G9" s="26"/>
      <c r="H9" s="26"/>
      <c r="I9" s="26"/>
    </row>
    <row r="11" spans="1:10" ht="15.6" x14ac:dyDescent="0.3">
      <c r="A11" s="4" t="s">
        <v>9</v>
      </c>
    </row>
    <row r="12" spans="1:10" ht="26.4" x14ac:dyDescent="0.3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  <c r="J12" s="5" t="s">
        <v>19</v>
      </c>
    </row>
    <row r="13" spans="1:10" ht="43.95" customHeight="1" x14ac:dyDescent="0.3">
      <c r="A13" s="6">
        <v>1</v>
      </c>
      <c r="B13" s="7" t="s">
        <v>20</v>
      </c>
      <c r="C13" s="8">
        <f>INDEX('Path Scorecard'!$Z$5:$Z$71,MATCH("CL166388",'Path Scorecard'!$H$5:$H$71,0))</f>
        <v>95</v>
      </c>
      <c r="D13" s="6" t="s">
        <v>21</v>
      </c>
      <c r="E13" s="9" t="str">
        <f>INDEX('Path Scorecard'!$Q$5:$Q$71,MATCH("CL166388",'Path Scorecard'!$H$5:$H$71,0))&amp;" · "&amp;INDEX('Path Scorecard'!$AC$5:$AC$71,MATCH("CL166388",'Path Scorecard'!$H$5:$H$71,0))</f>
        <v>Hero · EXTEND</v>
      </c>
      <c r="F13" s="7" t="str">
        <f>INDEX('Path Scorecard'!$AE$5:$AE$71,MATCH("CL166388",'Path Scorecard'!$H$5:$H$71,0))</f>
        <v>Amazon</v>
      </c>
      <c r="G13" s="10" t="str">
        <f>INDEX('Path Scorecard'!$AF$5:$AF$71,MATCH("CL166388",'Path Scorecard'!$H$5:$H$71,0))</f>
        <v>Michaels</v>
      </c>
      <c r="H13" s="10" t="s">
        <v>22</v>
      </c>
      <c r="I13" s="10" t="s">
        <v>23</v>
      </c>
      <c r="J13" s="6" t="str">
        <f>INDEX('Path Scorecard'!$AD$5:$AD$71,MATCH("CL166388",'Path Scorecard'!$H$5:$H$71,0))</f>
        <v>Yes</v>
      </c>
    </row>
    <row r="14" spans="1:10" ht="43.95" customHeight="1" x14ac:dyDescent="0.3">
      <c r="A14" s="6">
        <v>2</v>
      </c>
      <c r="B14" s="7" t="s">
        <v>24</v>
      </c>
      <c r="C14" s="8">
        <f>INDEX('Path Scorecard'!$Z$5:$Z$71,MATCH("CL140991",'Path Scorecard'!$H$5:$H$71,0))</f>
        <v>91</v>
      </c>
      <c r="D14" s="6" t="s">
        <v>21</v>
      </c>
      <c r="E14" s="9" t="str">
        <f>INDEX('Path Scorecard'!$Q$5:$Q$71,MATCH("CL140991",'Path Scorecard'!$H$5:$H$71,0))&amp;" · "&amp;INDEX('Path Scorecard'!$AC$5:$AC$71,MATCH("CL140991",'Path Scorecard'!$H$5:$H$71,0))</f>
        <v>Hero · EXTEND</v>
      </c>
      <c r="F14" s="7" t="str">
        <f>INDEX('Path Scorecard'!$AE$5:$AE$71,MATCH("CL140991",'Path Scorecard'!$H$5:$H$71,0))</f>
        <v>Target</v>
      </c>
      <c r="G14" s="10" t="str">
        <f>INDEX('Path Scorecard'!$AF$5:$AF$71,MATCH("CL140991",'Path Scorecard'!$H$5:$H$71,0))</f>
        <v>Amazon</v>
      </c>
      <c r="H14" s="10" t="s">
        <v>25</v>
      </c>
      <c r="I14" s="10" t="s">
        <v>26</v>
      </c>
      <c r="J14" s="6" t="str">
        <f>INDEX('Path Scorecard'!$AD$5:$AD$71,MATCH("CL140991",'Path Scorecard'!$H$5:$H$71,0))</f>
        <v/>
      </c>
    </row>
    <row r="15" spans="1:10" ht="43.95" customHeight="1" x14ac:dyDescent="0.3">
      <c r="A15" s="6">
        <v>3</v>
      </c>
      <c r="B15" s="7" t="s">
        <v>27</v>
      </c>
      <c r="C15" s="8">
        <f>INDEX('Path Scorecard'!$Z$5:$Z$71,MATCH("CL354650",'Path Scorecard'!$H$5:$H$71,0))</f>
        <v>91</v>
      </c>
      <c r="D15" s="6" t="s">
        <v>21</v>
      </c>
      <c r="E15" s="11" t="str">
        <f>INDEX('Path Scorecard'!$Q$5:$Q$71,MATCH("CL354650",'Path Scorecard'!$H$5:$H$71,0))&amp;" · "&amp;INDEX('Path Scorecard'!$AC$5:$AC$71,MATCH("CL354650",'Path Scorecard'!$H$5:$H$71,0))</f>
        <v>Probable Hero · BUILD</v>
      </c>
      <c r="F15" s="7" t="str">
        <f>INDEX('Path Scorecard'!$AE$5:$AE$71,MATCH("CL354650",'Path Scorecard'!$H$5:$H$71,0))</f>
        <v>Dick's Sporting Goods</v>
      </c>
      <c r="G15" s="10" t="str">
        <f>INDEX('Path Scorecard'!$AF$5:$AF$71,MATCH("CL354650",'Path Scorecard'!$H$5:$H$71,0))</f>
        <v>Target</v>
      </c>
      <c r="H15" s="10" t="s">
        <v>28</v>
      </c>
      <c r="I15" s="10" t="s">
        <v>29</v>
      </c>
      <c r="J15" s="6" t="str">
        <f>INDEX('Path Scorecard'!$AD$5:$AD$71,MATCH("CL354650",'Path Scorecard'!$H$5:$H$71,0))</f>
        <v>Yes</v>
      </c>
    </row>
    <row r="16" spans="1:10" ht="43.95" customHeight="1" x14ac:dyDescent="0.3">
      <c r="A16" s="6">
        <v>4</v>
      </c>
      <c r="B16" s="7" t="s">
        <v>30</v>
      </c>
      <c r="C16" s="8">
        <f>INDEX('Path Scorecard'!$Z$5:$Z$71,MATCH("CL70203",'Path Scorecard'!$H$5:$H$71,0))</f>
        <v>89</v>
      </c>
      <c r="D16" s="6" t="s">
        <v>21</v>
      </c>
      <c r="E16" s="11" t="str">
        <f>INDEX('Path Scorecard'!$Q$5:$Q$71,MATCH("CL70203",'Path Scorecard'!$H$5:$H$71,0))&amp;" · "&amp;INDEX('Path Scorecard'!$AC$5:$AC$71,MATCH("CL70203",'Path Scorecard'!$H$5:$H$71,0))</f>
        <v>Probable Hero · BUILD</v>
      </c>
      <c r="F16" s="7" t="str">
        <f>INDEX('Path Scorecard'!$AE$5:$AE$71,MATCH("CL70203",'Path Scorecard'!$H$5:$H$71,0))</f>
        <v>Wayfair</v>
      </c>
      <c r="G16" s="10" t="str">
        <f>INDEX('Path Scorecard'!$AF$5:$AF$71,MATCH("CL70203",'Path Scorecard'!$H$5:$H$71,0))</f>
        <v>Amazon</v>
      </c>
      <c r="H16" s="10" t="s">
        <v>31</v>
      </c>
      <c r="I16" s="10" t="s">
        <v>32</v>
      </c>
      <c r="J16" s="6" t="str">
        <f>INDEX('Path Scorecard'!$AD$5:$AD$71,MATCH("CL70203",'Path Scorecard'!$H$5:$H$71,0))</f>
        <v>Yes</v>
      </c>
    </row>
    <row r="17" spans="1:10" ht="43.95" customHeight="1" x14ac:dyDescent="0.3">
      <c r="A17" s="6">
        <v>5</v>
      </c>
      <c r="B17" s="7" t="s">
        <v>33</v>
      </c>
      <c r="C17" s="8">
        <f>INDEX('Path Scorecard'!$Z$5:$Z$71,MATCH("CL167867",'Path Scorecard'!$H$5:$H$71,0))</f>
        <v>86</v>
      </c>
      <c r="D17" s="6" t="s">
        <v>21</v>
      </c>
      <c r="E17" s="11" t="str">
        <f>INDEX('Path Scorecard'!$Q$5:$Q$71,MATCH("CL167867",'Path Scorecard'!$H$5:$H$71,0))&amp;" · "&amp;INDEX('Path Scorecard'!$AC$5:$AC$71,MATCH("CL167867",'Path Scorecard'!$H$5:$H$71,0))</f>
        <v>Probable Hero · BUILD</v>
      </c>
      <c r="F17" s="7" t="str">
        <f>INDEX('Path Scorecard'!$AE$5:$AE$71,MATCH("CL167867",'Path Scorecard'!$H$5:$H$71,0))</f>
        <v>Wayfair</v>
      </c>
      <c r="G17" s="10" t="str">
        <f>INDEX('Path Scorecard'!$AF$5:$AF$71,MATCH("CL167867",'Path Scorecard'!$H$5:$H$71,0))</f>
        <v>Amazon</v>
      </c>
      <c r="H17" s="10" t="s">
        <v>34</v>
      </c>
      <c r="I17" s="10" t="s">
        <v>35</v>
      </c>
      <c r="J17" s="6" t="str">
        <f>INDEX('Path Scorecard'!$AD$5:$AD$71,MATCH("CL167867",'Path Scorecard'!$H$5:$H$71,0))</f>
        <v>Yes</v>
      </c>
    </row>
    <row r="18" spans="1:10" ht="43.95" customHeight="1" x14ac:dyDescent="0.3">
      <c r="A18" s="6">
        <v>6</v>
      </c>
      <c r="B18" s="7" t="s">
        <v>36</v>
      </c>
      <c r="C18" s="8">
        <f>INDEX('Path Scorecard'!$Z$5:$Z$71,MATCH("CL141253",'Path Scorecard'!$H$5:$H$71,0))</f>
        <v>86</v>
      </c>
      <c r="D18" s="6" t="s">
        <v>37</v>
      </c>
      <c r="E18" s="11" t="str">
        <f>INDEX('Path Scorecard'!$Q$5:$Q$71,MATCH("CL141253",'Path Scorecard'!$H$5:$H$71,0))&amp;" · "&amp;INDEX('Path Scorecard'!$AC$5:$AC$71,MATCH("CL141253",'Path Scorecard'!$H$5:$H$71,0))</f>
        <v>Probable Hero · BUILD</v>
      </c>
      <c r="F18" s="7" t="str">
        <f>INDEX('Path Scorecard'!$AE$5:$AE$71,MATCH("CL141253",'Path Scorecard'!$H$5:$H$71,0))</f>
        <v>Amazon</v>
      </c>
      <c r="G18" s="10" t="str">
        <f>INDEX('Path Scorecard'!$AF$5:$AF$71,MATCH("CL141253",'Path Scorecard'!$H$5:$H$71,0))</f>
        <v>Target</v>
      </c>
      <c r="H18" s="10" t="s">
        <v>38</v>
      </c>
      <c r="I18" s="10" t="s">
        <v>39</v>
      </c>
      <c r="J18" s="6" t="str">
        <f>INDEX('Path Scorecard'!$AD$5:$AD$71,MATCH("CL141253",'Path Scorecard'!$H$5:$H$71,0))</f>
        <v/>
      </c>
    </row>
    <row r="19" spans="1:10" ht="43.95" customHeight="1" x14ac:dyDescent="0.3">
      <c r="A19" s="6">
        <v>7</v>
      </c>
      <c r="B19" s="7" t="s">
        <v>40</v>
      </c>
      <c r="C19" s="8">
        <f>INDEX('Path Scorecard'!$Z$5:$Z$71,MATCH("CL142745",'Path Scorecard'!$H$5:$H$71,0))</f>
        <v>86</v>
      </c>
      <c r="D19" s="6" t="s">
        <v>21</v>
      </c>
      <c r="E19" s="9" t="str">
        <f>INDEX('Path Scorecard'!$Q$5:$Q$71,MATCH("CL142745",'Path Scorecard'!$H$5:$H$71,0))&amp;" · "&amp;INDEX('Path Scorecard'!$AC$5:$AC$71,MATCH("CL142745",'Path Scorecard'!$H$5:$H$71,0))</f>
        <v>Hero · EXTEND</v>
      </c>
      <c r="F19" s="7" t="str">
        <f>INDEX('Path Scorecard'!$AE$5:$AE$71,MATCH("CL142745",'Path Scorecard'!$H$5:$H$71,0))</f>
        <v>Amazon</v>
      </c>
      <c r="G19" s="10" t="str">
        <f>INDEX('Path Scorecard'!$AF$5:$AF$71,MATCH("CL142745",'Path Scorecard'!$H$5:$H$71,0))</f>
        <v>Target</v>
      </c>
      <c r="H19" s="10" t="s">
        <v>41</v>
      </c>
      <c r="I19" s="10" t="s">
        <v>42</v>
      </c>
      <c r="J19" s="6" t="str">
        <f>INDEX('Path Scorecard'!$AD$5:$AD$71,MATCH("CL142745",'Path Scorecard'!$H$5:$H$71,0))</f>
        <v>Yes</v>
      </c>
    </row>
    <row r="20" spans="1:10" ht="43.95" customHeight="1" x14ac:dyDescent="0.3">
      <c r="A20" s="6">
        <v>8</v>
      </c>
      <c r="B20" s="7" t="s">
        <v>43</v>
      </c>
      <c r="C20" s="8">
        <f>INDEX('Path Scorecard'!$Z$5:$Z$71,MATCH("CL165124",'Path Scorecard'!$H$5:$H$71,0))</f>
        <v>86</v>
      </c>
      <c r="D20" s="6" t="s">
        <v>21</v>
      </c>
      <c r="E20" s="11" t="str">
        <f>INDEX('Path Scorecard'!$Q$5:$Q$71,MATCH("CL165124",'Path Scorecard'!$H$5:$H$71,0))&amp;" · "&amp;INDEX('Path Scorecard'!$AC$5:$AC$71,MATCH("CL165124",'Path Scorecard'!$H$5:$H$71,0))</f>
        <v>Probable Hero · BUILD</v>
      </c>
      <c r="F20" s="7" t="str">
        <f>INDEX('Path Scorecard'!$AE$5:$AE$71,MATCH("CL165124",'Path Scorecard'!$H$5:$H$71,0))</f>
        <v>Amazon</v>
      </c>
      <c r="G20" s="10" t="str">
        <f>INDEX('Path Scorecard'!$AF$5:$AF$71,MATCH("CL165124",'Path Scorecard'!$H$5:$H$71,0))</f>
        <v>Target</v>
      </c>
      <c r="H20" s="10" t="s">
        <v>44</v>
      </c>
      <c r="I20" s="10" t="s">
        <v>45</v>
      </c>
      <c r="J20" s="6" t="str">
        <f>INDEX('Path Scorecard'!$AD$5:$AD$71,MATCH("CL165124",'Path Scorecard'!$H$5:$H$71,0))</f>
        <v>Yes</v>
      </c>
    </row>
    <row r="21" spans="1:10" ht="43.95" customHeight="1" x14ac:dyDescent="0.3">
      <c r="A21" s="6">
        <v>9</v>
      </c>
      <c r="B21" s="7" t="s">
        <v>46</v>
      </c>
      <c r="C21" s="8">
        <f>INDEX('Path Scorecard'!$Z$5:$Z$71,MATCH("CL219245",'Path Scorecard'!$H$5:$H$71,0))</f>
        <v>86</v>
      </c>
      <c r="D21" s="6" t="s">
        <v>37</v>
      </c>
      <c r="E21" s="9" t="str">
        <f>INDEX('Path Scorecard'!$Q$5:$Q$71,MATCH("CL219245",'Path Scorecard'!$H$5:$H$71,0))&amp;" · "&amp;INDEX('Path Scorecard'!$AC$5:$AC$71,MATCH("CL219245",'Path Scorecard'!$H$5:$H$71,0))</f>
        <v>Hero · EXTEND</v>
      </c>
      <c r="F21" s="7" t="str">
        <f>INDEX('Path Scorecard'!$AE$5:$AE$71,MATCH("CL219245",'Path Scorecard'!$H$5:$H$71,0))</f>
        <v>Amazon</v>
      </c>
      <c r="G21" s="10" t="str">
        <f>INDEX('Path Scorecard'!$AF$5:$AF$71,MATCH("CL219245",'Path Scorecard'!$H$5:$H$71,0))</f>
        <v>Oriental Trading</v>
      </c>
      <c r="H21" s="10" t="s">
        <v>47</v>
      </c>
      <c r="I21" s="10" t="s">
        <v>48</v>
      </c>
      <c r="J21" s="6" t="str">
        <f>INDEX('Path Scorecard'!$AD$5:$AD$71,MATCH("CL219245",'Path Scorecard'!$H$5:$H$71,0))</f>
        <v/>
      </c>
    </row>
    <row r="22" spans="1:10" ht="43.95" customHeight="1" x14ac:dyDescent="0.3">
      <c r="A22" s="6">
        <v>10</v>
      </c>
      <c r="B22" s="7" t="s">
        <v>49</v>
      </c>
      <c r="C22" s="8">
        <f>INDEX('Path Scorecard'!$Z$5:$Z$71,MATCH("CL354705",'Path Scorecard'!$H$5:$H$71,0))</f>
        <v>85</v>
      </c>
      <c r="D22" s="6" t="s">
        <v>21</v>
      </c>
      <c r="E22" s="11" t="str">
        <f>INDEX('Path Scorecard'!$Q$5:$Q$71,MATCH("CL354705",'Path Scorecard'!$H$5:$H$71,0))&amp;" · "&amp;INDEX('Path Scorecard'!$AC$5:$AC$71,MATCH("CL354705",'Path Scorecard'!$H$5:$H$71,0))</f>
        <v>Probable Hero · BUILD</v>
      </c>
      <c r="F22" s="7" t="str">
        <f>INDEX('Path Scorecard'!$AE$5:$AE$71,MATCH("CL354705",'Path Scorecard'!$H$5:$H$71,0))</f>
        <v>Wayfair</v>
      </c>
      <c r="G22" s="10" t="str">
        <f>INDEX('Path Scorecard'!$AF$5:$AF$71,MATCH("CL354705",'Path Scorecard'!$H$5:$H$71,0))</f>
        <v>Target</v>
      </c>
      <c r="H22" s="10" t="s">
        <v>50</v>
      </c>
      <c r="I22" s="10" t="s">
        <v>51</v>
      </c>
      <c r="J22" s="6" t="str">
        <f>INDEX('Path Scorecard'!$AD$5:$AD$71,MATCH("CL354705",'Path Scorecard'!$H$5:$H$71,0))</f>
        <v/>
      </c>
    </row>
    <row r="23" spans="1:10" x14ac:dyDescent="0.3">
      <c r="B23" s="7" t="s">
        <v>52</v>
      </c>
      <c r="C23" s="25" t="str">
        <f>COUNTIFS('Path Scorecard'!$AB$5:$AB$71,"Tier 1",'Path Scorecard'!$Q$5:$Q$71,"Hero")&amp;" Hero  ·  "&amp;COUNTIFS('Path Scorecard'!$AB$5:$AB$71,"Tier 1",'Path Scorecard'!$Q$5:$Q$71,"Probable Hero")&amp;" Probable Hero  ·  "&amp;COUNTIFS('Path Scorecard'!$AB$5:$AB$71,"Tier 1",'Path Scorecard'!$Q$5:$Q$71,"Non-Hero")&amp;" Non-Hero"</f>
        <v>4 Hero  ·  6 Probable Hero  ·  0 Non-Hero</v>
      </c>
      <c r="D23" s="26"/>
      <c r="E23" s="26"/>
      <c r="F23" s="26"/>
      <c r="G23" s="26"/>
      <c r="H23" s="26"/>
      <c r="I23" s="26"/>
    </row>
    <row r="25" spans="1:10" ht="15.6" x14ac:dyDescent="0.3">
      <c r="A25" s="4" t="s">
        <v>53</v>
      </c>
    </row>
    <row r="26" spans="1:10" ht="34.049999999999997" customHeight="1" x14ac:dyDescent="0.3">
      <c r="A26" s="3" t="s">
        <v>2</v>
      </c>
      <c r="B26" s="28" t="s">
        <v>54</v>
      </c>
      <c r="C26" s="26"/>
      <c r="D26" s="26"/>
      <c r="E26" s="26"/>
      <c r="F26" s="26"/>
      <c r="G26" s="26"/>
      <c r="H26" s="26"/>
      <c r="I26" s="26"/>
    </row>
    <row r="27" spans="1:10" ht="34.049999999999997" customHeight="1" x14ac:dyDescent="0.3">
      <c r="A27" s="3" t="s">
        <v>2</v>
      </c>
      <c r="B27" s="28" t="s">
        <v>55</v>
      </c>
      <c r="C27" s="26"/>
      <c r="D27" s="26"/>
      <c r="E27" s="26"/>
      <c r="F27" s="26"/>
      <c r="G27" s="26"/>
      <c r="H27" s="26"/>
      <c r="I27" s="26"/>
    </row>
    <row r="28" spans="1:10" ht="34.049999999999997" customHeight="1" x14ac:dyDescent="0.3">
      <c r="A28" s="3" t="s">
        <v>2</v>
      </c>
      <c r="B28" s="28" t="s">
        <v>56</v>
      </c>
      <c r="C28" s="26"/>
      <c r="D28" s="26"/>
      <c r="E28" s="26"/>
      <c r="F28" s="26"/>
      <c r="G28" s="26"/>
      <c r="H28" s="26"/>
      <c r="I28" s="26"/>
    </row>
    <row r="29" spans="1:10" ht="34.049999999999997" customHeight="1" x14ac:dyDescent="0.3">
      <c r="A29" s="3" t="s">
        <v>2</v>
      </c>
      <c r="B29" s="28" t="s">
        <v>57</v>
      </c>
      <c r="C29" s="26"/>
      <c r="D29" s="26"/>
      <c r="E29" s="26"/>
      <c r="F29" s="26"/>
      <c r="G29" s="26"/>
      <c r="H29" s="26"/>
      <c r="I29" s="26"/>
    </row>
    <row r="30" spans="1:10" ht="34.049999999999997" customHeight="1" x14ac:dyDescent="0.3">
      <c r="A30" s="3" t="s">
        <v>2</v>
      </c>
      <c r="B30" s="28" t="s">
        <v>58</v>
      </c>
      <c r="C30" s="26"/>
      <c r="D30" s="26"/>
      <c r="E30" s="26"/>
      <c r="F30" s="26"/>
      <c r="G30" s="26"/>
      <c r="H30" s="26"/>
      <c r="I30" s="26"/>
    </row>
    <row r="31" spans="1:10" ht="34.049999999999997" customHeight="1" x14ac:dyDescent="0.3">
      <c r="A31" s="3" t="s">
        <v>2</v>
      </c>
      <c r="B31" s="28" t="s">
        <v>59</v>
      </c>
      <c r="C31" s="26"/>
      <c r="D31" s="26"/>
      <c r="E31" s="26"/>
      <c r="F31" s="26"/>
      <c r="G31" s="26"/>
      <c r="H31" s="26"/>
      <c r="I31" s="26"/>
    </row>
    <row r="32" spans="1:10" ht="34.049999999999997" customHeight="1" x14ac:dyDescent="0.3">
      <c r="A32" s="3" t="s">
        <v>2</v>
      </c>
      <c r="B32" s="28" t="s">
        <v>60</v>
      </c>
      <c r="C32" s="26"/>
      <c r="D32" s="26"/>
      <c r="E32" s="26"/>
      <c r="F32" s="26"/>
      <c r="G32" s="26"/>
      <c r="H32" s="26"/>
      <c r="I32" s="26"/>
    </row>
    <row r="34" spans="1:9" ht="15.6" x14ac:dyDescent="0.3">
      <c r="A34" s="4" t="s">
        <v>61</v>
      </c>
    </row>
    <row r="35" spans="1:9" ht="30" customHeight="1" x14ac:dyDescent="0.3">
      <c r="A35" s="3" t="s">
        <v>62</v>
      </c>
      <c r="B35" s="28" t="s">
        <v>63</v>
      </c>
      <c r="C35" s="26"/>
      <c r="D35" s="26"/>
      <c r="E35" s="26"/>
      <c r="F35" s="26"/>
      <c r="G35" s="26"/>
      <c r="H35" s="26"/>
      <c r="I35" s="26"/>
    </row>
    <row r="36" spans="1:9" ht="30" customHeight="1" x14ac:dyDescent="0.3">
      <c r="A36" s="3" t="s">
        <v>64</v>
      </c>
      <c r="B36" s="28" t="s">
        <v>65</v>
      </c>
      <c r="C36" s="26"/>
      <c r="D36" s="26"/>
      <c r="E36" s="26"/>
      <c r="F36" s="26"/>
      <c r="G36" s="26"/>
      <c r="H36" s="26"/>
      <c r="I36" s="26"/>
    </row>
    <row r="37" spans="1:9" ht="30" customHeight="1" x14ac:dyDescent="0.3">
      <c r="A37" s="3" t="s">
        <v>66</v>
      </c>
      <c r="B37" s="28" t="s">
        <v>67</v>
      </c>
      <c r="C37" s="26"/>
      <c r="D37" s="26"/>
      <c r="E37" s="26"/>
      <c r="F37" s="26"/>
      <c r="G37" s="26"/>
      <c r="H37" s="26"/>
      <c r="I37" s="26"/>
    </row>
    <row r="38" spans="1:9" ht="30" customHeight="1" x14ac:dyDescent="0.3">
      <c r="A38" s="3" t="s">
        <v>68</v>
      </c>
      <c r="B38" s="28" t="s">
        <v>69</v>
      </c>
      <c r="C38" s="26"/>
      <c r="D38" s="26"/>
      <c r="E38" s="26"/>
      <c r="F38" s="26"/>
      <c r="G38" s="26"/>
      <c r="H38" s="26"/>
      <c r="I38" s="26"/>
    </row>
    <row r="40" spans="1:9" ht="15.6" x14ac:dyDescent="0.3">
      <c r="A40" s="4" t="s">
        <v>70</v>
      </c>
    </row>
    <row r="41" spans="1:9" x14ac:dyDescent="0.3">
      <c r="B41" s="7" t="s">
        <v>71</v>
      </c>
      <c r="C41" s="27" t="s">
        <v>72</v>
      </c>
      <c r="D41" s="26"/>
      <c r="E41" s="26"/>
      <c r="F41" s="26"/>
      <c r="G41" s="26"/>
      <c r="H41" s="26"/>
      <c r="I41" s="26"/>
    </row>
    <row r="42" spans="1:9" x14ac:dyDescent="0.3">
      <c r="B42" s="7" t="s">
        <v>73</v>
      </c>
      <c r="C42" s="27" t="s">
        <v>74</v>
      </c>
      <c r="D42" s="26"/>
      <c r="E42" s="26"/>
      <c r="F42" s="26"/>
      <c r="G42" s="26"/>
      <c r="H42" s="26"/>
      <c r="I42" s="26"/>
    </row>
    <row r="43" spans="1:9" x14ac:dyDescent="0.3">
      <c r="B43" s="7" t="s">
        <v>75</v>
      </c>
      <c r="C43" s="27" t="s">
        <v>76</v>
      </c>
      <c r="D43" s="26"/>
      <c r="E43" s="26"/>
      <c r="F43" s="26"/>
      <c r="G43" s="26"/>
      <c r="H43" s="26"/>
      <c r="I43" s="26"/>
    </row>
    <row r="44" spans="1:9" x14ac:dyDescent="0.3">
      <c r="B44" s="7" t="s">
        <v>77</v>
      </c>
      <c r="C44" s="27" t="s">
        <v>78</v>
      </c>
      <c r="D44" s="26"/>
      <c r="E44" s="26"/>
      <c r="F44" s="26"/>
      <c r="G44" s="26"/>
      <c r="H44" s="26"/>
      <c r="I44" s="26"/>
    </row>
    <row r="45" spans="1:9" x14ac:dyDescent="0.3">
      <c r="B45" s="7" t="s">
        <v>79</v>
      </c>
      <c r="C45" s="27" t="s">
        <v>80</v>
      </c>
      <c r="D45" s="26"/>
      <c r="E45" s="26"/>
      <c r="F45" s="26"/>
      <c r="G45" s="26"/>
      <c r="H45" s="26"/>
      <c r="I45" s="26"/>
    </row>
    <row r="46" spans="1:9" x14ac:dyDescent="0.3">
      <c r="B46" s="7" t="s">
        <v>81</v>
      </c>
      <c r="C46" s="27" t="s">
        <v>82</v>
      </c>
      <c r="D46" s="26"/>
      <c r="E46" s="26"/>
      <c r="F46" s="26"/>
      <c r="G46" s="26"/>
      <c r="H46" s="26"/>
      <c r="I46" s="26"/>
    </row>
    <row r="47" spans="1:9" x14ac:dyDescent="0.3">
      <c r="B47" s="7" t="s">
        <v>83</v>
      </c>
      <c r="C47" s="27" t="s">
        <v>84</v>
      </c>
      <c r="D47" s="26"/>
      <c r="E47" s="26"/>
      <c r="F47" s="26"/>
      <c r="G47" s="26"/>
      <c r="H47" s="26"/>
      <c r="I47" s="26"/>
    </row>
    <row r="48" spans="1:9" x14ac:dyDescent="0.3">
      <c r="B48" s="7" t="s">
        <v>85</v>
      </c>
      <c r="C48" s="27" t="s">
        <v>86</v>
      </c>
      <c r="D48" s="26"/>
      <c r="E48" s="26"/>
      <c r="F48" s="26"/>
      <c r="G48" s="26"/>
      <c r="H48" s="26"/>
      <c r="I48" s="26"/>
    </row>
    <row r="49" spans="2:9" x14ac:dyDescent="0.3">
      <c r="B49" s="7" t="s">
        <v>87</v>
      </c>
      <c r="C49" s="27" t="s">
        <v>88</v>
      </c>
      <c r="D49" s="26"/>
      <c r="E49" s="26"/>
      <c r="F49" s="26"/>
      <c r="G49" s="26"/>
      <c r="H49" s="26"/>
      <c r="I49" s="26"/>
    </row>
    <row r="50" spans="2:9" x14ac:dyDescent="0.3">
      <c r="B50" s="7" t="s">
        <v>89</v>
      </c>
      <c r="C50" s="27" t="s">
        <v>90</v>
      </c>
      <c r="D50" s="26"/>
      <c r="E50" s="26"/>
      <c r="F50" s="26"/>
      <c r="G50" s="26"/>
      <c r="H50" s="26"/>
      <c r="I50" s="26"/>
    </row>
    <row r="52" spans="2:9" x14ac:dyDescent="0.3">
      <c r="B52" s="7" t="s">
        <v>91</v>
      </c>
      <c r="C52" s="27" t="s">
        <v>92</v>
      </c>
      <c r="D52" s="26"/>
      <c r="E52" s="26"/>
      <c r="F52" s="26"/>
      <c r="G52" s="26"/>
      <c r="H52" s="26"/>
      <c r="I52" s="26"/>
    </row>
  </sheetData>
  <mergeCells count="29">
    <mergeCell ref="B4:I4"/>
    <mergeCell ref="B26:I26"/>
    <mergeCell ref="B6:I6"/>
    <mergeCell ref="C43:I43"/>
    <mergeCell ref="B5:I5"/>
    <mergeCell ref="B36:I36"/>
    <mergeCell ref="C46:I46"/>
    <mergeCell ref="B35:I35"/>
    <mergeCell ref="C41:I41"/>
    <mergeCell ref="B9:I9"/>
    <mergeCell ref="C50:I50"/>
    <mergeCell ref="C44:I44"/>
    <mergeCell ref="B30:I30"/>
    <mergeCell ref="C23:I23"/>
    <mergeCell ref="C52:I52"/>
    <mergeCell ref="B7:I7"/>
    <mergeCell ref="C48:I48"/>
    <mergeCell ref="B31:I31"/>
    <mergeCell ref="B27:I27"/>
    <mergeCell ref="C49:I49"/>
    <mergeCell ref="C42:I42"/>
    <mergeCell ref="B32:I32"/>
    <mergeCell ref="B8:I8"/>
    <mergeCell ref="C45:I45"/>
    <mergeCell ref="B29:I29"/>
    <mergeCell ref="B38:I38"/>
    <mergeCell ref="B28:I28"/>
    <mergeCell ref="B37:I37"/>
    <mergeCell ref="C47:I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78D6"/>
  </sheetPr>
  <dimension ref="A1:P49"/>
  <sheetViews>
    <sheetView showGridLines="0" workbookViewId="0"/>
  </sheetViews>
  <sheetFormatPr defaultRowHeight="14.4" x14ac:dyDescent="0.3"/>
  <cols>
    <col min="1" max="1" width="3" customWidth="1"/>
  </cols>
  <sheetData>
    <row r="1" spans="1:1" ht="21" x14ac:dyDescent="0.4">
      <c r="A1" s="1" t="s">
        <v>93</v>
      </c>
    </row>
    <row r="2" spans="1:1" x14ac:dyDescent="0.3">
      <c r="A2" s="2" t="s">
        <v>94</v>
      </c>
    </row>
    <row r="47" spans="2:16" ht="30" customHeight="1" x14ac:dyDescent="0.3">
      <c r="B47" s="28" t="s">
        <v>95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2:16" ht="30" customHeight="1" x14ac:dyDescent="0.3">
      <c r="B48" s="28" t="s">
        <v>96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2:16" ht="30" customHeight="1" x14ac:dyDescent="0.3">
      <c r="B49" s="28" t="s">
        <v>97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</sheetData>
  <mergeCells count="3">
    <mergeCell ref="B49:P49"/>
    <mergeCell ref="B47:P47"/>
    <mergeCell ref="B48:P4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5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2" customWidth="1"/>
    <col min="3" max="3" width="13" customWidth="1"/>
    <col min="4" max="4" width="46" customWidth="1"/>
    <col min="5" max="5" width="30" customWidth="1"/>
    <col min="6" max="6" width="70" customWidth="1"/>
    <col min="7" max="7" width="56" customWidth="1"/>
    <col min="8" max="8" width="24" customWidth="1"/>
    <col min="9" max="9" width="30" customWidth="1"/>
  </cols>
  <sheetData>
    <row r="1" spans="1:12" ht="21" x14ac:dyDescent="0.4">
      <c r="A1" s="1" t="s">
        <v>98</v>
      </c>
    </row>
    <row r="2" spans="1:12" x14ac:dyDescent="0.3">
      <c r="A2" s="2" t="s">
        <v>99</v>
      </c>
    </row>
    <row r="4" spans="1:12" ht="30" customHeight="1" x14ac:dyDescent="0.3">
      <c r="A4" s="5" t="s">
        <v>10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</row>
    <row r="5" spans="1:12" ht="91.95" customHeight="1" x14ac:dyDescent="0.3">
      <c r="A5" s="6" t="s">
        <v>108</v>
      </c>
      <c r="B5" s="7" t="s">
        <v>109</v>
      </c>
      <c r="C5" s="10" t="s">
        <v>110</v>
      </c>
      <c r="D5" s="10" t="s">
        <v>111</v>
      </c>
      <c r="E5" s="13" t="s">
        <v>112</v>
      </c>
      <c r="F5" s="10" t="s">
        <v>113</v>
      </c>
      <c r="G5" s="10" t="s">
        <v>114</v>
      </c>
      <c r="H5" s="10" t="s">
        <v>115</v>
      </c>
      <c r="I5" s="10" t="str">
        <f>"Hero "&amp;COUNTIFS('Hero Segmentation'!$C$5:$C$71,"1. Chairs &amp; Seating",'Hero Segmentation'!$Q$5:$Q$71,"Hero",'Hero Segmentation'!$S$5:$S$71,"&lt;&gt;Parked (gate)")&amp;CHAR(10)&amp;"Probable Hero "&amp;COUNTIFS('Hero Segmentation'!$C$5:$C$71,"1. Chairs &amp; Seating",'Hero Segmentation'!$Q$5:$Q$71,"Probable Hero",'Hero Segmentation'!$S$5:$S$71,"&lt;&gt;Parked (gate)")&amp;CHAR(10)&amp;"Non-Hero "&amp;COUNTIFS('Hero Segmentation'!$C$5:$C$71,"1. Chairs &amp; Seating",'Hero Segmentation'!$Q$5:$Q$71,"Non-Hero",'Hero Segmentation'!$S$5:$S$71,"&lt;&gt;Parked (gate)")&amp;CHAR(10)&amp;"Parked "&amp;COUNTIFS('Hero Segmentation'!$C$5:$C$71,"1. Chairs &amp; Seating",'Hero Segmentation'!$S$5:$S$71,"Parked (gate)")</f>
        <v>Hero 1
Probable Hero 5
Non-Hero 2
Parked 0</v>
      </c>
    </row>
    <row r="6" spans="1:12" ht="91.95" customHeight="1" x14ac:dyDescent="0.3">
      <c r="A6" s="6" t="s">
        <v>116</v>
      </c>
      <c r="B6" s="7" t="s">
        <v>117</v>
      </c>
      <c r="C6" s="10" t="s">
        <v>110</v>
      </c>
      <c r="D6" s="10" t="s">
        <v>118</v>
      </c>
      <c r="E6" s="13" t="s">
        <v>119</v>
      </c>
      <c r="F6" s="10" t="s">
        <v>120</v>
      </c>
      <c r="G6" s="10" t="s">
        <v>121</v>
      </c>
      <c r="H6" s="10" t="s">
        <v>115</v>
      </c>
      <c r="I6" s="10" t="str">
        <f>"Hero "&amp;COUNTIFS('Hero Segmentation'!$C$5:$C$71,"2. Desks",'Hero Segmentation'!$Q$5:$Q$71,"Hero",'Hero Segmentation'!$S$5:$S$71,"&lt;&gt;Parked (gate)")&amp;CHAR(10)&amp;"Probable Hero "&amp;COUNTIFS('Hero Segmentation'!$C$5:$C$71,"2. Desks",'Hero Segmentation'!$Q$5:$Q$71,"Probable Hero",'Hero Segmentation'!$S$5:$S$71,"&lt;&gt;Parked (gate)")&amp;CHAR(10)&amp;"Non-Hero "&amp;COUNTIFS('Hero Segmentation'!$C$5:$C$71,"2. Desks",'Hero Segmentation'!$Q$5:$Q$71,"Non-Hero",'Hero Segmentation'!$S$5:$S$71,"&lt;&gt;Parked (gate)")&amp;CHAR(10)&amp;"Parked "&amp;COUNTIFS('Hero Segmentation'!$C$5:$C$71,"2. Desks",'Hero Segmentation'!$S$5:$S$71,"Parked (gate)")</f>
        <v>Hero 2
Probable Hero 0
Non-Hero 1
Parked 0</v>
      </c>
    </row>
    <row r="7" spans="1:12" ht="91.95" customHeight="1" x14ac:dyDescent="0.3">
      <c r="A7" s="6" t="s">
        <v>122</v>
      </c>
      <c r="B7" s="7" t="s">
        <v>123</v>
      </c>
      <c r="C7" s="10" t="s">
        <v>110</v>
      </c>
      <c r="D7" s="10" t="s">
        <v>124</v>
      </c>
      <c r="E7" s="13" t="s">
        <v>125</v>
      </c>
      <c r="F7" s="10" t="s">
        <v>126</v>
      </c>
      <c r="G7" s="10" t="s">
        <v>127</v>
      </c>
      <c r="H7" s="10" t="s">
        <v>128</v>
      </c>
      <c r="I7" s="10" t="str">
        <f>"Hero "&amp;COUNTIFS('Hero Segmentation'!$C$5:$C$71,"3. Lamps &amp; Lighting",'Hero Segmentation'!$Q$5:$Q$71,"Hero",'Hero Segmentation'!$S$5:$S$71,"&lt;&gt;Parked (gate)")&amp;CHAR(10)&amp;"Probable Hero "&amp;COUNTIFS('Hero Segmentation'!$C$5:$C$71,"3. Lamps &amp; Lighting",'Hero Segmentation'!$Q$5:$Q$71,"Probable Hero",'Hero Segmentation'!$S$5:$S$71,"&lt;&gt;Parked (gate)")&amp;CHAR(10)&amp;"Non-Hero "&amp;COUNTIFS('Hero Segmentation'!$C$5:$C$71,"3. Lamps &amp; Lighting",'Hero Segmentation'!$Q$5:$Q$71,"Non-Hero",'Hero Segmentation'!$S$5:$S$71,"&lt;&gt;Parked (gate)")&amp;CHAR(10)&amp;"Parked "&amp;COUNTIFS('Hero Segmentation'!$C$5:$C$71,"3. Lamps &amp; Lighting",'Hero Segmentation'!$S$5:$S$71,"Parked (gate)")</f>
        <v>Hero 0
Probable Hero 3
Non-Hero 0
Parked 0</v>
      </c>
    </row>
    <row r="8" spans="1:12" ht="91.95" customHeight="1" x14ac:dyDescent="0.3">
      <c r="A8" s="6" t="s">
        <v>129</v>
      </c>
      <c r="B8" s="7" t="s">
        <v>130</v>
      </c>
      <c r="C8" s="10" t="s">
        <v>110</v>
      </c>
      <c r="D8" s="10" t="s">
        <v>131</v>
      </c>
      <c r="E8" s="14" t="s">
        <v>132</v>
      </c>
      <c r="F8" s="10" t="s">
        <v>133</v>
      </c>
      <c r="G8" s="10" t="s">
        <v>134</v>
      </c>
      <c r="H8" s="10" t="s">
        <v>135</v>
      </c>
      <c r="I8" s="10" t="str">
        <f>"Hero "&amp;COUNTIFS('Hero Segmentation'!$C$5:$C$71,"4. Rugs",'Hero Segmentation'!$Q$5:$Q$71,"Hero",'Hero Segmentation'!$S$5:$S$71,"&lt;&gt;Parked (gate)")&amp;CHAR(10)&amp;"Probable Hero "&amp;COUNTIFS('Hero Segmentation'!$C$5:$C$71,"4. Rugs",'Hero Segmentation'!$Q$5:$Q$71,"Probable Hero",'Hero Segmentation'!$S$5:$S$71,"&lt;&gt;Parked (gate)")&amp;CHAR(10)&amp;"Non-Hero "&amp;COUNTIFS('Hero Segmentation'!$C$5:$C$71,"4. Rugs",'Hero Segmentation'!$Q$5:$Q$71,"Non-Hero",'Hero Segmentation'!$S$5:$S$71,"&lt;&gt;Parked (gate)")&amp;CHAR(10)&amp;"Parked "&amp;COUNTIFS('Hero Segmentation'!$C$5:$C$71,"4. Rugs",'Hero Segmentation'!$S$5:$S$71,"Parked (gate)")</f>
        <v>Hero 0
Probable Hero 0
Non-Hero 0
Parked 1</v>
      </c>
    </row>
    <row r="9" spans="1:12" ht="91.95" customHeight="1" x14ac:dyDescent="0.3">
      <c r="A9" s="6" t="s">
        <v>136</v>
      </c>
      <c r="B9" s="7" t="s">
        <v>137</v>
      </c>
      <c r="C9" s="10" t="s">
        <v>138</v>
      </c>
      <c r="D9" s="10" t="s">
        <v>139</v>
      </c>
      <c r="E9" s="15" t="s">
        <v>140</v>
      </c>
      <c r="F9" s="10" t="s">
        <v>141</v>
      </c>
      <c r="G9" s="10" t="s">
        <v>142</v>
      </c>
      <c r="H9" s="10" t="s">
        <v>143</v>
      </c>
      <c r="I9" s="10" t="str">
        <f>"Hero "&amp;COUNTIFS('Hero Segmentation'!$C$5:$C$71,"5. Fitness Equipment",'Hero Segmentation'!$Q$5:$Q$71,"Hero",'Hero Segmentation'!$S$5:$S$71,"&lt;&gt;Parked (gate)")&amp;CHAR(10)&amp;"Probable Hero "&amp;COUNTIFS('Hero Segmentation'!$C$5:$C$71,"5. Fitness Equipment",'Hero Segmentation'!$Q$5:$Q$71,"Probable Hero",'Hero Segmentation'!$S$5:$S$71,"&lt;&gt;Parked (gate)")&amp;CHAR(10)&amp;"Non-Hero "&amp;COUNTIFS('Hero Segmentation'!$C$5:$C$71,"5. Fitness Equipment",'Hero Segmentation'!$Q$5:$Q$71,"Non-Hero",'Hero Segmentation'!$S$5:$S$71,"&lt;&gt;Parked (gate)")&amp;CHAR(10)&amp;"Parked "&amp;COUNTIFS('Hero Segmentation'!$C$5:$C$71,"5. Fitness Equipment",'Hero Segmentation'!$S$5:$S$71,"Parked (gate)")</f>
        <v>Hero 0
Probable Hero 1
Non-Hero 0
Parked 0</v>
      </c>
    </row>
    <row r="10" spans="1:12" ht="91.95" customHeight="1" x14ac:dyDescent="0.3">
      <c r="A10" s="6" t="s">
        <v>144</v>
      </c>
      <c r="B10" s="7" t="s">
        <v>145</v>
      </c>
      <c r="C10" s="10" t="s">
        <v>146</v>
      </c>
      <c r="D10" s="10" t="s">
        <v>147</v>
      </c>
      <c r="E10" s="13" t="s">
        <v>148</v>
      </c>
      <c r="F10" s="10" t="s">
        <v>149</v>
      </c>
      <c r="G10" s="10" t="s">
        <v>150</v>
      </c>
      <c r="H10" s="10" t="s">
        <v>151</v>
      </c>
      <c r="I10" s="10" t="str">
        <f>"Hero "&amp;COUNTIFS('Hero Segmentation'!$C$5:$C$71,"6. Backpacks &amp; Bags",'Hero Segmentation'!$Q$5:$Q$71,"Hero",'Hero Segmentation'!$S$5:$S$71,"&lt;&gt;Parked (gate)")&amp;CHAR(10)&amp;"Probable Hero "&amp;COUNTIFS('Hero Segmentation'!$C$5:$C$71,"6. Backpacks &amp; Bags",'Hero Segmentation'!$Q$5:$Q$71,"Probable Hero",'Hero Segmentation'!$S$5:$S$71,"&lt;&gt;Parked (gate)")&amp;CHAR(10)&amp;"Non-Hero "&amp;COUNTIFS('Hero Segmentation'!$C$5:$C$71,"6. Backpacks &amp; Bags",'Hero Segmentation'!$Q$5:$Q$71,"Non-Hero",'Hero Segmentation'!$S$5:$S$71,"&lt;&gt;Parked (gate)")&amp;CHAR(10)&amp;"Parked "&amp;COUNTIFS('Hero Segmentation'!$C$5:$C$71,"6. Backpacks &amp; Bags",'Hero Segmentation'!$S$5:$S$71,"Parked (gate)")</f>
        <v>Hero 1
Probable Hero 3
Non-Hero 0
Parked 1</v>
      </c>
    </row>
    <row r="11" spans="1:12" ht="91.95" customHeight="1" x14ac:dyDescent="0.3">
      <c r="A11" s="6" t="s">
        <v>152</v>
      </c>
      <c r="B11" s="7" t="s">
        <v>153</v>
      </c>
      <c r="C11" s="10" t="s">
        <v>146</v>
      </c>
      <c r="D11" s="10" t="s">
        <v>27</v>
      </c>
      <c r="E11" s="13" t="s">
        <v>154</v>
      </c>
      <c r="F11" s="10" t="s">
        <v>155</v>
      </c>
      <c r="G11" s="10" t="s">
        <v>156</v>
      </c>
      <c r="H11" s="10" t="s">
        <v>157</v>
      </c>
      <c r="I11" s="10" t="str">
        <f>"Hero "&amp;COUNTIFS('Hero Segmentation'!$C$5:$C$71,"7. Hydration &amp; Drinkware",'Hero Segmentation'!$Q$5:$Q$71,"Hero",'Hero Segmentation'!$S$5:$S$71,"&lt;&gt;Parked (gate)")&amp;CHAR(10)&amp;"Probable Hero "&amp;COUNTIFS('Hero Segmentation'!$C$5:$C$71,"7. Hydration &amp; Drinkware",'Hero Segmentation'!$Q$5:$Q$71,"Probable Hero",'Hero Segmentation'!$S$5:$S$71,"&lt;&gt;Parked (gate)")&amp;CHAR(10)&amp;"Non-Hero "&amp;COUNTIFS('Hero Segmentation'!$C$5:$C$71,"7. Hydration &amp; Drinkware",'Hero Segmentation'!$Q$5:$Q$71,"Non-Hero",'Hero Segmentation'!$S$5:$S$71,"&lt;&gt;Parked (gate)")&amp;CHAR(10)&amp;"Parked "&amp;COUNTIFS('Hero Segmentation'!$C$5:$C$71,"7. Hydration &amp; Drinkware",'Hero Segmentation'!$S$5:$S$71,"Parked (gate)")</f>
        <v>Hero 0
Probable Hero 1
Non-Hero 0
Parked 1</v>
      </c>
    </row>
    <row r="12" spans="1:12" ht="91.95" customHeight="1" x14ac:dyDescent="0.3">
      <c r="A12" s="6" t="s">
        <v>158</v>
      </c>
      <c r="B12" s="7" t="s">
        <v>159</v>
      </c>
      <c r="C12" s="10" t="s">
        <v>160</v>
      </c>
      <c r="D12" s="10" t="s">
        <v>161</v>
      </c>
      <c r="E12" s="15" t="s">
        <v>162</v>
      </c>
      <c r="F12" s="10" t="s">
        <v>163</v>
      </c>
      <c r="G12" s="10" t="s">
        <v>164</v>
      </c>
      <c r="H12" s="10" t="s">
        <v>165</v>
      </c>
      <c r="I12" s="10" t="str">
        <f>"Hero "&amp;COUNTIFS('Hero Segmentation'!$C$5:$C$71,"8. Labels &amp; Packaging Accessories",'Hero Segmentation'!$Q$5:$Q$71,"Hero",'Hero Segmentation'!$S$5:$S$71,"&lt;&gt;Parked (gate)")&amp;CHAR(10)&amp;"Probable Hero "&amp;COUNTIFS('Hero Segmentation'!$C$5:$C$71,"8. Labels &amp; Packaging Accessories",'Hero Segmentation'!$Q$5:$Q$71,"Probable Hero",'Hero Segmentation'!$S$5:$S$71,"&lt;&gt;Parked (gate)")&amp;CHAR(10)&amp;"Non-Hero "&amp;COUNTIFS('Hero Segmentation'!$C$5:$C$71,"8. Labels &amp; Packaging Accessories",'Hero Segmentation'!$Q$5:$Q$71,"Non-Hero",'Hero Segmentation'!$S$5:$S$71,"&lt;&gt;Parked (gate)")&amp;CHAR(10)&amp;"Parked "&amp;COUNTIFS('Hero Segmentation'!$C$5:$C$71,"8. Labels &amp; Packaging Accessories",'Hero Segmentation'!$S$5:$S$71,"Parked (gate)")</f>
        <v>Hero 2
Probable Hero 1
Non-Hero 0
Parked 3</v>
      </c>
    </row>
    <row r="13" spans="1:12" ht="91.95" customHeight="1" x14ac:dyDescent="0.3">
      <c r="A13" s="6" t="s">
        <v>166</v>
      </c>
      <c r="B13" s="7" t="s">
        <v>167</v>
      </c>
      <c r="C13" s="10" t="s">
        <v>160</v>
      </c>
      <c r="D13" s="10" t="s">
        <v>168</v>
      </c>
      <c r="E13" s="13" t="s">
        <v>169</v>
      </c>
      <c r="F13" s="10" t="s">
        <v>170</v>
      </c>
      <c r="G13" s="10" t="s">
        <v>171</v>
      </c>
      <c r="H13" s="10" t="s">
        <v>172</v>
      </c>
      <c r="I13" s="10" t="str">
        <f>"Hero "&amp;COUNTIFS('Hero Segmentation'!$C$5:$C$71,"9. Planning &amp; Craft Organization",'Hero Segmentation'!$Q$5:$Q$71,"Hero",'Hero Segmentation'!$S$5:$S$71,"&lt;&gt;Parked (gate)")&amp;CHAR(10)&amp;"Probable Hero "&amp;COUNTIFS('Hero Segmentation'!$C$5:$C$71,"9. Planning &amp; Craft Organization",'Hero Segmentation'!$Q$5:$Q$71,"Probable Hero",'Hero Segmentation'!$S$5:$S$71,"&lt;&gt;Parked (gate)")&amp;CHAR(10)&amp;"Non-Hero "&amp;COUNTIFS('Hero Segmentation'!$C$5:$C$71,"9. Planning &amp; Craft Organization",'Hero Segmentation'!$Q$5:$Q$71,"Non-Hero",'Hero Segmentation'!$S$5:$S$71,"&lt;&gt;Parked (gate)")&amp;CHAR(10)&amp;"Parked "&amp;COUNTIFS('Hero Segmentation'!$C$5:$C$71,"9. Planning &amp; Craft Organization",'Hero Segmentation'!$S$5:$S$71,"Parked (gate)")</f>
        <v>Hero 3
Probable Hero 3
Non-Hero 1
Parked 0</v>
      </c>
    </row>
    <row r="15" spans="1:12" ht="15.6" x14ac:dyDescent="0.3">
      <c r="A15" s="4" t="s">
        <v>173</v>
      </c>
    </row>
    <row r="16" spans="1:12" ht="66" x14ac:dyDescent="0.3">
      <c r="A16" s="5" t="s">
        <v>10</v>
      </c>
      <c r="B16" s="5" t="s">
        <v>174</v>
      </c>
      <c r="C16" s="5" t="s">
        <v>175</v>
      </c>
      <c r="D16" s="5" t="s">
        <v>13</v>
      </c>
      <c r="E16" s="5" t="s">
        <v>176</v>
      </c>
      <c r="F16" s="5" t="s">
        <v>177</v>
      </c>
      <c r="G16" s="5" t="s">
        <v>178</v>
      </c>
      <c r="H16" s="5" t="s">
        <v>179</v>
      </c>
      <c r="I16" s="5" t="s">
        <v>180</v>
      </c>
      <c r="J16" s="5" t="s">
        <v>12</v>
      </c>
      <c r="K16" s="5" t="s">
        <v>181</v>
      </c>
      <c r="L16" s="5" t="s">
        <v>182</v>
      </c>
    </row>
    <row r="17" spans="1:12" ht="79.2" x14ac:dyDescent="0.3">
      <c r="A17" s="6" t="s">
        <v>108</v>
      </c>
      <c r="B17" s="6" t="s">
        <v>183</v>
      </c>
      <c r="C17" s="7" t="s">
        <v>30</v>
      </c>
      <c r="D17" s="6">
        <v>3</v>
      </c>
      <c r="E17" s="6" t="s">
        <v>184</v>
      </c>
      <c r="F17" s="16">
        <v>229</v>
      </c>
      <c r="G17" s="17" t="str">
        <f>INDEX('Path Scorecard'!$Q$5:$Q$71,MATCH($E17,'Path Scorecard'!$H$5:$H$71,0))</f>
        <v>Probable Hero</v>
      </c>
      <c r="H17" s="6" t="str">
        <f>INDEX('Path Scorecard'!$AC$5:$AC$71,MATCH($E17,'Path Scorecard'!$H$5:$H$71,0))</f>
        <v>BUILD</v>
      </c>
      <c r="I17" s="17" t="str">
        <f>INDEX('Path Scorecard'!$AB$5:$AB$71,MATCH($E17,'Path Scorecard'!$H$5:$H$71,0))</f>
        <v>Tier 1</v>
      </c>
      <c r="J17" s="8">
        <f>INDEX('Path Scorecard'!$Z$5:$Z$71,MATCH($E17,'Path Scorecard'!$H$5:$H$71,0))</f>
        <v>89</v>
      </c>
      <c r="K17" s="10" t="str">
        <f>INDEX('Path Scorecard'!$AE$5:$AE$71,MATCH($E17,'Path Scorecard'!$H$5:$H$71,0))&amp;" / "&amp;INDEX('Path Scorecard'!$AF$5:$AF$71,MATCH($E17,'Path Scorecard'!$H$5:$H$71,0))</f>
        <v>Wayfair / Amazon</v>
      </c>
      <c r="L17" s="10" t="s">
        <v>185</v>
      </c>
    </row>
    <row r="18" spans="1:12" ht="92.4" x14ac:dyDescent="0.3">
      <c r="A18" s="6" t="s">
        <v>108</v>
      </c>
      <c r="B18" s="6" t="s">
        <v>186</v>
      </c>
      <c r="C18" s="7" t="s">
        <v>187</v>
      </c>
      <c r="D18" s="6">
        <v>4</v>
      </c>
      <c r="E18" s="6" t="s">
        <v>188</v>
      </c>
      <c r="F18" s="16">
        <v>49</v>
      </c>
      <c r="G18" s="17" t="str">
        <f>INDEX('Path Scorecard'!$Q$5:$Q$71,MATCH($E18,'Path Scorecard'!$H$5:$H$71,0))</f>
        <v>Probable Hero</v>
      </c>
      <c r="H18" s="6" t="str">
        <f>INDEX('Path Scorecard'!$AC$5:$AC$71,MATCH($E18,'Path Scorecard'!$H$5:$H$71,0))</f>
        <v>BUILD</v>
      </c>
      <c r="I18" s="17" t="str">
        <f>INDEX('Path Scorecard'!$AB$5:$AB$71,MATCH($E18,'Path Scorecard'!$H$5:$H$71,0))</f>
        <v>Tier 2</v>
      </c>
      <c r="J18" s="8">
        <f>INDEX('Path Scorecard'!$Z$5:$Z$71,MATCH($E18,'Path Scorecard'!$H$5:$H$71,0))</f>
        <v>75</v>
      </c>
      <c r="K18" s="10" t="str">
        <f>INDEX('Path Scorecard'!$AE$5:$AE$71,MATCH($E18,'Path Scorecard'!$H$5:$H$71,0))&amp;" / "&amp;INDEX('Path Scorecard'!$AF$5:$AF$71,MATCH($E18,'Path Scorecard'!$H$5:$H$71,0))</f>
        <v>Wayfair / Amazon</v>
      </c>
      <c r="L18" s="10" t="s">
        <v>189</v>
      </c>
    </row>
    <row r="19" spans="1:12" ht="92.4" x14ac:dyDescent="0.3">
      <c r="A19" s="6" t="s">
        <v>108</v>
      </c>
      <c r="B19" s="6" t="s">
        <v>190</v>
      </c>
      <c r="C19" s="7" t="s">
        <v>191</v>
      </c>
      <c r="D19" s="6">
        <v>4</v>
      </c>
      <c r="E19" s="6" t="s">
        <v>192</v>
      </c>
      <c r="F19" s="16">
        <v>617</v>
      </c>
      <c r="G19" s="17" t="str">
        <f>INDEX('Path Scorecard'!$Q$5:$Q$71,MATCH($E19,'Path Scorecard'!$H$5:$H$71,0))</f>
        <v>Probable Hero</v>
      </c>
      <c r="H19" s="6" t="str">
        <f>INDEX('Path Scorecard'!$AC$5:$AC$71,MATCH($E19,'Path Scorecard'!$H$5:$H$71,0))</f>
        <v>BUILD</v>
      </c>
      <c r="I19" s="17" t="str">
        <f>INDEX('Path Scorecard'!$AB$5:$AB$71,MATCH($E19,'Path Scorecard'!$H$5:$H$71,0))</f>
        <v>Tier 2</v>
      </c>
      <c r="J19" s="8">
        <f>INDEX('Path Scorecard'!$Z$5:$Z$71,MATCH($E19,'Path Scorecard'!$H$5:$H$71,0))</f>
        <v>73</v>
      </c>
      <c r="K19" s="10" t="str">
        <f>INDEX('Path Scorecard'!$AE$5:$AE$71,MATCH($E19,'Path Scorecard'!$H$5:$H$71,0))&amp;" / "&amp;INDEX('Path Scorecard'!$AF$5:$AF$71,MATCH($E19,'Path Scorecard'!$H$5:$H$71,0))</f>
        <v>Wayfair / Amazon</v>
      </c>
      <c r="L19" s="10" t="s">
        <v>189</v>
      </c>
    </row>
    <row r="20" spans="1:12" ht="66" x14ac:dyDescent="0.3">
      <c r="A20" s="6" t="s">
        <v>108</v>
      </c>
      <c r="B20" s="6" t="s">
        <v>193</v>
      </c>
      <c r="C20" s="7" t="s">
        <v>194</v>
      </c>
      <c r="D20" s="6">
        <v>3</v>
      </c>
      <c r="E20" s="6" t="s">
        <v>195</v>
      </c>
      <c r="F20" s="16">
        <v>75</v>
      </c>
      <c r="G20" s="17" t="str">
        <f>INDEX('Path Scorecard'!$Q$5:$Q$71,MATCH($E20,'Path Scorecard'!$H$5:$H$71,0))</f>
        <v>Probable Hero</v>
      </c>
      <c r="H20" s="6" t="str">
        <f>INDEX('Path Scorecard'!$AC$5:$AC$71,MATCH($E20,'Path Scorecard'!$H$5:$H$71,0))</f>
        <v>BUILD</v>
      </c>
      <c r="I20" s="17" t="str">
        <f>INDEX('Path Scorecard'!$AB$5:$AB$71,MATCH($E20,'Path Scorecard'!$H$5:$H$71,0))</f>
        <v>Tier 2</v>
      </c>
      <c r="J20" s="8">
        <f>INDEX('Path Scorecard'!$Z$5:$Z$71,MATCH($E20,'Path Scorecard'!$H$5:$H$71,0))</f>
        <v>74</v>
      </c>
      <c r="K20" s="10" t="str">
        <f>INDEX('Path Scorecard'!$AE$5:$AE$71,MATCH($E20,'Path Scorecard'!$H$5:$H$71,0))&amp;" / "&amp;INDEX('Path Scorecard'!$AF$5:$AF$71,MATCH($E20,'Path Scorecard'!$H$5:$H$71,0))</f>
        <v>Wayfair / Amazon</v>
      </c>
      <c r="L20" s="10" t="s">
        <v>189</v>
      </c>
    </row>
    <row r="21" spans="1:12" ht="79.2" x14ac:dyDescent="0.3">
      <c r="A21" s="6" t="s">
        <v>108</v>
      </c>
      <c r="B21" s="6" t="s">
        <v>196</v>
      </c>
      <c r="C21" s="7" t="s">
        <v>197</v>
      </c>
      <c r="D21" s="6">
        <v>4</v>
      </c>
      <c r="E21" s="6" t="s">
        <v>198</v>
      </c>
      <c r="F21" s="16">
        <v>64</v>
      </c>
      <c r="G21" s="17" t="str">
        <f>INDEX('Path Scorecard'!$Q$5:$Q$71,MATCH($E21,'Path Scorecard'!$H$5:$H$71,0))</f>
        <v>Probable Hero</v>
      </c>
      <c r="H21" s="6" t="str">
        <f>INDEX('Path Scorecard'!$AC$5:$AC$71,MATCH($E21,'Path Scorecard'!$H$5:$H$71,0))</f>
        <v>BUILD</v>
      </c>
      <c r="I21" s="17" t="str">
        <f>INDEX('Path Scorecard'!$AB$5:$AB$71,MATCH($E21,'Path Scorecard'!$H$5:$H$71,0))</f>
        <v>Tier 3</v>
      </c>
      <c r="J21" s="8">
        <f>INDEX('Path Scorecard'!$Z$5:$Z$71,MATCH($E21,'Path Scorecard'!$H$5:$H$71,0))</f>
        <v>69</v>
      </c>
      <c r="K21" s="10" t="str">
        <f>INDEX('Path Scorecard'!$AE$5:$AE$71,MATCH($E21,'Path Scorecard'!$H$5:$H$71,0))&amp;" / "&amp;INDEX('Path Scorecard'!$AF$5:$AF$71,MATCH($E21,'Path Scorecard'!$H$5:$H$71,0))</f>
        <v>Wayfair / Amazon</v>
      </c>
      <c r="L21" s="10" t="s">
        <v>199</v>
      </c>
    </row>
    <row r="22" spans="1:12" ht="145.19999999999999" x14ac:dyDescent="0.3">
      <c r="A22" s="6" t="s">
        <v>108</v>
      </c>
      <c r="B22" s="6" t="s">
        <v>200</v>
      </c>
      <c r="C22" s="7" t="s">
        <v>201</v>
      </c>
      <c r="D22" s="6">
        <v>3</v>
      </c>
      <c r="E22" s="6" t="s">
        <v>202</v>
      </c>
      <c r="F22" s="16">
        <v>1008</v>
      </c>
      <c r="G22" s="17" t="str">
        <f>INDEX('Path Scorecard'!$Q$5:$Q$71,MATCH($E22,'Path Scorecard'!$H$5:$H$71,0))</f>
        <v>Hero</v>
      </c>
      <c r="H22" s="6" t="str">
        <f>INDEX('Path Scorecard'!$AC$5:$AC$71,MATCH($E22,'Path Scorecard'!$H$5:$H$71,0))</f>
        <v>PROTECT</v>
      </c>
      <c r="I22" s="17" t="str">
        <f>INDEX('Path Scorecard'!$AB$5:$AB$71,MATCH($E22,'Path Scorecard'!$H$5:$H$71,0))</f>
        <v>Tier 3</v>
      </c>
      <c r="J22" s="8">
        <f>INDEX('Path Scorecard'!$Z$5:$Z$71,MATCH($E22,'Path Scorecard'!$H$5:$H$71,0))</f>
        <v>65</v>
      </c>
      <c r="K22" s="10" t="str">
        <f>INDEX('Path Scorecard'!$AE$5:$AE$71,MATCH($E22,'Path Scorecard'!$H$5:$H$71,0))&amp;" / "&amp;INDEX('Path Scorecard'!$AF$5:$AF$71,MATCH($E22,'Path Scorecard'!$H$5:$H$71,0))</f>
        <v>Wayfair / Amazon (control shelf)</v>
      </c>
      <c r="L22" s="10" t="s">
        <v>203</v>
      </c>
    </row>
    <row r="23" spans="1:12" ht="52.8" x14ac:dyDescent="0.3">
      <c r="A23" s="6" t="s">
        <v>108</v>
      </c>
      <c r="B23" s="6" t="s">
        <v>204</v>
      </c>
      <c r="C23" s="7" t="s">
        <v>205</v>
      </c>
      <c r="D23" s="6">
        <v>3</v>
      </c>
      <c r="E23" s="6" t="s">
        <v>206</v>
      </c>
      <c r="F23" s="16">
        <v>147</v>
      </c>
      <c r="G23" s="17" t="str">
        <f>INDEX('Path Scorecard'!$Q$5:$Q$71,MATCH($E23,'Path Scorecard'!$H$5:$H$71,0))</f>
        <v>Non-Hero</v>
      </c>
      <c r="H23" s="6" t="str">
        <f>INDEX('Path Scorecard'!$AC$5:$AC$71,MATCH($E23,'Path Scorecard'!$H$5:$H$71,0))</f>
        <v>HOLD</v>
      </c>
      <c r="I23" s="17" t="str">
        <f>INDEX('Path Scorecard'!$AB$5:$AB$71,MATCH($E23,'Path Scorecard'!$H$5:$H$71,0))</f>
        <v>Tier 3</v>
      </c>
      <c r="J23" s="8">
        <f>INDEX('Path Scorecard'!$Z$5:$Z$71,MATCH($E23,'Path Scorecard'!$H$5:$H$71,0))</f>
        <v>59</v>
      </c>
      <c r="K23" s="10" t="str">
        <f>INDEX('Path Scorecard'!$AE$5:$AE$71,MATCH($E23,'Path Scorecard'!$H$5:$H$71,0))&amp;" / "&amp;INDEX('Path Scorecard'!$AF$5:$AF$71,MATCH($E23,'Path Scorecard'!$H$5:$H$71,0))</f>
        <v>Wayfair / Target</v>
      </c>
      <c r="L23" s="10" t="s">
        <v>199</v>
      </c>
    </row>
    <row r="24" spans="1:12" ht="66" x14ac:dyDescent="0.3">
      <c r="A24" s="6" t="s">
        <v>108</v>
      </c>
      <c r="B24" s="6" t="s">
        <v>207</v>
      </c>
      <c r="C24" s="7" t="s">
        <v>208</v>
      </c>
      <c r="D24" s="6">
        <v>3</v>
      </c>
      <c r="E24" s="6" t="s">
        <v>209</v>
      </c>
      <c r="F24" s="16">
        <v>87</v>
      </c>
      <c r="G24" s="17" t="str">
        <f>INDEX('Path Scorecard'!$Q$5:$Q$71,MATCH($E24,'Path Scorecard'!$H$5:$H$71,0))</f>
        <v>Non-Hero</v>
      </c>
      <c r="H24" s="6" t="str">
        <f>INDEX('Path Scorecard'!$AC$5:$AC$71,MATCH($E24,'Path Scorecard'!$H$5:$H$71,0))</f>
        <v>HOLD</v>
      </c>
      <c r="I24" s="17" t="str">
        <f>INDEX('Path Scorecard'!$AB$5:$AB$71,MATCH($E24,'Path Scorecard'!$H$5:$H$71,0))</f>
        <v>Tier 3</v>
      </c>
      <c r="J24" s="8">
        <f>INDEX('Path Scorecard'!$Z$5:$Z$71,MATCH($E24,'Path Scorecard'!$H$5:$H$71,0))</f>
        <v>50</v>
      </c>
      <c r="K24" s="10" t="str">
        <f>INDEX('Path Scorecard'!$AE$5:$AE$71,MATCH($E24,'Path Scorecard'!$H$5:$H$71,0))&amp;" / "&amp;INDEX('Path Scorecard'!$AF$5:$AF$71,MATCH($E24,'Path Scorecard'!$H$5:$H$71,0))</f>
        <v>Best Buy / Amazon</v>
      </c>
      <c r="L24" s="10" t="s">
        <v>199</v>
      </c>
    </row>
    <row r="25" spans="1:12" ht="39.6" x14ac:dyDescent="0.3">
      <c r="A25" s="6" t="s">
        <v>116</v>
      </c>
      <c r="B25" s="6" t="s">
        <v>210</v>
      </c>
      <c r="C25" s="7" t="s">
        <v>211</v>
      </c>
      <c r="D25" s="6">
        <v>3</v>
      </c>
      <c r="E25" s="6" t="s">
        <v>212</v>
      </c>
      <c r="F25" s="16">
        <v>1501</v>
      </c>
      <c r="G25" s="17" t="str">
        <f>INDEX('Path Scorecard'!$Q$5:$Q$71,MATCH($E25,'Path Scorecard'!$H$5:$H$71,0))</f>
        <v>Hero</v>
      </c>
      <c r="H25" s="6" t="str">
        <f>INDEX('Path Scorecard'!$AC$5:$AC$71,MATCH($E25,'Path Scorecard'!$H$5:$H$71,0))</f>
        <v>EXTEND</v>
      </c>
      <c r="I25" s="17" t="str">
        <f>INDEX('Path Scorecard'!$AB$5:$AB$71,MATCH($E25,'Path Scorecard'!$H$5:$H$71,0))</f>
        <v>Tier 2</v>
      </c>
      <c r="J25" s="8">
        <f>INDEX('Path Scorecard'!$Z$5:$Z$71,MATCH($E25,'Path Scorecard'!$H$5:$H$71,0))</f>
        <v>81</v>
      </c>
      <c r="K25" s="10" t="str">
        <f>INDEX('Path Scorecard'!$AE$5:$AE$71,MATCH($E25,'Path Scorecard'!$H$5:$H$71,0))&amp;" / "&amp;INDEX('Path Scorecard'!$AF$5:$AF$71,MATCH($E25,'Path Scorecard'!$H$5:$H$71,0))</f>
        <v>Wayfair / Amazon</v>
      </c>
      <c r="L25" s="10" t="s">
        <v>189</v>
      </c>
    </row>
    <row r="26" spans="1:12" ht="39.6" x14ac:dyDescent="0.3">
      <c r="A26" s="6" t="s">
        <v>116</v>
      </c>
      <c r="B26" s="6" t="s">
        <v>213</v>
      </c>
      <c r="C26" s="7" t="s">
        <v>214</v>
      </c>
      <c r="D26" s="6">
        <v>3</v>
      </c>
      <c r="E26" s="6" t="s">
        <v>215</v>
      </c>
      <c r="F26" s="16">
        <v>576</v>
      </c>
      <c r="G26" s="17" t="str">
        <f>INDEX('Path Scorecard'!$Q$5:$Q$71,MATCH($E26,'Path Scorecard'!$H$5:$H$71,0))</f>
        <v>Hero</v>
      </c>
      <c r="H26" s="6" t="str">
        <f>INDEX('Path Scorecard'!$AC$5:$AC$71,MATCH($E26,'Path Scorecard'!$H$5:$H$71,0))</f>
        <v>PROTECT</v>
      </c>
      <c r="I26" s="17" t="str">
        <f>INDEX('Path Scorecard'!$AB$5:$AB$71,MATCH($E26,'Path Scorecard'!$H$5:$H$71,0))</f>
        <v>Tier 3</v>
      </c>
      <c r="J26" s="8">
        <f>INDEX('Path Scorecard'!$Z$5:$Z$71,MATCH($E26,'Path Scorecard'!$H$5:$H$71,0))</f>
        <v>66</v>
      </c>
      <c r="K26" s="10" t="str">
        <f>INDEX('Path Scorecard'!$AE$5:$AE$71,MATCH($E26,'Path Scorecard'!$H$5:$H$71,0))&amp;" / "&amp;INDEX('Path Scorecard'!$AF$5:$AF$71,MATCH($E26,'Path Scorecard'!$H$5:$H$71,0))</f>
        <v>Amazon / Wayfair</v>
      </c>
      <c r="L26" s="10" t="s">
        <v>199</v>
      </c>
    </row>
    <row r="27" spans="1:12" ht="66" x14ac:dyDescent="0.3">
      <c r="A27" s="6" t="s">
        <v>116</v>
      </c>
      <c r="B27" s="6" t="s">
        <v>216</v>
      </c>
      <c r="C27" s="7" t="s">
        <v>217</v>
      </c>
      <c r="D27" s="6">
        <v>4</v>
      </c>
      <c r="E27" s="6" t="s">
        <v>218</v>
      </c>
      <c r="F27" s="16">
        <v>77</v>
      </c>
      <c r="G27" s="17" t="str">
        <f>INDEX('Path Scorecard'!$Q$5:$Q$71,MATCH($E27,'Path Scorecard'!$H$5:$H$71,0))</f>
        <v>Non-Hero</v>
      </c>
      <c r="H27" s="6" t="str">
        <f>INDEX('Path Scorecard'!$AC$5:$AC$71,MATCH($E27,'Path Scorecard'!$H$5:$H$71,0))</f>
        <v>HOLD</v>
      </c>
      <c r="I27" s="17" t="str">
        <f>INDEX('Path Scorecard'!$AB$5:$AB$71,MATCH($E27,'Path Scorecard'!$H$5:$H$71,0))</f>
        <v>Tier 3</v>
      </c>
      <c r="J27" s="8">
        <f>INDEX('Path Scorecard'!$Z$5:$Z$71,MATCH($E27,'Path Scorecard'!$H$5:$H$71,0))</f>
        <v>52</v>
      </c>
      <c r="K27" s="10" t="str">
        <f>INDEX('Path Scorecard'!$AE$5:$AE$71,MATCH($E27,'Path Scorecard'!$H$5:$H$71,0))&amp;" / "&amp;INDEX('Path Scorecard'!$AF$5:$AF$71,MATCH($E27,'Path Scorecard'!$H$5:$H$71,0))</f>
        <v>Wayfair / Amazon</v>
      </c>
      <c r="L27" s="10" t="s">
        <v>199</v>
      </c>
    </row>
    <row r="28" spans="1:12" ht="52.8" x14ac:dyDescent="0.3">
      <c r="A28" s="6" t="s">
        <v>122</v>
      </c>
      <c r="B28" s="6" t="s">
        <v>219</v>
      </c>
      <c r="C28" s="7" t="s">
        <v>33</v>
      </c>
      <c r="D28" s="6">
        <v>3</v>
      </c>
      <c r="E28" s="6" t="s">
        <v>220</v>
      </c>
      <c r="F28" s="16">
        <v>210</v>
      </c>
      <c r="G28" s="17" t="str">
        <f>INDEX('Path Scorecard'!$Q$5:$Q$71,MATCH($E28,'Path Scorecard'!$H$5:$H$71,0))</f>
        <v>Probable Hero</v>
      </c>
      <c r="H28" s="6" t="str">
        <f>INDEX('Path Scorecard'!$AC$5:$AC$71,MATCH($E28,'Path Scorecard'!$H$5:$H$71,0))</f>
        <v>BUILD</v>
      </c>
      <c r="I28" s="17" t="str">
        <f>INDEX('Path Scorecard'!$AB$5:$AB$71,MATCH($E28,'Path Scorecard'!$H$5:$H$71,0))</f>
        <v>Tier 1</v>
      </c>
      <c r="J28" s="8">
        <f>INDEX('Path Scorecard'!$Z$5:$Z$71,MATCH($E28,'Path Scorecard'!$H$5:$H$71,0))</f>
        <v>86</v>
      </c>
      <c r="K28" s="10" t="str">
        <f>INDEX('Path Scorecard'!$AE$5:$AE$71,MATCH($E28,'Path Scorecard'!$H$5:$H$71,0))&amp;" / "&amp;INDEX('Path Scorecard'!$AF$5:$AF$71,MATCH($E28,'Path Scorecard'!$H$5:$H$71,0))</f>
        <v>Wayfair / Amazon</v>
      </c>
      <c r="L28" s="10" t="s">
        <v>185</v>
      </c>
    </row>
    <row r="29" spans="1:12" ht="52.8" x14ac:dyDescent="0.3">
      <c r="A29" s="6" t="s">
        <v>122</v>
      </c>
      <c r="B29" s="6" t="s">
        <v>221</v>
      </c>
      <c r="C29" s="7" t="s">
        <v>222</v>
      </c>
      <c r="D29" s="6">
        <v>3</v>
      </c>
      <c r="E29" s="6" t="s">
        <v>223</v>
      </c>
      <c r="F29" s="16">
        <v>211</v>
      </c>
      <c r="G29" s="17" t="str">
        <f>INDEX('Path Scorecard'!$Q$5:$Q$71,MATCH($E29,'Path Scorecard'!$H$5:$H$71,0))</f>
        <v>Probable Hero</v>
      </c>
      <c r="H29" s="6" t="str">
        <f>INDEX('Path Scorecard'!$AC$5:$AC$71,MATCH($E29,'Path Scorecard'!$H$5:$H$71,0))</f>
        <v>BUILD</v>
      </c>
      <c r="I29" s="17" t="str">
        <f>INDEX('Path Scorecard'!$AB$5:$AB$71,MATCH($E29,'Path Scorecard'!$H$5:$H$71,0))</f>
        <v>Tier 2</v>
      </c>
      <c r="J29" s="8">
        <f>INDEX('Path Scorecard'!$Z$5:$Z$71,MATCH($E29,'Path Scorecard'!$H$5:$H$71,0))</f>
        <v>75</v>
      </c>
      <c r="K29" s="10" t="str">
        <f>INDEX('Path Scorecard'!$AE$5:$AE$71,MATCH($E29,'Path Scorecard'!$H$5:$H$71,0))&amp;" / "&amp;INDEX('Path Scorecard'!$AF$5:$AF$71,MATCH($E29,'Path Scorecard'!$H$5:$H$71,0))</f>
        <v>Wayfair / Target</v>
      </c>
      <c r="L29" s="10" t="s">
        <v>189</v>
      </c>
    </row>
    <row r="30" spans="1:12" ht="52.8" x14ac:dyDescent="0.3">
      <c r="A30" s="6" t="s">
        <v>122</v>
      </c>
      <c r="B30" s="6" t="s">
        <v>224</v>
      </c>
      <c r="C30" s="7" t="s">
        <v>225</v>
      </c>
      <c r="D30" s="6">
        <v>3</v>
      </c>
      <c r="E30" s="6" t="s">
        <v>226</v>
      </c>
      <c r="F30" s="16">
        <v>132</v>
      </c>
      <c r="G30" s="17" t="str">
        <f>INDEX('Path Scorecard'!$Q$5:$Q$71,MATCH($E30,'Path Scorecard'!$H$5:$H$71,0))</f>
        <v>Probable Hero</v>
      </c>
      <c r="H30" s="6" t="str">
        <f>INDEX('Path Scorecard'!$AC$5:$AC$71,MATCH($E30,'Path Scorecard'!$H$5:$H$71,0))</f>
        <v>BUILD</v>
      </c>
      <c r="I30" s="17" t="str">
        <f>INDEX('Path Scorecard'!$AB$5:$AB$71,MATCH($E30,'Path Scorecard'!$H$5:$H$71,0))</f>
        <v>Tier 2</v>
      </c>
      <c r="J30" s="8">
        <f>INDEX('Path Scorecard'!$Z$5:$Z$71,MATCH($E30,'Path Scorecard'!$H$5:$H$71,0))</f>
        <v>73</v>
      </c>
      <c r="K30" s="10" t="str">
        <f>INDEX('Path Scorecard'!$AE$5:$AE$71,MATCH($E30,'Path Scorecard'!$H$5:$H$71,0))&amp;" / "&amp;INDEX('Path Scorecard'!$AF$5:$AF$71,MATCH($E30,'Path Scorecard'!$H$5:$H$71,0))</f>
        <v>Wayfair / Target</v>
      </c>
      <c r="L30" s="10" t="s">
        <v>189</v>
      </c>
    </row>
    <row r="31" spans="1:12" ht="39.6" x14ac:dyDescent="0.3">
      <c r="A31" s="6" t="s">
        <v>129</v>
      </c>
      <c r="B31" s="6" t="s">
        <v>227</v>
      </c>
      <c r="C31" s="7" t="s">
        <v>228</v>
      </c>
      <c r="D31" s="6">
        <v>2</v>
      </c>
      <c r="E31" s="6" t="s">
        <v>229</v>
      </c>
      <c r="F31" s="16">
        <v>804</v>
      </c>
      <c r="G31" s="17" t="str">
        <f>INDEX('Path Scorecard'!$Q$5:$Q$71,MATCH($E31,'Path Scorecard'!$H$5:$H$71,0))</f>
        <v>Probable Hero</v>
      </c>
      <c r="H31" s="6" t="str">
        <f>INDEX('Path Scorecard'!$AC$5:$AC$71,MATCH($E31,'Path Scorecard'!$H$5:$H$71,0))</f>
        <v>BUILD</v>
      </c>
      <c r="I31" s="17" t="str">
        <f>INDEX('Path Scorecard'!$AB$5:$AB$71,MATCH($E31,'Path Scorecard'!$H$5:$H$71,0))</f>
        <v>Parked (gate)</v>
      </c>
      <c r="J31" s="8" t="str">
        <f>INDEX('Path Scorecard'!$Z$5:$Z$71,MATCH($E31,'Path Scorecard'!$H$5:$H$71,0))</f>
        <v>-</v>
      </c>
      <c r="K31" s="10" t="str">
        <f>INDEX('Path Scorecard'!$AE$5:$AE$71,MATCH($E31,'Path Scorecard'!$H$5:$H$71,0))&amp;" / "&amp;INDEX('Path Scorecard'!$AF$5:$AF$71,MATCH($E31,'Path Scorecard'!$H$5:$H$71,0))</f>
        <v>- / -</v>
      </c>
      <c r="L31" s="10" t="s">
        <v>230</v>
      </c>
    </row>
    <row r="32" spans="1:12" ht="92.4" x14ac:dyDescent="0.3">
      <c r="A32" s="6" t="s">
        <v>136</v>
      </c>
      <c r="B32" s="6" t="s">
        <v>231</v>
      </c>
      <c r="C32" s="7" t="s">
        <v>232</v>
      </c>
      <c r="D32" s="6">
        <v>4</v>
      </c>
      <c r="E32" s="6" t="s">
        <v>233</v>
      </c>
      <c r="F32" s="16">
        <v>43</v>
      </c>
      <c r="G32" s="17" t="str">
        <f>INDEX('Path Scorecard'!$Q$5:$Q$71,MATCH($E32,'Path Scorecard'!$H$5:$H$71,0))</f>
        <v>Probable Hero</v>
      </c>
      <c r="H32" s="6" t="str">
        <f>INDEX('Path Scorecard'!$AC$5:$AC$71,MATCH($E32,'Path Scorecard'!$H$5:$H$71,0))</f>
        <v>BUILD</v>
      </c>
      <c r="I32" s="17" t="str">
        <f>INDEX('Path Scorecard'!$AB$5:$AB$71,MATCH($E32,'Path Scorecard'!$H$5:$H$71,0))</f>
        <v>Tier 3</v>
      </c>
      <c r="J32" s="8">
        <f>INDEX('Path Scorecard'!$Z$5:$Z$71,MATCH($E32,'Path Scorecard'!$H$5:$H$71,0))</f>
        <v>67</v>
      </c>
      <c r="K32" s="10" t="str">
        <f>INDEX('Path Scorecard'!$AE$5:$AE$71,MATCH($E32,'Path Scorecard'!$H$5:$H$71,0))&amp;" / "&amp;INDEX('Path Scorecard'!$AF$5:$AF$71,MATCH($E32,'Path Scorecard'!$H$5:$H$71,0))</f>
        <v>Amazon / Dick's Sporting Goods</v>
      </c>
      <c r="L32" s="10" t="s">
        <v>199</v>
      </c>
    </row>
    <row r="33" spans="1:12" ht="79.2" x14ac:dyDescent="0.3">
      <c r="A33" s="6" t="s">
        <v>144</v>
      </c>
      <c r="B33" s="6" t="s">
        <v>234</v>
      </c>
      <c r="C33" s="7" t="s">
        <v>40</v>
      </c>
      <c r="D33" s="6">
        <v>3</v>
      </c>
      <c r="E33" s="6" t="s">
        <v>235</v>
      </c>
      <c r="F33" s="16">
        <v>585</v>
      </c>
      <c r="G33" s="17" t="str">
        <f>INDEX('Path Scorecard'!$Q$5:$Q$71,MATCH($E33,'Path Scorecard'!$H$5:$H$71,0))</f>
        <v>Hero</v>
      </c>
      <c r="H33" s="6" t="str">
        <f>INDEX('Path Scorecard'!$AC$5:$AC$71,MATCH($E33,'Path Scorecard'!$H$5:$H$71,0))</f>
        <v>EXTEND</v>
      </c>
      <c r="I33" s="17" t="str">
        <f>INDEX('Path Scorecard'!$AB$5:$AB$71,MATCH($E33,'Path Scorecard'!$H$5:$H$71,0))</f>
        <v>Tier 1</v>
      </c>
      <c r="J33" s="8">
        <f>INDEX('Path Scorecard'!$Z$5:$Z$71,MATCH($E33,'Path Scorecard'!$H$5:$H$71,0))</f>
        <v>86</v>
      </c>
      <c r="K33" s="10" t="str">
        <f>INDEX('Path Scorecard'!$AE$5:$AE$71,MATCH($E33,'Path Scorecard'!$H$5:$H$71,0))&amp;" / "&amp;INDEX('Path Scorecard'!$AF$5:$AF$71,MATCH($E33,'Path Scorecard'!$H$5:$H$71,0))</f>
        <v>Amazon / Target</v>
      </c>
      <c r="L33" s="10" t="s">
        <v>185</v>
      </c>
    </row>
    <row r="34" spans="1:12" ht="92.4" x14ac:dyDescent="0.3">
      <c r="A34" s="6" t="s">
        <v>144</v>
      </c>
      <c r="B34" s="6" t="s">
        <v>236</v>
      </c>
      <c r="C34" s="7" t="s">
        <v>43</v>
      </c>
      <c r="D34" s="6">
        <v>3</v>
      </c>
      <c r="E34" s="6" t="s">
        <v>237</v>
      </c>
      <c r="F34" s="16">
        <v>404</v>
      </c>
      <c r="G34" s="17" t="str">
        <f>INDEX('Path Scorecard'!$Q$5:$Q$71,MATCH($E34,'Path Scorecard'!$H$5:$H$71,0))</f>
        <v>Probable Hero</v>
      </c>
      <c r="H34" s="6" t="str">
        <f>INDEX('Path Scorecard'!$AC$5:$AC$71,MATCH($E34,'Path Scorecard'!$H$5:$H$71,0))</f>
        <v>BUILD</v>
      </c>
      <c r="I34" s="17" t="str">
        <f>INDEX('Path Scorecard'!$AB$5:$AB$71,MATCH($E34,'Path Scorecard'!$H$5:$H$71,0))</f>
        <v>Tier 1</v>
      </c>
      <c r="J34" s="8">
        <f>INDEX('Path Scorecard'!$Z$5:$Z$71,MATCH($E34,'Path Scorecard'!$H$5:$H$71,0))</f>
        <v>86</v>
      </c>
      <c r="K34" s="10" t="str">
        <f>INDEX('Path Scorecard'!$AE$5:$AE$71,MATCH($E34,'Path Scorecard'!$H$5:$H$71,0))&amp;" / "&amp;INDEX('Path Scorecard'!$AF$5:$AF$71,MATCH($E34,'Path Scorecard'!$H$5:$H$71,0))</f>
        <v>Amazon / Target</v>
      </c>
      <c r="L34" s="10" t="s">
        <v>185</v>
      </c>
    </row>
    <row r="35" spans="1:12" ht="105.6" x14ac:dyDescent="0.3">
      <c r="A35" s="6" t="s">
        <v>144</v>
      </c>
      <c r="B35" s="6" t="s">
        <v>238</v>
      </c>
      <c r="C35" s="7" t="s">
        <v>239</v>
      </c>
      <c r="D35" s="6">
        <v>3</v>
      </c>
      <c r="E35" s="6" t="s">
        <v>240</v>
      </c>
      <c r="F35" s="16">
        <v>300</v>
      </c>
      <c r="G35" s="17" t="str">
        <f>INDEX('Path Scorecard'!$Q$5:$Q$71,MATCH($E35,'Path Scorecard'!$H$5:$H$71,0))</f>
        <v>Probable Hero</v>
      </c>
      <c r="H35" s="6" t="str">
        <f>INDEX('Path Scorecard'!$AC$5:$AC$71,MATCH($E35,'Path Scorecard'!$H$5:$H$71,0))</f>
        <v>BUILD</v>
      </c>
      <c r="I35" s="17" t="str">
        <f>INDEX('Path Scorecard'!$AB$5:$AB$71,MATCH($E35,'Path Scorecard'!$H$5:$H$71,0))</f>
        <v>Tier 2</v>
      </c>
      <c r="J35" s="8">
        <f>INDEX('Path Scorecard'!$Z$5:$Z$71,MATCH($E35,'Path Scorecard'!$H$5:$H$71,0))</f>
        <v>83</v>
      </c>
      <c r="K35" s="10" t="str">
        <f>INDEX('Path Scorecard'!$AE$5:$AE$71,MATCH($E35,'Path Scorecard'!$H$5:$H$71,0))&amp;" / "&amp;INDEX('Path Scorecard'!$AF$5:$AF$71,MATCH($E35,'Path Scorecard'!$H$5:$H$71,0))</f>
        <v>Amazon / Target</v>
      </c>
      <c r="L35" s="10" t="s">
        <v>189</v>
      </c>
    </row>
    <row r="36" spans="1:12" ht="92.4" x14ac:dyDescent="0.3">
      <c r="A36" s="6" t="s">
        <v>144</v>
      </c>
      <c r="B36" s="6" t="s">
        <v>241</v>
      </c>
      <c r="C36" s="7" t="s">
        <v>242</v>
      </c>
      <c r="D36" s="6">
        <v>3</v>
      </c>
      <c r="E36" s="6" t="s">
        <v>243</v>
      </c>
      <c r="F36" s="16">
        <v>173</v>
      </c>
      <c r="G36" s="17" t="str">
        <f>INDEX('Path Scorecard'!$Q$5:$Q$71,MATCH($E36,'Path Scorecard'!$H$5:$H$71,0))</f>
        <v>Probable Hero</v>
      </c>
      <c r="H36" s="6" t="str">
        <f>INDEX('Path Scorecard'!$AC$5:$AC$71,MATCH($E36,'Path Scorecard'!$H$5:$H$71,0))</f>
        <v>BUILD</v>
      </c>
      <c r="I36" s="17" t="str">
        <f>INDEX('Path Scorecard'!$AB$5:$AB$71,MATCH($E36,'Path Scorecard'!$H$5:$H$71,0))</f>
        <v>Tier 2</v>
      </c>
      <c r="J36" s="8">
        <f>INDEX('Path Scorecard'!$Z$5:$Z$71,MATCH($E36,'Path Scorecard'!$H$5:$H$71,0))</f>
        <v>82</v>
      </c>
      <c r="K36" s="10" t="str">
        <f>INDEX('Path Scorecard'!$AE$5:$AE$71,MATCH($E36,'Path Scorecard'!$H$5:$H$71,0))&amp;" / "&amp;INDEX('Path Scorecard'!$AF$5:$AF$71,MATCH($E36,'Path Scorecard'!$H$5:$H$71,0))</f>
        <v>Amazon / Target</v>
      </c>
      <c r="L36" s="10" t="s">
        <v>189</v>
      </c>
    </row>
    <row r="37" spans="1:12" ht="132" x14ac:dyDescent="0.3">
      <c r="A37" s="6" t="s">
        <v>144</v>
      </c>
      <c r="B37" s="6" t="s">
        <v>244</v>
      </c>
      <c r="C37" s="7" t="s">
        <v>245</v>
      </c>
      <c r="D37" s="6">
        <v>4</v>
      </c>
      <c r="E37" s="6" t="s">
        <v>246</v>
      </c>
      <c r="F37" s="16">
        <v>881</v>
      </c>
      <c r="G37" s="17" t="str">
        <f>INDEX('Path Scorecard'!$Q$5:$Q$71,MATCH($E37,'Path Scorecard'!$H$5:$H$71,0))</f>
        <v>Probable Hero</v>
      </c>
      <c r="H37" s="6" t="str">
        <f>INDEX('Path Scorecard'!$AC$5:$AC$71,MATCH($E37,'Path Scorecard'!$H$5:$H$71,0))</f>
        <v>BUILD</v>
      </c>
      <c r="I37" s="17" t="str">
        <f>INDEX('Path Scorecard'!$AB$5:$AB$71,MATCH($E37,'Path Scorecard'!$H$5:$H$71,0))</f>
        <v>Parked (gate)</v>
      </c>
      <c r="J37" s="8" t="str">
        <f>INDEX('Path Scorecard'!$Z$5:$Z$71,MATCH($E37,'Path Scorecard'!$H$5:$H$71,0))</f>
        <v>-</v>
      </c>
      <c r="K37" s="10" t="str">
        <f>INDEX('Path Scorecard'!$AE$5:$AE$71,MATCH($E37,'Path Scorecard'!$H$5:$H$71,0))&amp;" / "&amp;INDEX('Path Scorecard'!$AF$5:$AF$71,MATCH($E37,'Path Scorecard'!$H$5:$H$71,0))</f>
        <v>- / -</v>
      </c>
      <c r="L37" s="10" t="s">
        <v>247</v>
      </c>
    </row>
    <row r="38" spans="1:12" ht="105.6" x14ac:dyDescent="0.3">
      <c r="A38" s="6" t="s">
        <v>152</v>
      </c>
      <c r="B38" s="6" t="s">
        <v>248</v>
      </c>
      <c r="C38" s="7" t="s">
        <v>27</v>
      </c>
      <c r="D38" s="6">
        <v>3</v>
      </c>
      <c r="E38" s="6" t="s">
        <v>249</v>
      </c>
      <c r="F38" s="16">
        <v>463</v>
      </c>
      <c r="G38" s="17" t="str">
        <f>INDEX('Path Scorecard'!$Q$5:$Q$71,MATCH($E38,'Path Scorecard'!$H$5:$H$71,0))</f>
        <v>Probable Hero</v>
      </c>
      <c r="H38" s="6" t="str">
        <f>INDEX('Path Scorecard'!$AC$5:$AC$71,MATCH($E38,'Path Scorecard'!$H$5:$H$71,0))</f>
        <v>BUILD</v>
      </c>
      <c r="I38" s="17" t="str">
        <f>INDEX('Path Scorecard'!$AB$5:$AB$71,MATCH($E38,'Path Scorecard'!$H$5:$H$71,0))</f>
        <v>Tier 1</v>
      </c>
      <c r="J38" s="8">
        <f>INDEX('Path Scorecard'!$Z$5:$Z$71,MATCH($E38,'Path Scorecard'!$H$5:$H$71,0))</f>
        <v>91</v>
      </c>
      <c r="K38" s="10" t="str">
        <f>INDEX('Path Scorecard'!$AE$5:$AE$71,MATCH($E38,'Path Scorecard'!$H$5:$H$71,0))&amp;" / "&amp;INDEX('Path Scorecard'!$AF$5:$AF$71,MATCH($E38,'Path Scorecard'!$H$5:$H$71,0))</f>
        <v>Dick's Sporting Goods / Target</v>
      </c>
      <c r="L38" s="10" t="s">
        <v>185</v>
      </c>
    </row>
    <row r="39" spans="1:12" ht="105.6" x14ac:dyDescent="0.3">
      <c r="A39" s="6" t="s">
        <v>152</v>
      </c>
      <c r="B39" s="6" t="s">
        <v>250</v>
      </c>
      <c r="C39" s="7" t="s">
        <v>251</v>
      </c>
      <c r="D39" s="6">
        <v>4</v>
      </c>
      <c r="E39" s="6" t="s">
        <v>252</v>
      </c>
      <c r="F39" s="16">
        <v>15</v>
      </c>
      <c r="G39" s="17" t="str">
        <f>INDEX('Path Scorecard'!$Q$5:$Q$71,MATCH($E39,'Path Scorecard'!$H$5:$H$71,0))</f>
        <v>Probable Hero</v>
      </c>
      <c r="H39" s="6" t="str">
        <f>INDEX('Path Scorecard'!$AC$5:$AC$71,MATCH($E39,'Path Scorecard'!$H$5:$H$71,0))</f>
        <v>BUILD</v>
      </c>
      <c r="I39" s="17" t="str">
        <f>INDEX('Path Scorecard'!$AB$5:$AB$71,MATCH($E39,'Path Scorecard'!$H$5:$H$71,0))</f>
        <v>Parked (gate)</v>
      </c>
      <c r="J39" s="8" t="str">
        <f>INDEX('Path Scorecard'!$Z$5:$Z$71,MATCH($E39,'Path Scorecard'!$H$5:$H$71,0))</f>
        <v>-</v>
      </c>
      <c r="K39" s="10" t="str">
        <f>INDEX('Path Scorecard'!$AE$5:$AE$71,MATCH($E39,'Path Scorecard'!$H$5:$H$71,0))&amp;" / "&amp;INDEX('Path Scorecard'!$AF$5:$AF$71,MATCH($E39,'Path Scorecard'!$H$5:$H$71,0))</f>
        <v>- / -</v>
      </c>
      <c r="L39" s="10" t="s">
        <v>253</v>
      </c>
    </row>
    <row r="40" spans="1:12" ht="79.2" x14ac:dyDescent="0.3">
      <c r="A40" s="6" t="s">
        <v>158</v>
      </c>
      <c r="B40" s="6" t="s">
        <v>254</v>
      </c>
      <c r="C40" s="7" t="s">
        <v>255</v>
      </c>
      <c r="D40" s="6">
        <v>3</v>
      </c>
      <c r="E40" s="6" t="s">
        <v>256</v>
      </c>
      <c r="F40" s="16">
        <v>99</v>
      </c>
      <c r="G40" s="17" t="str">
        <f>INDEX('Path Scorecard'!$Q$5:$Q$71,MATCH($E40,'Path Scorecard'!$H$5:$H$71,0))</f>
        <v>Probable Hero</v>
      </c>
      <c r="H40" s="6" t="str">
        <f>INDEX('Path Scorecard'!$AC$5:$AC$71,MATCH($E40,'Path Scorecard'!$H$5:$H$71,0))</f>
        <v>BUILD</v>
      </c>
      <c r="I40" s="17" t="str">
        <f>INDEX('Path Scorecard'!$AB$5:$AB$71,MATCH($E40,'Path Scorecard'!$H$5:$H$71,0))</f>
        <v>Tier 2</v>
      </c>
      <c r="J40" s="8">
        <f>INDEX('Path Scorecard'!$Z$5:$Z$71,MATCH($E40,'Path Scorecard'!$H$5:$H$71,0))</f>
        <v>77</v>
      </c>
      <c r="K40" s="10" t="str">
        <f>INDEX('Path Scorecard'!$AE$5:$AE$71,MATCH($E40,'Path Scorecard'!$H$5:$H$71,0))&amp;" / "&amp;INDEX('Path Scorecard'!$AF$5:$AF$71,MATCH($E40,'Path Scorecard'!$H$5:$H$71,0))</f>
        <v>Amazon / Uline</v>
      </c>
      <c r="L40" s="10" t="s">
        <v>189</v>
      </c>
    </row>
    <row r="41" spans="1:12" ht="66" x14ac:dyDescent="0.3">
      <c r="A41" s="6" t="s">
        <v>158</v>
      </c>
      <c r="B41" s="6" t="s">
        <v>257</v>
      </c>
      <c r="C41" s="7" t="s">
        <v>258</v>
      </c>
      <c r="D41" s="6">
        <v>3</v>
      </c>
      <c r="E41" s="6" t="s">
        <v>259</v>
      </c>
      <c r="F41" s="16">
        <v>148</v>
      </c>
      <c r="G41" s="17" t="str">
        <f>INDEX('Path Scorecard'!$Q$5:$Q$71,MATCH($E41,'Path Scorecard'!$H$5:$H$71,0))</f>
        <v>Hero</v>
      </c>
      <c r="H41" s="6" t="str">
        <f>INDEX('Path Scorecard'!$AC$5:$AC$71,MATCH($E41,'Path Scorecard'!$H$5:$H$71,0))</f>
        <v>EXTEND</v>
      </c>
      <c r="I41" s="17" t="str">
        <f>INDEX('Path Scorecard'!$AB$5:$AB$71,MATCH($E41,'Path Scorecard'!$H$5:$H$71,0))</f>
        <v>Tier 2</v>
      </c>
      <c r="J41" s="8">
        <f>INDEX('Path Scorecard'!$Z$5:$Z$71,MATCH($E41,'Path Scorecard'!$H$5:$H$71,0))</f>
        <v>73</v>
      </c>
      <c r="K41" s="10" t="str">
        <f>INDEX('Path Scorecard'!$AE$5:$AE$71,MATCH($E41,'Path Scorecard'!$H$5:$H$71,0))&amp;" / "&amp;INDEX('Path Scorecard'!$AF$5:$AF$71,MATCH($E41,'Path Scorecard'!$H$5:$H$71,0))</f>
        <v>Amazon / Michaels</v>
      </c>
      <c r="L41" s="10" t="s">
        <v>189</v>
      </c>
    </row>
    <row r="42" spans="1:12" ht="92.4" x14ac:dyDescent="0.3">
      <c r="A42" s="6" t="s">
        <v>158</v>
      </c>
      <c r="B42" s="6" t="s">
        <v>260</v>
      </c>
      <c r="C42" s="7" t="s">
        <v>261</v>
      </c>
      <c r="D42" s="6">
        <v>3</v>
      </c>
      <c r="E42" s="6" t="s">
        <v>262</v>
      </c>
      <c r="F42" s="16">
        <v>396</v>
      </c>
      <c r="G42" s="17" t="str">
        <f>INDEX('Path Scorecard'!$Q$5:$Q$71,MATCH($E42,'Path Scorecard'!$H$5:$H$71,0))</f>
        <v>Hero</v>
      </c>
      <c r="H42" s="6" t="str">
        <f>INDEX('Path Scorecard'!$AC$5:$AC$71,MATCH($E42,'Path Scorecard'!$H$5:$H$71,0))</f>
        <v>EXTEND</v>
      </c>
      <c r="I42" s="17" t="str">
        <f>INDEX('Path Scorecard'!$AB$5:$AB$71,MATCH($E42,'Path Scorecard'!$H$5:$H$71,0))</f>
        <v>Tier 2</v>
      </c>
      <c r="J42" s="8">
        <f>INDEX('Path Scorecard'!$Z$5:$Z$71,MATCH($E42,'Path Scorecard'!$H$5:$H$71,0))</f>
        <v>73</v>
      </c>
      <c r="K42" s="10" t="str">
        <f>INDEX('Path Scorecard'!$AE$5:$AE$71,MATCH($E42,'Path Scorecard'!$H$5:$H$71,0))&amp;" / "&amp;INDEX('Path Scorecard'!$AF$5:$AF$71,MATCH($E42,'Path Scorecard'!$H$5:$H$71,0))</f>
        <v>Amazon / Uline</v>
      </c>
      <c r="L42" s="10" t="s">
        <v>189</v>
      </c>
    </row>
    <row r="43" spans="1:12" ht="52.8" x14ac:dyDescent="0.3">
      <c r="A43" s="6" t="s">
        <v>158</v>
      </c>
      <c r="B43" s="6" t="s">
        <v>263</v>
      </c>
      <c r="C43" s="7" t="s">
        <v>264</v>
      </c>
      <c r="D43" s="6">
        <v>2</v>
      </c>
      <c r="E43" s="6" t="s">
        <v>265</v>
      </c>
      <c r="F43" s="16">
        <v>11493</v>
      </c>
      <c r="G43" s="17" t="str">
        <f>INDEX('Path Scorecard'!$Q$5:$Q$71,MATCH($E43,'Path Scorecard'!$H$5:$H$71,0))</f>
        <v>Hero</v>
      </c>
      <c r="H43" s="6" t="str">
        <f>INDEX('Path Scorecard'!$AC$5:$AC$71,MATCH($E43,'Path Scorecard'!$H$5:$H$71,0))</f>
        <v>PROTECT</v>
      </c>
      <c r="I43" s="17" t="str">
        <f>INDEX('Path Scorecard'!$AB$5:$AB$71,MATCH($E43,'Path Scorecard'!$H$5:$H$71,0))</f>
        <v>Parked (gate)</v>
      </c>
      <c r="J43" s="8" t="str">
        <f>INDEX('Path Scorecard'!$Z$5:$Z$71,MATCH($E43,'Path Scorecard'!$H$5:$H$71,0))</f>
        <v>-</v>
      </c>
      <c r="K43" s="10" t="str">
        <f>INDEX('Path Scorecard'!$AE$5:$AE$71,MATCH($E43,'Path Scorecard'!$H$5:$H$71,0))&amp;" / "&amp;INDEX('Path Scorecard'!$AF$5:$AF$71,MATCH($E43,'Path Scorecard'!$H$5:$H$71,0))</f>
        <v>- / -</v>
      </c>
      <c r="L43" s="10" t="s">
        <v>266</v>
      </c>
    </row>
    <row r="44" spans="1:12" ht="79.2" x14ac:dyDescent="0.3">
      <c r="A44" s="6" t="s">
        <v>158</v>
      </c>
      <c r="B44" s="6" t="s">
        <v>267</v>
      </c>
      <c r="C44" s="7" t="s">
        <v>268</v>
      </c>
      <c r="D44" s="6">
        <v>3</v>
      </c>
      <c r="E44" s="6" t="s">
        <v>269</v>
      </c>
      <c r="F44" s="16">
        <v>123</v>
      </c>
      <c r="G44" s="17" t="str">
        <f>INDEX('Path Scorecard'!$Q$5:$Q$71,MATCH($E44,'Path Scorecard'!$H$5:$H$71,0))</f>
        <v>Hero</v>
      </c>
      <c r="H44" s="6" t="str">
        <f>INDEX('Path Scorecard'!$AC$5:$AC$71,MATCH($E44,'Path Scorecard'!$H$5:$H$71,0))</f>
        <v>PROTECT</v>
      </c>
      <c r="I44" s="17" t="str">
        <f>INDEX('Path Scorecard'!$AB$5:$AB$71,MATCH($E44,'Path Scorecard'!$H$5:$H$71,0))</f>
        <v>Parked (gate)</v>
      </c>
      <c r="J44" s="8" t="str">
        <f>INDEX('Path Scorecard'!$Z$5:$Z$71,MATCH($E44,'Path Scorecard'!$H$5:$H$71,0))</f>
        <v>-</v>
      </c>
      <c r="K44" s="10" t="str">
        <f>INDEX('Path Scorecard'!$AE$5:$AE$71,MATCH($E44,'Path Scorecard'!$H$5:$H$71,0))&amp;" / "&amp;INDEX('Path Scorecard'!$AF$5:$AF$71,MATCH($E44,'Path Scorecard'!$H$5:$H$71,0))</f>
        <v>- / -</v>
      </c>
      <c r="L44" s="10" t="s">
        <v>270</v>
      </c>
    </row>
    <row r="45" spans="1:12" ht="92.4" x14ac:dyDescent="0.3">
      <c r="A45" s="6" t="s">
        <v>158</v>
      </c>
      <c r="B45" s="6" t="s">
        <v>271</v>
      </c>
      <c r="C45" s="7" t="s">
        <v>272</v>
      </c>
      <c r="D45" s="6">
        <v>3</v>
      </c>
      <c r="E45" s="6" t="s">
        <v>273</v>
      </c>
      <c r="F45" s="16">
        <v>149</v>
      </c>
      <c r="G45" s="17" t="str">
        <f>INDEX('Path Scorecard'!$Q$5:$Q$71,MATCH($E45,'Path Scorecard'!$H$5:$H$71,0))</f>
        <v>Hero</v>
      </c>
      <c r="H45" s="6" t="str">
        <f>INDEX('Path Scorecard'!$AC$5:$AC$71,MATCH($E45,'Path Scorecard'!$H$5:$H$71,0))</f>
        <v>PROTECT</v>
      </c>
      <c r="I45" s="17" t="str">
        <f>INDEX('Path Scorecard'!$AB$5:$AB$71,MATCH($E45,'Path Scorecard'!$H$5:$H$71,0))</f>
        <v>Parked (gate)</v>
      </c>
      <c r="J45" s="8" t="str">
        <f>INDEX('Path Scorecard'!$Z$5:$Z$71,MATCH($E45,'Path Scorecard'!$H$5:$H$71,0))</f>
        <v>-</v>
      </c>
      <c r="K45" s="10" t="str">
        <f>INDEX('Path Scorecard'!$AE$5:$AE$71,MATCH($E45,'Path Scorecard'!$H$5:$H$71,0))&amp;" / "&amp;INDEX('Path Scorecard'!$AF$5:$AF$71,MATCH($E45,'Path Scorecard'!$H$5:$H$71,0))</f>
        <v>- / -</v>
      </c>
      <c r="L45" s="10" t="s">
        <v>270</v>
      </c>
    </row>
    <row r="46" spans="1:12" ht="92.4" x14ac:dyDescent="0.3">
      <c r="A46" s="6" t="s">
        <v>166</v>
      </c>
      <c r="B46" s="6" t="s">
        <v>274</v>
      </c>
      <c r="C46" s="7" t="s">
        <v>20</v>
      </c>
      <c r="D46" s="6">
        <v>3</v>
      </c>
      <c r="E46" s="6" t="s">
        <v>275</v>
      </c>
      <c r="F46" s="16">
        <v>1037</v>
      </c>
      <c r="G46" s="17" t="str">
        <f>INDEX('Path Scorecard'!$Q$5:$Q$71,MATCH($E46,'Path Scorecard'!$H$5:$H$71,0))</f>
        <v>Hero</v>
      </c>
      <c r="H46" s="6" t="str">
        <f>INDEX('Path Scorecard'!$AC$5:$AC$71,MATCH($E46,'Path Scorecard'!$H$5:$H$71,0))</f>
        <v>EXTEND</v>
      </c>
      <c r="I46" s="17" t="str">
        <f>INDEX('Path Scorecard'!$AB$5:$AB$71,MATCH($E46,'Path Scorecard'!$H$5:$H$71,0))</f>
        <v>Tier 1</v>
      </c>
      <c r="J46" s="8">
        <f>INDEX('Path Scorecard'!$Z$5:$Z$71,MATCH($E46,'Path Scorecard'!$H$5:$H$71,0))</f>
        <v>95</v>
      </c>
      <c r="K46" s="10" t="str">
        <f>INDEX('Path Scorecard'!$AE$5:$AE$71,MATCH($E46,'Path Scorecard'!$H$5:$H$71,0))&amp;" / "&amp;INDEX('Path Scorecard'!$AF$5:$AF$71,MATCH($E46,'Path Scorecard'!$H$5:$H$71,0))</f>
        <v>Amazon / Michaels</v>
      </c>
      <c r="L46" s="10" t="s">
        <v>185</v>
      </c>
    </row>
    <row r="47" spans="1:12" ht="79.2" x14ac:dyDescent="0.3">
      <c r="A47" s="6" t="s">
        <v>166</v>
      </c>
      <c r="B47" s="6" t="s">
        <v>276</v>
      </c>
      <c r="C47" s="7" t="s">
        <v>277</v>
      </c>
      <c r="D47" s="6">
        <v>3</v>
      </c>
      <c r="E47" s="6" t="s">
        <v>278</v>
      </c>
      <c r="F47" s="16">
        <v>253</v>
      </c>
      <c r="G47" s="17" t="str">
        <f>INDEX('Path Scorecard'!$Q$5:$Q$71,MATCH($E47,'Path Scorecard'!$H$5:$H$71,0))</f>
        <v>Probable Hero</v>
      </c>
      <c r="H47" s="6" t="str">
        <f>INDEX('Path Scorecard'!$AC$5:$AC$71,MATCH($E47,'Path Scorecard'!$H$5:$H$71,0))</f>
        <v>BUILD</v>
      </c>
      <c r="I47" s="17" t="str">
        <f>INDEX('Path Scorecard'!$AB$5:$AB$71,MATCH($E47,'Path Scorecard'!$H$5:$H$71,0))</f>
        <v>Tier 2</v>
      </c>
      <c r="J47" s="8">
        <f>INDEX('Path Scorecard'!$Z$5:$Z$71,MATCH($E47,'Path Scorecard'!$H$5:$H$71,0))</f>
        <v>80</v>
      </c>
      <c r="K47" s="10" t="str">
        <f>INDEX('Path Scorecard'!$AE$5:$AE$71,MATCH($E47,'Path Scorecard'!$H$5:$H$71,0))&amp;" / "&amp;INDEX('Path Scorecard'!$AF$5:$AF$71,MATCH($E47,'Path Scorecard'!$H$5:$H$71,0))</f>
        <v>Amazon / Michaels</v>
      </c>
      <c r="L47" s="10" t="s">
        <v>189</v>
      </c>
    </row>
    <row r="48" spans="1:12" ht="92.4" x14ac:dyDescent="0.3">
      <c r="A48" s="6" t="s">
        <v>166</v>
      </c>
      <c r="B48" s="6" t="s">
        <v>279</v>
      </c>
      <c r="C48" s="7" t="s">
        <v>280</v>
      </c>
      <c r="D48" s="6">
        <v>3</v>
      </c>
      <c r="E48" s="6" t="s">
        <v>281</v>
      </c>
      <c r="F48" s="16">
        <v>166</v>
      </c>
      <c r="G48" s="17" t="str">
        <f>INDEX('Path Scorecard'!$Q$5:$Q$71,MATCH($E48,'Path Scorecard'!$H$5:$H$71,0))</f>
        <v>Probable Hero</v>
      </c>
      <c r="H48" s="6" t="str">
        <f>INDEX('Path Scorecard'!$AC$5:$AC$71,MATCH($E48,'Path Scorecard'!$H$5:$H$71,0))</f>
        <v>BUILD</v>
      </c>
      <c r="I48" s="17" t="str">
        <f>INDEX('Path Scorecard'!$AB$5:$AB$71,MATCH($E48,'Path Scorecard'!$H$5:$H$71,0))</f>
        <v>Tier 2</v>
      </c>
      <c r="J48" s="8">
        <f>INDEX('Path Scorecard'!$Z$5:$Z$71,MATCH($E48,'Path Scorecard'!$H$5:$H$71,0))</f>
        <v>78</v>
      </c>
      <c r="K48" s="10" t="str">
        <f>INDEX('Path Scorecard'!$AE$5:$AE$71,MATCH($E48,'Path Scorecard'!$H$5:$H$71,0))&amp;" / "&amp;INDEX('Path Scorecard'!$AF$5:$AF$71,MATCH($E48,'Path Scorecard'!$H$5:$H$71,0))</f>
        <v>Michaels / Amazon</v>
      </c>
      <c r="L48" s="10" t="s">
        <v>189</v>
      </c>
    </row>
    <row r="49" spans="1:12" ht="92.4" x14ac:dyDescent="0.3">
      <c r="A49" s="6" t="s">
        <v>166</v>
      </c>
      <c r="B49" s="6" t="s">
        <v>282</v>
      </c>
      <c r="C49" s="7" t="s">
        <v>283</v>
      </c>
      <c r="D49" s="6">
        <v>4</v>
      </c>
      <c r="E49" s="6" t="s">
        <v>284</v>
      </c>
      <c r="F49" s="16">
        <v>32</v>
      </c>
      <c r="G49" s="17" t="str">
        <f>INDEX('Path Scorecard'!$Q$5:$Q$71,MATCH($E49,'Path Scorecard'!$H$5:$H$71,0))</f>
        <v>Probable Hero</v>
      </c>
      <c r="H49" s="6" t="str">
        <f>INDEX('Path Scorecard'!$AC$5:$AC$71,MATCH($E49,'Path Scorecard'!$H$5:$H$71,0))</f>
        <v>BUILD</v>
      </c>
      <c r="I49" s="17" t="str">
        <f>INDEX('Path Scorecard'!$AB$5:$AB$71,MATCH($E49,'Path Scorecard'!$H$5:$H$71,0))</f>
        <v>Tier 2</v>
      </c>
      <c r="J49" s="8">
        <f>INDEX('Path Scorecard'!$Z$5:$Z$71,MATCH($E49,'Path Scorecard'!$H$5:$H$71,0))</f>
        <v>78</v>
      </c>
      <c r="K49" s="10" t="str">
        <f>INDEX('Path Scorecard'!$AE$5:$AE$71,MATCH($E49,'Path Scorecard'!$H$5:$H$71,0))&amp;" / "&amp;INDEX('Path Scorecard'!$AF$5:$AF$71,MATCH($E49,'Path Scorecard'!$H$5:$H$71,0))</f>
        <v>Michaels / Amazon</v>
      </c>
      <c r="L49" s="10" t="s">
        <v>189</v>
      </c>
    </row>
    <row r="50" spans="1:12" ht="66" x14ac:dyDescent="0.3">
      <c r="A50" s="6" t="s">
        <v>166</v>
      </c>
      <c r="B50" s="6" t="s">
        <v>285</v>
      </c>
      <c r="C50" s="7" t="s">
        <v>286</v>
      </c>
      <c r="D50" s="6">
        <v>3</v>
      </c>
      <c r="E50" s="6" t="s">
        <v>287</v>
      </c>
      <c r="F50" s="16">
        <v>1234</v>
      </c>
      <c r="G50" s="17" t="str">
        <f>INDEX('Path Scorecard'!$Q$5:$Q$71,MATCH($E50,'Path Scorecard'!$H$5:$H$71,0))</f>
        <v>Hero</v>
      </c>
      <c r="H50" s="6" t="str">
        <f>INDEX('Path Scorecard'!$AC$5:$AC$71,MATCH($E50,'Path Scorecard'!$H$5:$H$71,0))</f>
        <v>EXTEND</v>
      </c>
      <c r="I50" s="17" t="str">
        <f>INDEX('Path Scorecard'!$AB$5:$AB$71,MATCH($E50,'Path Scorecard'!$H$5:$H$71,0))</f>
        <v>Tier 2</v>
      </c>
      <c r="J50" s="8">
        <f>INDEX('Path Scorecard'!$Z$5:$Z$71,MATCH($E50,'Path Scorecard'!$H$5:$H$71,0))</f>
        <v>74</v>
      </c>
      <c r="K50" s="10" t="str">
        <f>INDEX('Path Scorecard'!$AE$5:$AE$71,MATCH($E50,'Path Scorecard'!$H$5:$H$71,0))&amp;" / "&amp;INDEX('Path Scorecard'!$AF$5:$AF$71,MATCH($E50,'Path Scorecard'!$H$5:$H$71,0))</f>
        <v>Amazon / Target</v>
      </c>
      <c r="L50" s="10" t="s">
        <v>189</v>
      </c>
    </row>
    <row r="51" spans="1:12" ht="66" x14ac:dyDescent="0.3">
      <c r="A51" s="6" t="s">
        <v>166</v>
      </c>
      <c r="B51" s="6" t="s">
        <v>288</v>
      </c>
      <c r="C51" s="7" t="s">
        <v>289</v>
      </c>
      <c r="D51" s="6">
        <v>3</v>
      </c>
      <c r="E51" s="6" t="s">
        <v>290</v>
      </c>
      <c r="F51" s="16">
        <v>63</v>
      </c>
      <c r="G51" s="17" t="str">
        <f>INDEX('Path Scorecard'!$Q$5:$Q$71,MATCH($E51,'Path Scorecard'!$H$5:$H$71,0))</f>
        <v>Probable Hero</v>
      </c>
      <c r="H51" s="6" t="str">
        <f>INDEX('Path Scorecard'!$AC$5:$AC$71,MATCH($E51,'Path Scorecard'!$H$5:$H$71,0))</f>
        <v>BUILD</v>
      </c>
      <c r="I51" s="17" t="str">
        <f>INDEX('Path Scorecard'!$AB$5:$AB$71,MATCH($E51,'Path Scorecard'!$H$5:$H$71,0))</f>
        <v>Tier 2</v>
      </c>
      <c r="J51" s="8">
        <f>INDEX('Path Scorecard'!$Z$5:$Z$71,MATCH($E51,'Path Scorecard'!$H$5:$H$71,0))</f>
        <v>72</v>
      </c>
      <c r="K51" s="10" t="str">
        <f>INDEX('Path Scorecard'!$AE$5:$AE$71,MATCH($E51,'Path Scorecard'!$H$5:$H$71,0))&amp;" / "&amp;INDEX('Path Scorecard'!$AF$5:$AF$71,MATCH($E51,'Path Scorecard'!$H$5:$H$71,0))</f>
        <v>Amazon / Wayfair</v>
      </c>
      <c r="L51" s="10" t="s">
        <v>189</v>
      </c>
    </row>
    <row r="52" spans="1:12" ht="66" x14ac:dyDescent="0.3">
      <c r="A52" s="6" t="s">
        <v>166</v>
      </c>
      <c r="B52" s="6" t="s">
        <v>291</v>
      </c>
      <c r="C52" s="7" t="s">
        <v>292</v>
      </c>
      <c r="D52" s="6">
        <v>3</v>
      </c>
      <c r="E52" s="6" t="s">
        <v>293</v>
      </c>
      <c r="F52" s="16">
        <v>66</v>
      </c>
      <c r="G52" s="17" t="str">
        <f>INDEX('Path Scorecard'!$Q$5:$Q$71,MATCH($E52,'Path Scorecard'!$H$5:$H$71,0))</f>
        <v>Non-Hero</v>
      </c>
      <c r="H52" s="6" t="str">
        <f>INDEX('Path Scorecard'!$AC$5:$AC$71,MATCH($E52,'Path Scorecard'!$H$5:$H$71,0))</f>
        <v>HOLD</v>
      </c>
      <c r="I52" s="17" t="str">
        <f>INDEX('Path Scorecard'!$AB$5:$AB$71,MATCH($E52,'Path Scorecard'!$H$5:$H$71,0))</f>
        <v>Tier 3</v>
      </c>
      <c r="J52" s="8">
        <f>INDEX('Path Scorecard'!$Z$5:$Z$71,MATCH($E52,'Path Scorecard'!$H$5:$H$71,0))</f>
        <v>63</v>
      </c>
      <c r="K52" s="10" t="str">
        <f>INDEX('Path Scorecard'!$AE$5:$AE$71,MATCH($E52,'Path Scorecard'!$H$5:$H$71,0))&amp;" / "&amp;INDEX('Path Scorecard'!$AF$5:$AF$71,MATCH($E52,'Path Scorecard'!$H$5:$H$71,0))</f>
        <v>Michaels / Container Store</v>
      </c>
      <c r="L52" s="10" t="s">
        <v>199</v>
      </c>
    </row>
    <row r="53" spans="1:12" ht="79.2" x14ac:dyDescent="0.3">
      <c r="A53" s="6" t="s">
        <v>166</v>
      </c>
      <c r="B53" s="6" t="s">
        <v>294</v>
      </c>
      <c r="C53" s="7" t="s">
        <v>295</v>
      </c>
      <c r="D53" s="6">
        <v>3</v>
      </c>
      <c r="E53" s="6" t="s">
        <v>296</v>
      </c>
      <c r="F53" s="16">
        <v>660</v>
      </c>
      <c r="G53" s="17" t="str">
        <f>INDEX('Path Scorecard'!$Q$5:$Q$71,MATCH($E53,'Path Scorecard'!$H$5:$H$71,0))</f>
        <v>Hero</v>
      </c>
      <c r="H53" s="6" t="str">
        <f>INDEX('Path Scorecard'!$AC$5:$AC$71,MATCH($E53,'Path Scorecard'!$H$5:$H$71,0))</f>
        <v>EXTEND</v>
      </c>
      <c r="I53" s="17" t="str">
        <f>INDEX('Path Scorecard'!$AB$5:$AB$71,MATCH($E53,'Path Scorecard'!$H$5:$H$71,0))</f>
        <v>Tier 2</v>
      </c>
      <c r="J53" s="8">
        <f>INDEX('Path Scorecard'!$Z$5:$Z$71,MATCH($E53,'Path Scorecard'!$H$5:$H$71,0))</f>
        <v>72</v>
      </c>
      <c r="K53" s="10" t="str">
        <f>INDEX('Path Scorecard'!$AE$5:$AE$71,MATCH($E53,'Path Scorecard'!$H$5:$H$71,0))&amp;" / "&amp;INDEX('Path Scorecard'!$AF$5:$AF$71,MATCH($E53,'Path Scorecard'!$H$5:$H$71,0))</f>
        <v>Target / Amazon</v>
      </c>
      <c r="L53" s="10" t="s">
        <v>189</v>
      </c>
    </row>
  </sheetData>
  <conditionalFormatting sqref="G17:G53">
    <cfRule type="expression" dxfId="36" priority="1">
      <formula>$G17="Hero"</formula>
    </cfRule>
    <cfRule type="expression" dxfId="35" priority="2">
      <formula>$G17="Probable Hero"</formula>
    </cfRule>
    <cfRule type="expression" dxfId="34" priority="3">
      <formula>$G17="Non-Hero"</formula>
    </cfRule>
  </conditionalFormatting>
  <conditionalFormatting sqref="I17:I53">
    <cfRule type="expression" dxfId="33" priority="4">
      <formula>LEFT($I17,6)="Tier 1"</formula>
    </cfRule>
    <cfRule type="expression" dxfId="32" priority="5">
      <formula>LEFT($I17,6)="Tier 2"</formula>
    </cfRule>
    <cfRule type="expression" dxfId="31" priority="6">
      <formula>LEFT($I17,6)="Tier 3"</formula>
    </cfRule>
    <cfRule type="expression" dxfId="30" priority="7">
      <formula>LEFT($I17,6)="Parked"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T37"/>
  <sheetViews>
    <sheetView showGridLines="0" workbookViewId="0">
      <pane xSplit="6" ySplit="4" topLeftCell="G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8" customWidth="1"/>
    <col min="3" max="3" width="13" customWidth="1"/>
    <col min="4" max="4" width="11" customWidth="1"/>
    <col min="5" max="5" width="7" customWidth="1"/>
    <col min="6" max="6" width="52" customWidth="1"/>
    <col min="7" max="7" width="6" customWidth="1"/>
    <col min="8" max="8" width="11" customWidth="1"/>
    <col min="9" max="10" width="9" customWidth="1"/>
    <col min="11" max="11" width="8" customWidth="1"/>
    <col min="12" max="13" width="18" customWidth="1"/>
    <col min="14" max="15" width="48" customWidth="1"/>
    <col min="16" max="16" width="36" customWidth="1"/>
    <col min="17" max="17" width="26" customWidth="1"/>
    <col min="18" max="18" width="36" customWidth="1"/>
    <col min="19" max="19" width="44" customWidth="1"/>
    <col min="20" max="20" width="40" customWidth="1"/>
  </cols>
  <sheetData>
    <row r="1" spans="1:20" ht="21" x14ac:dyDescent="0.4">
      <c r="A1" s="1" t="s">
        <v>297</v>
      </c>
    </row>
    <row r="2" spans="1:20" x14ac:dyDescent="0.3">
      <c r="A2" s="2" t="s">
        <v>298</v>
      </c>
    </row>
    <row r="4" spans="1:20" ht="30" customHeight="1" x14ac:dyDescent="0.3">
      <c r="A4" s="5" t="s">
        <v>299</v>
      </c>
      <c r="B4" s="5" t="s">
        <v>180</v>
      </c>
      <c r="C4" s="5" t="s">
        <v>178</v>
      </c>
      <c r="D4" s="5" t="s">
        <v>179</v>
      </c>
      <c r="E4" s="5" t="s">
        <v>12</v>
      </c>
      <c r="F4" s="5" t="s">
        <v>175</v>
      </c>
      <c r="G4" s="5" t="s">
        <v>13</v>
      </c>
      <c r="H4" s="5" t="s">
        <v>176</v>
      </c>
      <c r="I4" s="5" t="s">
        <v>177</v>
      </c>
      <c r="J4" s="5" t="s">
        <v>300</v>
      </c>
      <c r="K4" s="5" t="s">
        <v>19</v>
      </c>
      <c r="L4" s="5" t="s">
        <v>15</v>
      </c>
      <c r="M4" s="5" t="s">
        <v>16</v>
      </c>
      <c r="N4" s="5" t="s">
        <v>301</v>
      </c>
      <c r="O4" s="5" t="s">
        <v>302</v>
      </c>
      <c r="P4" s="5" t="s">
        <v>303</v>
      </c>
      <c r="Q4" s="5" t="s">
        <v>18</v>
      </c>
      <c r="R4" s="5" t="s">
        <v>304</v>
      </c>
      <c r="S4" s="5" t="s">
        <v>305</v>
      </c>
      <c r="T4" s="5" t="s">
        <v>306</v>
      </c>
    </row>
    <row r="5" spans="1:20" ht="90" customHeight="1" x14ac:dyDescent="0.3">
      <c r="A5" s="6">
        <f>INDEX('Path Scorecard'!$AA$5:$AA$71,MATCH($H5,'Path Scorecard'!$H$5:$H$71,0))</f>
        <v>1</v>
      </c>
      <c r="B5" s="17" t="str">
        <f>INDEX('Path Scorecard'!$AB$5:$AB$71,MATCH($H5,'Path Scorecard'!$H$5:$H$71,0))</f>
        <v>Tier 1</v>
      </c>
      <c r="C5" s="17" t="str">
        <f>INDEX('Path Scorecard'!$Q$5:$Q$71,MATCH($H5,'Path Scorecard'!$H$5:$H$71,0))</f>
        <v>Hero</v>
      </c>
      <c r="D5" s="17" t="str">
        <f>INDEX('Path Scorecard'!$AC$5:$AC$71,MATCH($H5,'Path Scorecard'!$H$5:$H$71,0))</f>
        <v>EXTEND</v>
      </c>
      <c r="E5" s="8">
        <f>INDEX('Path Scorecard'!$Z$5:$Z$71,MATCH($H5,'Path Scorecard'!$H$5:$H$71,0))</f>
        <v>95</v>
      </c>
      <c r="F5" s="7" t="s">
        <v>20</v>
      </c>
      <c r="G5" s="6">
        <v>3</v>
      </c>
      <c r="H5" s="6" t="s">
        <v>275</v>
      </c>
      <c r="I5" s="16">
        <v>1037</v>
      </c>
      <c r="J5" s="16">
        <v>1016</v>
      </c>
      <c r="K5" s="6" t="str">
        <f>INDEX('Path Scorecard'!$AD$5:$AD$71,MATCH($H5,'Path Scorecard'!$H$5:$H$71,0))</f>
        <v>Yes</v>
      </c>
      <c r="L5" s="7" t="str">
        <f>INDEX('Path Scorecard'!$AE$5:$AE$71,MATCH($H5,'Path Scorecard'!$H$5:$H$71,0))</f>
        <v>Amazon</v>
      </c>
      <c r="M5" s="10" t="str">
        <f>INDEX('Path Scorecard'!$AF$5:$AF$71,MATCH($H5,'Path Scorecard'!$H$5:$H$71,0))</f>
        <v>Michaels</v>
      </c>
      <c r="N5" s="10" t="s">
        <v>307</v>
      </c>
      <c r="O5" s="10" t="s">
        <v>308</v>
      </c>
      <c r="P5" s="10" t="s">
        <v>309</v>
      </c>
      <c r="Q5" s="10" t="s">
        <v>23</v>
      </c>
      <c r="R5" s="10" t="s">
        <v>22</v>
      </c>
      <c r="S5" s="10" t="s">
        <v>310</v>
      </c>
      <c r="T5" s="10" t="s">
        <v>311</v>
      </c>
    </row>
    <row r="6" spans="1:20" ht="90" customHeight="1" x14ac:dyDescent="0.3">
      <c r="A6" s="6">
        <f>INDEX('Path Scorecard'!$AA$5:$AA$71,MATCH($H6,'Path Scorecard'!$H$5:$H$71,0))</f>
        <v>2</v>
      </c>
      <c r="B6" s="17" t="str">
        <f>INDEX('Path Scorecard'!$AB$5:$AB$71,MATCH($H6,'Path Scorecard'!$H$5:$H$71,0))</f>
        <v>Tier 1</v>
      </c>
      <c r="C6" s="17" t="str">
        <f>INDEX('Path Scorecard'!$Q$5:$Q$71,MATCH($H6,'Path Scorecard'!$H$5:$H$71,0))</f>
        <v>Hero</v>
      </c>
      <c r="D6" s="17" t="str">
        <f>INDEX('Path Scorecard'!$AC$5:$AC$71,MATCH($H6,'Path Scorecard'!$H$5:$H$71,0))</f>
        <v>EXTEND</v>
      </c>
      <c r="E6" s="8">
        <f>INDEX('Path Scorecard'!$Z$5:$Z$71,MATCH($H6,'Path Scorecard'!$H$5:$H$71,0))</f>
        <v>91</v>
      </c>
      <c r="F6" s="7" t="s">
        <v>24</v>
      </c>
      <c r="G6" s="6">
        <v>3</v>
      </c>
      <c r="H6" s="6" t="s">
        <v>312</v>
      </c>
      <c r="I6" s="16">
        <v>342</v>
      </c>
      <c r="J6" s="16">
        <v>0</v>
      </c>
      <c r="K6" s="6" t="str">
        <f>INDEX('Path Scorecard'!$AD$5:$AD$71,MATCH($H6,'Path Scorecard'!$H$5:$H$71,0))</f>
        <v/>
      </c>
      <c r="L6" s="7" t="str">
        <f>INDEX('Path Scorecard'!$AE$5:$AE$71,MATCH($H6,'Path Scorecard'!$H$5:$H$71,0))</f>
        <v>Target</v>
      </c>
      <c r="M6" s="10" t="str">
        <f>INDEX('Path Scorecard'!$AF$5:$AF$71,MATCH($H6,'Path Scorecard'!$H$5:$H$71,0))</f>
        <v>Amazon</v>
      </c>
      <c r="N6" s="10" t="s">
        <v>313</v>
      </c>
      <c r="O6" s="10" t="s">
        <v>314</v>
      </c>
      <c r="P6" s="10" t="s">
        <v>315</v>
      </c>
      <c r="Q6" s="10" t="s">
        <v>26</v>
      </c>
      <c r="R6" s="10" t="s">
        <v>25</v>
      </c>
      <c r="S6" s="10" t="s">
        <v>316</v>
      </c>
      <c r="T6" s="10" t="s">
        <v>317</v>
      </c>
    </row>
    <row r="7" spans="1:20" ht="90" customHeight="1" x14ac:dyDescent="0.3">
      <c r="A7" s="6">
        <f>INDEX('Path Scorecard'!$AA$5:$AA$71,MATCH($H7,'Path Scorecard'!$H$5:$H$71,0))</f>
        <v>2</v>
      </c>
      <c r="B7" s="17" t="str">
        <f>INDEX('Path Scorecard'!$AB$5:$AB$71,MATCH($H7,'Path Scorecard'!$H$5:$H$71,0))</f>
        <v>Tier 1</v>
      </c>
      <c r="C7" s="17" t="str">
        <f>INDEX('Path Scorecard'!$Q$5:$Q$71,MATCH($H7,'Path Scorecard'!$H$5:$H$71,0))</f>
        <v>Probable Hero</v>
      </c>
      <c r="D7" s="17" t="str">
        <f>INDEX('Path Scorecard'!$AC$5:$AC$71,MATCH($H7,'Path Scorecard'!$H$5:$H$71,0))</f>
        <v>BUILD</v>
      </c>
      <c r="E7" s="8">
        <f>INDEX('Path Scorecard'!$Z$5:$Z$71,MATCH($H7,'Path Scorecard'!$H$5:$H$71,0))</f>
        <v>91</v>
      </c>
      <c r="F7" s="7" t="s">
        <v>27</v>
      </c>
      <c r="G7" s="6">
        <v>3</v>
      </c>
      <c r="H7" s="6" t="s">
        <v>249</v>
      </c>
      <c r="I7" s="16">
        <v>463</v>
      </c>
      <c r="J7" s="16">
        <v>462</v>
      </c>
      <c r="K7" s="6" t="str">
        <f>INDEX('Path Scorecard'!$AD$5:$AD$71,MATCH($H7,'Path Scorecard'!$H$5:$H$71,0))</f>
        <v>Yes</v>
      </c>
      <c r="L7" s="7" t="str">
        <f>INDEX('Path Scorecard'!$AE$5:$AE$71,MATCH($H7,'Path Scorecard'!$H$5:$H$71,0))</f>
        <v>Dick's Sporting Goods</v>
      </c>
      <c r="M7" s="10" t="str">
        <f>INDEX('Path Scorecard'!$AF$5:$AF$71,MATCH($H7,'Path Scorecard'!$H$5:$H$71,0))</f>
        <v>Target</v>
      </c>
      <c r="N7" s="10" t="s">
        <v>318</v>
      </c>
      <c r="O7" s="10" t="s">
        <v>319</v>
      </c>
      <c r="P7" s="10" t="s">
        <v>320</v>
      </c>
      <c r="Q7" s="10" t="s">
        <v>29</v>
      </c>
      <c r="R7" s="10" t="s">
        <v>28</v>
      </c>
      <c r="S7" s="10" t="s">
        <v>321</v>
      </c>
      <c r="T7" s="10" t="s">
        <v>322</v>
      </c>
    </row>
    <row r="8" spans="1:20" ht="90" customHeight="1" x14ac:dyDescent="0.3">
      <c r="A8" s="6">
        <f>INDEX('Path Scorecard'!$AA$5:$AA$71,MATCH($H8,'Path Scorecard'!$H$5:$H$71,0))</f>
        <v>4</v>
      </c>
      <c r="B8" s="17" t="str">
        <f>INDEX('Path Scorecard'!$AB$5:$AB$71,MATCH($H8,'Path Scorecard'!$H$5:$H$71,0))</f>
        <v>Tier 1</v>
      </c>
      <c r="C8" s="17" t="str">
        <f>INDEX('Path Scorecard'!$Q$5:$Q$71,MATCH($H8,'Path Scorecard'!$H$5:$H$71,0))</f>
        <v>Probable Hero</v>
      </c>
      <c r="D8" s="17" t="str">
        <f>INDEX('Path Scorecard'!$AC$5:$AC$71,MATCH($H8,'Path Scorecard'!$H$5:$H$71,0))</f>
        <v>BUILD</v>
      </c>
      <c r="E8" s="8">
        <f>INDEX('Path Scorecard'!$Z$5:$Z$71,MATCH($H8,'Path Scorecard'!$H$5:$H$71,0))</f>
        <v>89</v>
      </c>
      <c r="F8" s="7" t="s">
        <v>30</v>
      </c>
      <c r="G8" s="6">
        <v>3</v>
      </c>
      <c r="H8" s="6" t="s">
        <v>184</v>
      </c>
      <c r="I8" s="16">
        <v>229</v>
      </c>
      <c r="J8" s="16">
        <v>199</v>
      </c>
      <c r="K8" s="6" t="str">
        <f>INDEX('Path Scorecard'!$AD$5:$AD$71,MATCH($H8,'Path Scorecard'!$H$5:$H$71,0))</f>
        <v>Yes</v>
      </c>
      <c r="L8" s="7" t="str">
        <f>INDEX('Path Scorecard'!$AE$5:$AE$71,MATCH($H8,'Path Scorecard'!$H$5:$H$71,0))</f>
        <v>Wayfair</v>
      </c>
      <c r="M8" s="10" t="str">
        <f>INDEX('Path Scorecard'!$AF$5:$AF$71,MATCH($H8,'Path Scorecard'!$H$5:$H$71,0))</f>
        <v>Amazon</v>
      </c>
      <c r="N8" s="10" t="s">
        <v>323</v>
      </c>
      <c r="O8" s="10" t="s">
        <v>324</v>
      </c>
      <c r="P8" s="10" t="s">
        <v>325</v>
      </c>
      <c r="Q8" s="10" t="s">
        <v>32</v>
      </c>
      <c r="R8" s="10" t="s">
        <v>31</v>
      </c>
      <c r="S8" s="10" t="s">
        <v>326</v>
      </c>
      <c r="T8" s="10" t="s">
        <v>327</v>
      </c>
    </row>
    <row r="9" spans="1:20" ht="90" customHeight="1" x14ac:dyDescent="0.3">
      <c r="A9" s="6">
        <f>INDEX('Path Scorecard'!$AA$5:$AA$71,MATCH($H9,'Path Scorecard'!$H$5:$H$71,0))</f>
        <v>5</v>
      </c>
      <c r="B9" s="17" t="str">
        <f>INDEX('Path Scorecard'!$AB$5:$AB$71,MATCH($H9,'Path Scorecard'!$H$5:$H$71,0))</f>
        <v>Tier 1</v>
      </c>
      <c r="C9" s="17" t="str">
        <f>INDEX('Path Scorecard'!$Q$5:$Q$71,MATCH($H9,'Path Scorecard'!$H$5:$H$71,0))</f>
        <v>Probable Hero</v>
      </c>
      <c r="D9" s="17" t="str">
        <f>INDEX('Path Scorecard'!$AC$5:$AC$71,MATCH($H9,'Path Scorecard'!$H$5:$H$71,0))</f>
        <v>BUILD</v>
      </c>
      <c r="E9" s="8">
        <f>INDEX('Path Scorecard'!$Z$5:$Z$71,MATCH($H9,'Path Scorecard'!$H$5:$H$71,0))</f>
        <v>86</v>
      </c>
      <c r="F9" s="7" t="s">
        <v>33</v>
      </c>
      <c r="G9" s="6">
        <v>3</v>
      </c>
      <c r="H9" s="6" t="s">
        <v>220</v>
      </c>
      <c r="I9" s="16">
        <v>210</v>
      </c>
      <c r="J9" s="16">
        <v>195</v>
      </c>
      <c r="K9" s="6" t="str">
        <f>INDEX('Path Scorecard'!$AD$5:$AD$71,MATCH($H9,'Path Scorecard'!$H$5:$H$71,0))</f>
        <v>Yes</v>
      </c>
      <c r="L9" s="7" t="str">
        <f>INDEX('Path Scorecard'!$AE$5:$AE$71,MATCH($H9,'Path Scorecard'!$H$5:$H$71,0))</f>
        <v>Wayfair</v>
      </c>
      <c r="M9" s="10" t="str">
        <f>INDEX('Path Scorecard'!$AF$5:$AF$71,MATCH($H9,'Path Scorecard'!$H$5:$H$71,0))</f>
        <v>Amazon</v>
      </c>
      <c r="N9" s="10" t="s">
        <v>328</v>
      </c>
      <c r="O9" s="10" t="s">
        <v>329</v>
      </c>
      <c r="P9" s="10" t="s">
        <v>330</v>
      </c>
      <c r="Q9" s="10" t="s">
        <v>35</v>
      </c>
      <c r="R9" s="10" t="s">
        <v>34</v>
      </c>
      <c r="S9" s="10" t="s">
        <v>331</v>
      </c>
      <c r="T9" s="10" t="s">
        <v>332</v>
      </c>
    </row>
    <row r="10" spans="1:20" ht="90" customHeight="1" x14ac:dyDescent="0.3">
      <c r="A10" s="6">
        <f>INDEX('Path Scorecard'!$AA$5:$AA$71,MATCH($H10,'Path Scorecard'!$H$5:$H$71,0))</f>
        <v>5</v>
      </c>
      <c r="B10" s="17" t="str">
        <f>INDEX('Path Scorecard'!$AB$5:$AB$71,MATCH($H10,'Path Scorecard'!$H$5:$H$71,0))</f>
        <v>Tier 1</v>
      </c>
      <c r="C10" s="17" t="str">
        <f>INDEX('Path Scorecard'!$Q$5:$Q$71,MATCH($H10,'Path Scorecard'!$H$5:$H$71,0))</f>
        <v>Probable Hero</v>
      </c>
      <c r="D10" s="17" t="str">
        <f>INDEX('Path Scorecard'!$AC$5:$AC$71,MATCH($H10,'Path Scorecard'!$H$5:$H$71,0))</f>
        <v>BUILD</v>
      </c>
      <c r="E10" s="8">
        <f>INDEX('Path Scorecard'!$Z$5:$Z$71,MATCH($H10,'Path Scorecard'!$H$5:$H$71,0))</f>
        <v>86</v>
      </c>
      <c r="F10" s="7" t="s">
        <v>36</v>
      </c>
      <c r="G10" s="6">
        <v>4</v>
      </c>
      <c r="H10" s="6" t="s">
        <v>333</v>
      </c>
      <c r="I10" s="16">
        <v>107</v>
      </c>
      <c r="J10" s="16">
        <v>0</v>
      </c>
      <c r="K10" s="6" t="str">
        <f>INDEX('Path Scorecard'!$AD$5:$AD$71,MATCH($H10,'Path Scorecard'!$H$5:$H$71,0))</f>
        <v/>
      </c>
      <c r="L10" s="7" t="str">
        <f>INDEX('Path Scorecard'!$AE$5:$AE$71,MATCH($H10,'Path Scorecard'!$H$5:$H$71,0))</f>
        <v>Amazon</v>
      </c>
      <c r="M10" s="10" t="str">
        <f>INDEX('Path Scorecard'!$AF$5:$AF$71,MATCH($H10,'Path Scorecard'!$H$5:$H$71,0))</f>
        <v>Target</v>
      </c>
      <c r="N10" s="10" t="s">
        <v>334</v>
      </c>
      <c r="O10" s="10" t="s">
        <v>335</v>
      </c>
      <c r="P10" s="10" t="s">
        <v>336</v>
      </c>
      <c r="Q10" s="10" t="s">
        <v>39</v>
      </c>
      <c r="R10" s="10" t="s">
        <v>38</v>
      </c>
      <c r="S10" s="10" t="s">
        <v>337</v>
      </c>
      <c r="T10" s="10" t="s">
        <v>338</v>
      </c>
    </row>
    <row r="11" spans="1:20" ht="90" customHeight="1" x14ac:dyDescent="0.3">
      <c r="A11" s="6">
        <f>INDEX('Path Scorecard'!$AA$5:$AA$71,MATCH($H11,'Path Scorecard'!$H$5:$H$71,0))</f>
        <v>5</v>
      </c>
      <c r="B11" s="17" t="str">
        <f>INDEX('Path Scorecard'!$AB$5:$AB$71,MATCH($H11,'Path Scorecard'!$H$5:$H$71,0))</f>
        <v>Tier 1</v>
      </c>
      <c r="C11" s="17" t="str">
        <f>INDEX('Path Scorecard'!$Q$5:$Q$71,MATCH($H11,'Path Scorecard'!$H$5:$H$71,0))</f>
        <v>Hero</v>
      </c>
      <c r="D11" s="17" t="str">
        <f>INDEX('Path Scorecard'!$AC$5:$AC$71,MATCH($H11,'Path Scorecard'!$H$5:$H$71,0))</f>
        <v>EXTEND</v>
      </c>
      <c r="E11" s="8">
        <f>INDEX('Path Scorecard'!$Z$5:$Z$71,MATCH($H11,'Path Scorecard'!$H$5:$H$71,0))</f>
        <v>86</v>
      </c>
      <c r="F11" s="7" t="s">
        <v>40</v>
      </c>
      <c r="G11" s="6">
        <v>3</v>
      </c>
      <c r="H11" s="6" t="s">
        <v>235</v>
      </c>
      <c r="I11" s="16">
        <v>585</v>
      </c>
      <c r="J11" s="16">
        <v>542</v>
      </c>
      <c r="K11" s="6" t="str">
        <f>INDEX('Path Scorecard'!$AD$5:$AD$71,MATCH($H11,'Path Scorecard'!$H$5:$H$71,0))</f>
        <v>Yes</v>
      </c>
      <c r="L11" s="7" t="str">
        <f>INDEX('Path Scorecard'!$AE$5:$AE$71,MATCH($H11,'Path Scorecard'!$H$5:$H$71,0))</f>
        <v>Amazon</v>
      </c>
      <c r="M11" s="10" t="str">
        <f>INDEX('Path Scorecard'!$AF$5:$AF$71,MATCH($H11,'Path Scorecard'!$H$5:$H$71,0))</f>
        <v>Target</v>
      </c>
      <c r="N11" s="10" t="s">
        <v>339</v>
      </c>
      <c r="O11" s="10" t="s">
        <v>340</v>
      </c>
      <c r="P11" s="10" t="s">
        <v>341</v>
      </c>
      <c r="Q11" s="10" t="s">
        <v>42</v>
      </c>
      <c r="R11" s="10" t="s">
        <v>41</v>
      </c>
      <c r="S11" s="10" t="s">
        <v>342</v>
      </c>
      <c r="T11" s="10" t="s">
        <v>343</v>
      </c>
    </row>
    <row r="12" spans="1:20" ht="90" customHeight="1" x14ac:dyDescent="0.3">
      <c r="A12" s="6">
        <f>INDEX('Path Scorecard'!$AA$5:$AA$71,MATCH($H12,'Path Scorecard'!$H$5:$H$71,0))</f>
        <v>5</v>
      </c>
      <c r="B12" s="17" t="str">
        <f>INDEX('Path Scorecard'!$AB$5:$AB$71,MATCH($H12,'Path Scorecard'!$H$5:$H$71,0))</f>
        <v>Tier 1</v>
      </c>
      <c r="C12" s="17" t="str">
        <f>INDEX('Path Scorecard'!$Q$5:$Q$71,MATCH($H12,'Path Scorecard'!$H$5:$H$71,0))</f>
        <v>Probable Hero</v>
      </c>
      <c r="D12" s="17" t="str">
        <f>INDEX('Path Scorecard'!$AC$5:$AC$71,MATCH($H12,'Path Scorecard'!$H$5:$H$71,0))</f>
        <v>BUILD</v>
      </c>
      <c r="E12" s="8">
        <f>INDEX('Path Scorecard'!$Z$5:$Z$71,MATCH($H12,'Path Scorecard'!$H$5:$H$71,0))</f>
        <v>86</v>
      </c>
      <c r="F12" s="7" t="s">
        <v>43</v>
      </c>
      <c r="G12" s="6">
        <v>3</v>
      </c>
      <c r="H12" s="6" t="s">
        <v>237</v>
      </c>
      <c r="I12" s="16">
        <v>404</v>
      </c>
      <c r="J12" s="16">
        <v>406</v>
      </c>
      <c r="K12" s="6" t="str">
        <f>INDEX('Path Scorecard'!$AD$5:$AD$71,MATCH($H12,'Path Scorecard'!$H$5:$H$71,0))</f>
        <v>Yes</v>
      </c>
      <c r="L12" s="7" t="str">
        <f>INDEX('Path Scorecard'!$AE$5:$AE$71,MATCH($H12,'Path Scorecard'!$H$5:$H$71,0))</f>
        <v>Amazon</v>
      </c>
      <c r="M12" s="10" t="str">
        <f>INDEX('Path Scorecard'!$AF$5:$AF$71,MATCH($H12,'Path Scorecard'!$H$5:$H$71,0))</f>
        <v>Target</v>
      </c>
      <c r="N12" s="10" t="s">
        <v>344</v>
      </c>
      <c r="O12" s="10" t="s">
        <v>345</v>
      </c>
      <c r="P12" s="10" t="s">
        <v>346</v>
      </c>
      <c r="Q12" s="10" t="s">
        <v>45</v>
      </c>
      <c r="R12" s="10" t="s">
        <v>44</v>
      </c>
      <c r="S12" s="10" t="s">
        <v>347</v>
      </c>
      <c r="T12" s="10" t="s">
        <v>348</v>
      </c>
    </row>
    <row r="13" spans="1:20" ht="90" customHeight="1" x14ac:dyDescent="0.3">
      <c r="A13" s="6">
        <f>INDEX('Path Scorecard'!$AA$5:$AA$71,MATCH($H13,'Path Scorecard'!$H$5:$H$71,0))</f>
        <v>5</v>
      </c>
      <c r="B13" s="17" t="str">
        <f>INDEX('Path Scorecard'!$AB$5:$AB$71,MATCH($H13,'Path Scorecard'!$H$5:$H$71,0))</f>
        <v>Tier 1</v>
      </c>
      <c r="C13" s="17" t="str">
        <f>INDEX('Path Scorecard'!$Q$5:$Q$71,MATCH($H13,'Path Scorecard'!$H$5:$H$71,0))</f>
        <v>Hero</v>
      </c>
      <c r="D13" s="17" t="str">
        <f>INDEX('Path Scorecard'!$AC$5:$AC$71,MATCH($H13,'Path Scorecard'!$H$5:$H$71,0))</f>
        <v>EXTEND</v>
      </c>
      <c r="E13" s="8">
        <f>INDEX('Path Scorecard'!$Z$5:$Z$71,MATCH($H13,'Path Scorecard'!$H$5:$H$71,0))</f>
        <v>86</v>
      </c>
      <c r="F13" s="7" t="s">
        <v>46</v>
      </c>
      <c r="G13" s="6">
        <v>4</v>
      </c>
      <c r="H13" s="6" t="s">
        <v>349</v>
      </c>
      <c r="I13" s="16">
        <v>607</v>
      </c>
      <c r="J13" s="16">
        <v>0</v>
      </c>
      <c r="K13" s="6" t="str">
        <f>INDEX('Path Scorecard'!$AD$5:$AD$71,MATCH($H13,'Path Scorecard'!$H$5:$H$71,0))</f>
        <v/>
      </c>
      <c r="L13" s="7" t="str">
        <f>INDEX('Path Scorecard'!$AE$5:$AE$71,MATCH($H13,'Path Scorecard'!$H$5:$H$71,0))</f>
        <v>Amazon</v>
      </c>
      <c r="M13" s="10" t="str">
        <f>INDEX('Path Scorecard'!$AF$5:$AF$71,MATCH($H13,'Path Scorecard'!$H$5:$H$71,0))</f>
        <v>Oriental Trading</v>
      </c>
      <c r="N13" s="10" t="s">
        <v>350</v>
      </c>
      <c r="O13" s="10" t="s">
        <v>351</v>
      </c>
      <c r="P13" s="10" t="s">
        <v>352</v>
      </c>
      <c r="Q13" s="10" t="s">
        <v>48</v>
      </c>
      <c r="R13" s="10" t="s">
        <v>47</v>
      </c>
      <c r="S13" s="10" t="s">
        <v>353</v>
      </c>
      <c r="T13" s="10" t="s">
        <v>354</v>
      </c>
    </row>
    <row r="14" spans="1:20" ht="90" customHeight="1" x14ac:dyDescent="0.3">
      <c r="A14" s="6">
        <f>INDEX('Path Scorecard'!$AA$5:$AA$71,MATCH($H14,'Path Scorecard'!$H$5:$H$71,0))</f>
        <v>10</v>
      </c>
      <c r="B14" s="17" t="str">
        <f>INDEX('Path Scorecard'!$AB$5:$AB$71,MATCH($H14,'Path Scorecard'!$H$5:$H$71,0))</f>
        <v>Tier 1</v>
      </c>
      <c r="C14" s="17" t="str">
        <f>INDEX('Path Scorecard'!$Q$5:$Q$71,MATCH($H14,'Path Scorecard'!$H$5:$H$71,0))</f>
        <v>Probable Hero</v>
      </c>
      <c r="D14" s="17" t="str">
        <f>INDEX('Path Scorecard'!$AC$5:$AC$71,MATCH($H14,'Path Scorecard'!$H$5:$H$71,0))</f>
        <v>BUILD</v>
      </c>
      <c r="E14" s="8">
        <f>INDEX('Path Scorecard'!$Z$5:$Z$71,MATCH($H14,'Path Scorecard'!$H$5:$H$71,0))</f>
        <v>85</v>
      </c>
      <c r="F14" s="7" t="s">
        <v>49</v>
      </c>
      <c r="G14" s="6">
        <v>3</v>
      </c>
      <c r="H14" s="6" t="s">
        <v>355</v>
      </c>
      <c r="I14" s="16">
        <v>95</v>
      </c>
      <c r="J14" s="16">
        <v>0</v>
      </c>
      <c r="K14" s="6" t="str">
        <f>INDEX('Path Scorecard'!$AD$5:$AD$71,MATCH($H14,'Path Scorecard'!$H$5:$H$71,0))</f>
        <v/>
      </c>
      <c r="L14" s="7" t="str">
        <f>INDEX('Path Scorecard'!$AE$5:$AE$71,MATCH($H14,'Path Scorecard'!$H$5:$H$71,0))</f>
        <v>Wayfair</v>
      </c>
      <c r="M14" s="10" t="str">
        <f>INDEX('Path Scorecard'!$AF$5:$AF$71,MATCH($H14,'Path Scorecard'!$H$5:$H$71,0))</f>
        <v>Target</v>
      </c>
      <c r="N14" s="10" t="s">
        <v>356</v>
      </c>
      <c r="O14" s="10" t="s">
        <v>357</v>
      </c>
      <c r="P14" s="10" t="s">
        <v>358</v>
      </c>
      <c r="Q14" s="10" t="s">
        <v>51</v>
      </c>
      <c r="R14" s="10" t="s">
        <v>50</v>
      </c>
      <c r="S14" s="10" t="s">
        <v>359</v>
      </c>
      <c r="T14" s="10" t="s">
        <v>360</v>
      </c>
    </row>
    <row r="15" spans="1:20" ht="90" customHeight="1" x14ac:dyDescent="0.3">
      <c r="A15" s="6">
        <f>INDEX('Path Scorecard'!$AA$5:$AA$71,MATCH($H15,'Path Scorecard'!$H$5:$H$71,0))</f>
        <v>11</v>
      </c>
      <c r="B15" s="17" t="str">
        <f>INDEX('Path Scorecard'!$AB$5:$AB$71,MATCH($H15,'Path Scorecard'!$H$5:$H$71,0))</f>
        <v>Tier 2</v>
      </c>
      <c r="C15" s="17" t="str">
        <f>INDEX('Path Scorecard'!$Q$5:$Q$71,MATCH($H15,'Path Scorecard'!$H$5:$H$71,0))</f>
        <v>Probable Hero</v>
      </c>
      <c r="D15" s="17" t="str">
        <f>INDEX('Path Scorecard'!$AC$5:$AC$71,MATCH($H15,'Path Scorecard'!$H$5:$H$71,0))</f>
        <v>BUILD</v>
      </c>
      <c r="E15" s="8">
        <f>INDEX('Path Scorecard'!$Z$5:$Z$71,MATCH($H15,'Path Scorecard'!$H$5:$H$71,0))</f>
        <v>83</v>
      </c>
      <c r="F15" s="7" t="s">
        <v>239</v>
      </c>
      <c r="G15" s="6">
        <v>3</v>
      </c>
      <c r="H15" s="6" t="s">
        <v>240</v>
      </c>
      <c r="I15" s="16">
        <v>300</v>
      </c>
      <c r="J15" s="16">
        <v>265</v>
      </c>
      <c r="K15" s="6" t="str">
        <f>INDEX('Path Scorecard'!$AD$5:$AD$71,MATCH($H15,'Path Scorecard'!$H$5:$H$71,0))</f>
        <v/>
      </c>
      <c r="L15" s="7" t="str">
        <f>INDEX('Path Scorecard'!$AE$5:$AE$71,MATCH($H15,'Path Scorecard'!$H$5:$H$71,0))</f>
        <v>Amazon</v>
      </c>
      <c r="M15" s="10" t="str">
        <f>INDEX('Path Scorecard'!$AF$5:$AF$71,MATCH($H15,'Path Scorecard'!$H$5:$H$71,0))</f>
        <v>Target</v>
      </c>
      <c r="N15" s="10" t="s">
        <v>361</v>
      </c>
      <c r="O15" s="10" t="s">
        <v>362</v>
      </c>
      <c r="P15" s="10" t="s">
        <v>363</v>
      </c>
      <c r="Q15" s="10" t="s">
        <v>364</v>
      </c>
      <c r="R15" s="10" t="s">
        <v>365</v>
      </c>
      <c r="S15" s="10" t="s">
        <v>366</v>
      </c>
      <c r="T15" s="10" t="s">
        <v>367</v>
      </c>
    </row>
    <row r="16" spans="1:20" ht="90" customHeight="1" x14ac:dyDescent="0.3">
      <c r="A16" s="6">
        <f>INDEX('Path Scorecard'!$AA$5:$AA$71,MATCH($H16,'Path Scorecard'!$H$5:$H$71,0))</f>
        <v>12</v>
      </c>
      <c r="B16" s="17" t="str">
        <f>INDEX('Path Scorecard'!$AB$5:$AB$71,MATCH($H16,'Path Scorecard'!$H$5:$H$71,0))</f>
        <v>Tier 2</v>
      </c>
      <c r="C16" s="17" t="str">
        <f>INDEX('Path Scorecard'!$Q$5:$Q$71,MATCH($H16,'Path Scorecard'!$H$5:$H$71,0))</f>
        <v>Probable Hero</v>
      </c>
      <c r="D16" s="17" t="str">
        <f>INDEX('Path Scorecard'!$AC$5:$AC$71,MATCH($H16,'Path Scorecard'!$H$5:$H$71,0))</f>
        <v>BUILD</v>
      </c>
      <c r="E16" s="8">
        <f>INDEX('Path Scorecard'!$Z$5:$Z$71,MATCH($H16,'Path Scorecard'!$H$5:$H$71,0))</f>
        <v>82</v>
      </c>
      <c r="F16" s="7" t="s">
        <v>242</v>
      </c>
      <c r="G16" s="6">
        <v>3</v>
      </c>
      <c r="H16" s="6" t="s">
        <v>243</v>
      </c>
      <c r="I16" s="16">
        <v>173</v>
      </c>
      <c r="J16" s="16">
        <v>166</v>
      </c>
      <c r="K16" s="6" t="str">
        <f>INDEX('Path Scorecard'!$AD$5:$AD$71,MATCH($H16,'Path Scorecard'!$H$5:$H$71,0))</f>
        <v/>
      </c>
      <c r="L16" s="7" t="str">
        <f>INDEX('Path Scorecard'!$AE$5:$AE$71,MATCH($H16,'Path Scorecard'!$H$5:$H$71,0))</f>
        <v>Amazon</v>
      </c>
      <c r="M16" s="10" t="str">
        <f>INDEX('Path Scorecard'!$AF$5:$AF$71,MATCH($H16,'Path Scorecard'!$H$5:$H$71,0))</f>
        <v>Target</v>
      </c>
      <c r="N16" s="10" t="s">
        <v>368</v>
      </c>
      <c r="O16" s="10" t="s">
        <v>369</v>
      </c>
      <c r="P16" s="10" t="s">
        <v>370</v>
      </c>
      <c r="Q16" s="10" t="s">
        <v>371</v>
      </c>
      <c r="R16" s="10" t="s">
        <v>372</v>
      </c>
      <c r="S16" s="10" t="s">
        <v>373</v>
      </c>
      <c r="T16" s="10" t="s">
        <v>374</v>
      </c>
    </row>
    <row r="17" spans="1:20" ht="90" customHeight="1" x14ac:dyDescent="0.3">
      <c r="A17" s="6">
        <f>INDEX('Path Scorecard'!$AA$5:$AA$71,MATCH($H17,'Path Scorecard'!$H$5:$H$71,0))</f>
        <v>13</v>
      </c>
      <c r="B17" s="17" t="str">
        <f>INDEX('Path Scorecard'!$AB$5:$AB$71,MATCH($H17,'Path Scorecard'!$H$5:$H$71,0))</f>
        <v>Tier 2</v>
      </c>
      <c r="C17" s="17" t="str">
        <f>INDEX('Path Scorecard'!$Q$5:$Q$71,MATCH($H17,'Path Scorecard'!$H$5:$H$71,0))</f>
        <v>Hero</v>
      </c>
      <c r="D17" s="17" t="str">
        <f>INDEX('Path Scorecard'!$AC$5:$AC$71,MATCH($H17,'Path Scorecard'!$H$5:$H$71,0))</f>
        <v>EXTEND</v>
      </c>
      <c r="E17" s="8">
        <f>INDEX('Path Scorecard'!$Z$5:$Z$71,MATCH($H17,'Path Scorecard'!$H$5:$H$71,0))</f>
        <v>81</v>
      </c>
      <c r="F17" s="7" t="s">
        <v>211</v>
      </c>
      <c r="G17" s="6">
        <v>3</v>
      </c>
      <c r="H17" s="6" t="s">
        <v>212</v>
      </c>
      <c r="I17" s="16">
        <v>1501</v>
      </c>
      <c r="J17" s="16">
        <v>1265</v>
      </c>
      <c r="K17" s="6" t="str">
        <f>INDEX('Path Scorecard'!$AD$5:$AD$71,MATCH($H17,'Path Scorecard'!$H$5:$H$71,0))</f>
        <v/>
      </c>
      <c r="L17" s="7" t="str">
        <f>INDEX('Path Scorecard'!$AE$5:$AE$71,MATCH($H17,'Path Scorecard'!$H$5:$H$71,0))</f>
        <v>Wayfair</v>
      </c>
      <c r="M17" s="10" t="str">
        <f>INDEX('Path Scorecard'!$AF$5:$AF$71,MATCH($H17,'Path Scorecard'!$H$5:$H$71,0))</f>
        <v>Amazon</v>
      </c>
      <c r="N17" s="10" t="s">
        <v>375</v>
      </c>
      <c r="O17" s="10" t="s">
        <v>376</v>
      </c>
      <c r="P17" s="10" t="s">
        <v>377</v>
      </c>
      <c r="Q17" s="10" t="s">
        <v>378</v>
      </c>
      <c r="R17" s="10" t="s">
        <v>379</v>
      </c>
      <c r="S17" s="10" t="s">
        <v>380</v>
      </c>
      <c r="T17" s="10" t="s">
        <v>381</v>
      </c>
    </row>
    <row r="18" spans="1:20" ht="90" customHeight="1" x14ac:dyDescent="0.3">
      <c r="A18" s="6">
        <f>INDEX('Path Scorecard'!$AA$5:$AA$71,MATCH($H18,'Path Scorecard'!$H$5:$H$71,0))</f>
        <v>14</v>
      </c>
      <c r="B18" s="17" t="str">
        <f>INDEX('Path Scorecard'!$AB$5:$AB$71,MATCH($H18,'Path Scorecard'!$H$5:$H$71,0))</f>
        <v>Tier 2</v>
      </c>
      <c r="C18" s="17" t="str">
        <f>INDEX('Path Scorecard'!$Q$5:$Q$71,MATCH($H18,'Path Scorecard'!$H$5:$H$71,0))</f>
        <v>Probable Hero</v>
      </c>
      <c r="D18" s="17" t="str">
        <f>INDEX('Path Scorecard'!$AC$5:$AC$71,MATCH($H18,'Path Scorecard'!$H$5:$H$71,0))</f>
        <v>BUILD</v>
      </c>
      <c r="E18" s="8">
        <f>INDEX('Path Scorecard'!$Z$5:$Z$71,MATCH($H18,'Path Scorecard'!$H$5:$H$71,0))</f>
        <v>80</v>
      </c>
      <c r="F18" s="7" t="s">
        <v>277</v>
      </c>
      <c r="G18" s="6">
        <v>3</v>
      </c>
      <c r="H18" s="6" t="s">
        <v>278</v>
      </c>
      <c r="I18" s="16">
        <v>253</v>
      </c>
      <c r="J18" s="16">
        <v>0</v>
      </c>
      <c r="K18" s="6" t="str">
        <f>INDEX('Path Scorecard'!$AD$5:$AD$71,MATCH($H18,'Path Scorecard'!$H$5:$H$71,0))</f>
        <v/>
      </c>
      <c r="L18" s="7" t="str">
        <f>INDEX('Path Scorecard'!$AE$5:$AE$71,MATCH($H18,'Path Scorecard'!$H$5:$H$71,0))</f>
        <v>Amazon</v>
      </c>
      <c r="M18" s="10" t="str">
        <f>INDEX('Path Scorecard'!$AF$5:$AF$71,MATCH($H18,'Path Scorecard'!$H$5:$H$71,0))</f>
        <v>Michaels</v>
      </c>
      <c r="N18" s="10" t="s">
        <v>382</v>
      </c>
      <c r="O18" s="10" t="s">
        <v>383</v>
      </c>
      <c r="P18" s="10" t="s">
        <v>384</v>
      </c>
      <c r="Q18" s="10" t="s">
        <v>385</v>
      </c>
      <c r="R18" s="10" t="s">
        <v>386</v>
      </c>
      <c r="S18" s="10" t="s">
        <v>387</v>
      </c>
      <c r="T18" s="10" t="s">
        <v>388</v>
      </c>
    </row>
    <row r="19" spans="1:20" ht="90" customHeight="1" x14ac:dyDescent="0.3">
      <c r="A19" s="6">
        <f>INDEX('Path Scorecard'!$AA$5:$AA$71,MATCH($H19,'Path Scorecard'!$H$5:$H$71,0))</f>
        <v>14</v>
      </c>
      <c r="B19" s="17" t="str">
        <f>INDEX('Path Scorecard'!$AB$5:$AB$71,MATCH($H19,'Path Scorecard'!$H$5:$H$71,0))</f>
        <v>Tier 2</v>
      </c>
      <c r="C19" s="17" t="str">
        <f>INDEX('Path Scorecard'!$Q$5:$Q$71,MATCH($H19,'Path Scorecard'!$H$5:$H$71,0))</f>
        <v>Probable Hero</v>
      </c>
      <c r="D19" s="17" t="str">
        <f>INDEX('Path Scorecard'!$AC$5:$AC$71,MATCH($H19,'Path Scorecard'!$H$5:$H$71,0))</f>
        <v>BUILD</v>
      </c>
      <c r="E19" s="8">
        <f>INDEX('Path Scorecard'!$Z$5:$Z$71,MATCH($H19,'Path Scorecard'!$H$5:$H$71,0))</f>
        <v>80</v>
      </c>
      <c r="F19" s="7" t="s">
        <v>389</v>
      </c>
      <c r="G19" s="6">
        <v>4</v>
      </c>
      <c r="H19" s="6" t="s">
        <v>390</v>
      </c>
      <c r="I19" s="16">
        <v>203</v>
      </c>
      <c r="J19" s="16">
        <v>0</v>
      </c>
      <c r="K19" s="6" t="str">
        <f>INDEX('Path Scorecard'!$AD$5:$AD$71,MATCH($H19,'Path Scorecard'!$H$5:$H$71,0))</f>
        <v/>
      </c>
      <c r="L19" s="7" t="str">
        <f>INDEX('Path Scorecard'!$AE$5:$AE$71,MATCH($H19,'Path Scorecard'!$H$5:$H$71,0))</f>
        <v>Wayfair</v>
      </c>
      <c r="M19" s="10" t="str">
        <f>INDEX('Path Scorecard'!$AF$5:$AF$71,MATCH($H19,'Path Scorecard'!$H$5:$H$71,0))</f>
        <v>Michaels</v>
      </c>
      <c r="N19" s="10" t="s">
        <v>391</v>
      </c>
      <c r="O19" s="10" t="s">
        <v>392</v>
      </c>
      <c r="P19" s="10" t="s">
        <v>393</v>
      </c>
      <c r="Q19" s="10" t="s">
        <v>394</v>
      </c>
      <c r="R19" s="10" t="s">
        <v>395</v>
      </c>
      <c r="S19" s="10" t="s">
        <v>396</v>
      </c>
      <c r="T19" s="10" t="s">
        <v>397</v>
      </c>
    </row>
    <row r="20" spans="1:20" ht="90" customHeight="1" x14ac:dyDescent="0.3">
      <c r="A20" s="6">
        <f>INDEX('Path Scorecard'!$AA$5:$AA$71,MATCH($H20,'Path Scorecard'!$H$5:$H$71,0))</f>
        <v>16</v>
      </c>
      <c r="B20" s="17" t="str">
        <f>INDEX('Path Scorecard'!$AB$5:$AB$71,MATCH($H20,'Path Scorecard'!$H$5:$H$71,0))</f>
        <v>Tier 2</v>
      </c>
      <c r="C20" s="17" t="str">
        <f>INDEX('Path Scorecard'!$Q$5:$Q$71,MATCH($H20,'Path Scorecard'!$H$5:$H$71,0))</f>
        <v>Probable Hero</v>
      </c>
      <c r="D20" s="17" t="str">
        <f>INDEX('Path Scorecard'!$AC$5:$AC$71,MATCH($H20,'Path Scorecard'!$H$5:$H$71,0))</f>
        <v>BUILD</v>
      </c>
      <c r="E20" s="8">
        <f>INDEX('Path Scorecard'!$Z$5:$Z$71,MATCH($H20,'Path Scorecard'!$H$5:$H$71,0))</f>
        <v>78</v>
      </c>
      <c r="F20" s="7" t="s">
        <v>283</v>
      </c>
      <c r="G20" s="6">
        <v>4</v>
      </c>
      <c r="H20" s="6" t="s">
        <v>284</v>
      </c>
      <c r="I20" s="16">
        <v>32</v>
      </c>
      <c r="J20" s="16">
        <v>0</v>
      </c>
      <c r="K20" s="6" t="str">
        <f>INDEX('Path Scorecard'!$AD$5:$AD$71,MATCH($H20,'Path Scorecard'!$H$5:$H$71,0))</f>
        <v/>
      </c>
      <c r="L20" s="7" t="str">
        <f>INDEX('Path Scorecard'!$AE$5:$AE$71,MATCH($H20,'Path Scorecard'!$H$5:$H$71,0))</f>
        <v>Michaels</v>
      </c>
      <c r="M20" s="10" t="str">
        <f>INDEX('Path Scorecard'!$AF$5:$AF$71,MATCH($H20,'Path Scorecard'!$H$5:$H$71,0))</f>
        <v>Amazon</v>
      </c>
      <c r="N20" s="10" t="s">
        <v>398</v>
      </c>
      <c r="O20" s="10" t="s">
        <v>399</v>
      </c>
      <c r="P20" s="10" t="s">
        <v>400</v>
      </c>
      <c r="Q20" s="10" t="s">
        <v>401</v>
      </c>
      <c r="R20" s="10" t="s">
        <v>402</v>
      </c>
      <c r="S20" s="10" t="s">
        <v>403</v>
      </c>
      <c r="T20" s="10" t="s">
        <v>404</v>
      </c>
    </row>
    <row r="21" spans="1:20" ht="90" customHeight="1" x14ac:dyDescent="0.3">
      <c r="A21" s="6">
        <f>INDEX('Path Scorecard'!$AA$5:$AA$71,MATCH($H21,'Path Scorecard'!$H$5:$H$71,0))</f>
        <v>16</v>
      </c>
      <c r="B21" s="17" t="str">
        <f>INDEX('Path Scorecard'!$AB$5:$AB$71,MATCH($H21,'Path Scorecard'!$H$5:$H$71,0))</f>
        <v>Tier 2</v>
      </c>
      <c r="C21" s="17" t="str">
        <f>INDEX('Path Scorecard'!$Q$5:$Q$71,MATCH($H21,'Path Scorecard'!$H$5:$H$71,0))</f>
        <v>Probable Hero</v>
      </c>
      <c r="D21" s="17" t="str">
        <f>INDEX('Path Scorecard'!$AC$5:$AC$71,MATCH($H21,'Path Scorecard'!$H$5:$H$71,0))</f>
        <v>BUILD</v>
      </c>
      <c r="E21" s="8">
        <f>INDEX('Path Scorecard'!$Z$5:$Z$71,MATCH($H21,'Path Scorecard'!$H$5:$H$71,0))</f>
        <v>78</v>
      </c>
      <c r="F21" s="7" t="s">
        <v>280</v>
      </c>
      <c r="G21" s="6">
        <v>3</v>
      </c>
      <c r="H21" s="6" t="s">
        <v>281</v>
      </c>
      <c r="I21" s="16">
        <v>166</v>
      </c>
      <c r="J21" s="16">
        <v>0</v>
      </c>
      <c r="K21" s="6" t="str">
        <f>INDEX('Path Scorecard'!$AD$5:$AD$71,MATCH($H21,'Path Scorecard'!$H$5:$H$71,0))</f>
        <v/>
      </c>
      <c r="L21" s="7" t="str">
        <f>INDEX('Path Scorecard'!$AE$5:$AE$71,MATCH($H21,'Path Scorecard'!$H$5:$H$71,0))</f>
        <v>Michaels</v>
      </c>
      <c r="M21" s="10" t="str">
        <f>INDEX('Path Scorecard'!$AF$5:$AF$71,MATCH($H21,'Path Scorecard'!$H$5:$H$71,0))</f>
        <v>Amazon</v>
      </c>
      <c r="N21" s="10" t="s">
        <v>405</v>
      </c>
      <c r="O21" s="10" t="s">
        <v>406</v>
      </c>
      <c r="P21" s="10" t="s">
        <v>407</v>
      </c>
      <c r="Q21" s="10" t="s">
        <v>408</v>
      </c>
      <c r="R21" s="10" t="s">
        <v>409</v>
      </c>
      <c r="S21" s="10" t="s">
        <v>410</v>
      </c>
      <c r="T21" s="10" t="s">
        <v>411</v>
      </c>
    </row>
    <row r="22" spans="1:20" ht="90" customHeight="1" x14ac:dyDescent="0.3">
      <c r="A22" s="6">
        <f>INDEX('Path Scorecard'!$AA$5:$AA$71,MATCH($H22,'Path Scorecard'!$H$5:$H$71,0))</f>
        <v>16</v>
      </c>
      <c r="B22" s="17" t="str">
        <f>INDEX('Path Scorecard'!$AB$5:$AB$71,MATCH($H22,'Path Scorecard'!$H$5:$H$71,0))</f>
        <v>Tier 2</v>
      </c>
      <c r="C22" s="17" t="str">
        <f>INDEX('Path Scorecard'!$Q$5:$Q$71,MATCH($H22,'Path Scorecard'!$H$5:$H$71,0))</f>
        <v>Probable Hero</v>
      </c>
      <c r="D22" s="17" t="str">
        <f>INDEX('Path Scorecard'!$AC$5:$AC$71,MATCH($H22,'Path Scorecard'!$H$5:$H$71,0))</f>
        <v>BUILD</v>
      </c>
      <c r="E22" s="8">
        <f>INDEX('Path Scorecard'!$Z$5:$Z$71,MATCH($H22,'Path Scorecard'!$H$5:$H$71,0))</f>
        <v>78</v>
      </c>
      <c r="F22" s="7" t="s">
        <v>412</v>
      </c>
      <c r="G22" s="6">
        <v>3</v>
      </c>
      <c r="H22" s="6" t="s">
        <v>413</v>
      </c>
      <c r="I22" s="16">
        <v>318</v>
      </c>
      <c r="J22" s="16">
        <v>0</v>
      </c>
      <c r="K22" s="6" t="str">
        <f>INDEX('Path Scorecard'!$AD$5:$AD$71,MATCH($H22,'Path Scorecard'!$H$5:$H$71,0))</f>
        <v/>
      </c>
      <c r="L22" s="7" t="str">
        <f>INDEX('Path Scorecard'!$AE$5:$AE$71,MATCH($H22,'Path Scorecard'!$H$5:$H$71,0))</f>
        <v>Amazon</v>
      </c>
      <c r="M22" s="10" t="str">
        <f>INDEX('Path Scorecard'!$AF$5:$AF$71,MATCH($H22,'Path Scorecard'!$H$5:$H$71,0))</f>
        <v>Wayfair</v>
      </c>
      <c r="N22" s="10" t="s">
        <v>414</v>
      </c>
      <c r="O22" s="10" t="s">
        <v>415</v>
      </c>
      <c r="P22" s="10" t="s">
        <v>416</v>
      </c>
      <c r="Q22" s="10" t="s">
        <v>417</v>
      </c>
      <c r="R22" s="10" t="s">
        <v>418</v>
      </c>
      <c r="S22" s="10" t="s">
        <v>419</v>
      </c>
      <c r="T22" s="10" t="s">
        <v>420</v>
      </c>
    </row>
    <row r="23" spans="1:20" ht="90" customHeight="1" x14ac:dyDescent="0.3">
      <c r="A23" s="6">
        <f>INDEX('Path Scorecard'!$AA$5:$AA$71,MATCH($H23,'Path Scorecard'!$H$5:$H$71,0))</f>
        <v>19</v>
      </c>
      <c r="B23" s="17" t="str">
        <f>INDEX('Path Scorecard'!$AB$5:$AB$71,MATCH($H23,'Path Scorecard'!$H$5:$H$71,0))</f>
        <v>Tier 2</v>
      </c>
      <c r="C23" s="17" t="str">
        <f>INDEX('Path Scorecard'!$Q$5:$Q$71,MATCH($H23,'Path Scorecard'!$H$5:$H$71,0))</f>
        <v>Hero</v>
      </c>
      <c r="D23" s="17" t="str">
        <f>INDEX('Path Scorecard'!$AC$5:$AC$71,MATCH($H23,'Path Scorecard'!$H$5:$H$71,0))</f>
        <v>EXTEND</v>
      </c>
      <c r="E23" s="8">
        <f>INDEX('Path Scorecard'!$Z$5:$Z$71,MATCH($H23,'Path Scorecard'!$H$5:$H$71,0))</f>
        <v>77</v>
      </c>
      <c r="F23" s="7" t="s">
        <v>421</v>
      </c>
      <c r="G23" s="6">
        <v>3</v>
      </c>
      <c r="H23" s="6" t="s">
        <v>422</v>
      </c>
      <c r="I23" s="16">
        <v>284</v>
      </c>
      <c r="J23" s="16">
        <v>0</v>
      </c>
      <c r="K23" s="6" t="str">
        <f>INDEX('Path Scorecard'!$AD$5:$AD$71,MATCH($H23,'Path Scorecard'!$H$5:$H$71,0))</f>
        <v/>
      </c>
      <c r="L23" s="7" t="str">
        <f>INDEX('Path Scorecard'!$AE$5:$AE$71,MATCH($H23,'Path Scorecard'!$H$5:$H$71,0))</f>
        <v>Amazon</v>
      </c>
      <c r="M23" s="10" t="str">
        <f>INDEX('Path Scorecard'!$AF$5:$AF$71,MATCH($H23,'Path Scorecard'!$H$5:$H$71,0))</f>
        <v>Wayfair</v>
      </c>
      <c r="N23" s="10" t="s">
        <v>423</v>
      </c>
      <c r="O23" s="10" t="s">
        <v>424</v>
      </c>
      <c r="P23" s="10" t="s">
        <v>425</v>
      </c>
      <c r="Q23" s="10" t="s">
        <v>426</v>
      </c>
      <c r="R23" s="10" t="s">
        <v>427</v>
      </c>
      <c r="S23" s="10" t="s">
        <v>428</v>
      </c>
      <c r="T23" s="10" t="s">
        <v>429</v>
      </c>
    </row>
    <row r="24" spans="1:20" ht="90" customHeight="1" x14ac:dyDescent="0.3">
      <c r="A24" s="6">
        <f>INDEX('Path Scorecard'!$AA$5:$AA$71,MATCH($H24,'Path Scorecard'!$H$5:$H$71,0))</f>
        <v>19</v>
      </c>
      <c r="B24" s="17" t="str">
        <f>INDEX('Path Scorecard'!$AB$5:$AB$71,MATCH($H24,'Path Scorecard'!$H$5:$H$71,0))</f>
        <v>Tier 2</v>
      </c>
      <c r="C24" s="17" t="str">
        <f>INDEX('Path Scorecard'!$Q$5:$Q$71,MATCH($H24,'Path Scorecard'!$H$5:$H$71,0))</f>
        <v>Probable Hero</v>
      </c>
      <c r="D24" s="17" t="str">
        <f>INDEX('Path Scorecard'!$AC$5:$AC$71,MATCH($H24,'Path Scorecard'!$H$5:$H$71,0))</f>
        <v>BUILD</v>
      </c>
      <c r="E24" s="8">
        <f>INDEX('Path Scorecard'!$Z$5:$Z$71,MATCH($H24,'Path Scorecard'!$H$5:$H$71,0))</f>
        <v>77</v>
      </c>
      <c r="F24" s="7" t="s">
        <v>430</v>
      </c>
      <c r="G24" s="6">
        <v>3</v>
      </c>
      <c r="H24" s="6" t="s">
        <v>431</v>
      </c>
      <c r="I24" s="16">
        <v>435</v>
      </c>
      <c r="J24" s="16">
        <v>0</v>
      </c>
      <c r="K24" s="6" t="str">
        <f>INDEX('Path Scorecard'!$AD$5:$AD$71,MATCH($H24,'Path Scorecard'!$H$5:$H$71,0))</f>
        <v/>
      </c>
      <c r="L24" s="7" t="str">
        <f>INDEX('Path Scorecard'!$AE$5:$AE$71,MATCH($H24,'Path Scorecard'!$H$5:$H$71,0))</f>
        <v>Michaels</v>
      </c>
      <c r="M24" s="10" t="str">
        <f>INDEX('Path Scorecard'!$AF$5:$AF$71,MATCH($H24,'Path Scorecard'!$H$5:$H$71,0))</f>
        <v>Wayfair</v>
      </c>
      <c r="N24" s="10" t="s">
        <v>432</v>
      </c>
      <c r="O24" s="10" t="s">
        <v>433</v>
      </c>
      <c r="P24" s="10" t="s">
        <v>434</v>
      </c>
      <c r="Q24" s="10" t="s">
        <v>435</v>
      </c>
      <c r="R24" s="10" t="s">
        <v>436</v>
      </c>
      <c r="S24" s="10" t="s">
        <v>437</v>
      </c>
      <c r="T24" s="10" t="s">
        <v>438</v>
      </c>
    </row>
    <row r="25" spans="1:20" ht="90" customHeight="1" x14ac:dyDescent="0.3">
      <c r="A25" s="6">
        <f>INDEX('Path Scorecard'!$AA$5:$AA$71,MATCH($H25,'Path Scorecard'!$H$5:$H$71,0))</f>
        <v>19</v>
      </c>
      <c r="B25" s="17" t="str">
        <f>INDEX('Path Scorecard'!$AB$5:$AB$71,MATCH($H25,'Path Scorecard'!$H$5:$H$71,0))</f>
        <v>Tier 2</v>
      </c>
      <c r="C25" s="17" t="str">
        <f>INDEX('Path Scorecard'!$Q$5:$Q$71,MATCH($H25,'Path Scorecard'!$H$5:$H$71,0))</f>
        <v>Probable Hero</v>
      </c>
      <c r="D25" s="17" t="str">
        <f>INDEX('Path Scorecard'!$AC$5:$AC$71,MATCH($H25,'Path Scorecard'!$H$5:$H$71,0))</f>
        <v>BUILD</v>
      </c>
      <c r="E25" s="8">
        <f>INDEX('Path Scorecard'!$Z$5:$Z$71,MATCH($H25,'Path Scorecard'!$H$5:$H$71,0))</f>
        <v>77</v>
      </c>
      <c r="F25" s="7" t="s">
        <v>255</v>
      </c>
      <c r="G25" s="6">
        <v>3</v>
      </c>
      <c r="H25" s="6" t="s">
        <v>256</v>
      </c>
      <c r="I25" s="16">
        <v>99</v>
      </c>
      <c r="J25" s="16">
        <v>98</v>
      </c>
      <c r="K25" s="6" t="str">
        <f>INDEX('Path Scorecard'!$AD$5:$AD$71,MATCH($H25,'Path Scorecard'!$H$5:$H$71,0))</f>
        <v/>
      </c>
      <c r="L25" s="7" t="str">
        <f>INDEX('Path Scorecard'!$AE$5:$AE$71,MATCH($H25,'Path Scorecard'!$H$5:$H$71,0))</f>
        <v>Amazon</v>
      </c>
      <c r="M25" s="10" t="str">
        <f>INDEX('Path Scorecard'!$AF$5:$AF$71,MATCH($H25,'Path Scorecard'!$H$5:$H$71,0))</f>
        <v>Uline</v>
      </c>
      <c r="N25" s="10" t="s">
        <v>439</v>
      </c>
      <c r="O25" s="10" t="s">
        <v>440</v>
      </c>
      <c r="P25" s="10" t="s">
        <v>441</v>
      </c>
      <c r="Q25" s="10" t="s">
        <v>442</v>
      </c>
      <c r="R25" s="10" t="s">
        <v>443</v>
      </c>
      <c r="S25" s="10" t="s">
        <v>444</v>
      </c>
      <c r="T25" s="10" t="s">
        <v>445</v>
      </c>
    </row>
    <row r="26" spans="1:20" ht="90" customHeight="1" x14ac:dyDescent="0.3">
      <c r="A26" s="6">
        <f>INDEX('Path Scorecard'!$AA$5:$AA$71,MATCH($H26,'Path Scorecard'!$H$5:$H$71,0))</f>
        <v>23</v>
      </c>
      <c r="B26" s="17" t="str">
        <f>INDEX('Path Scorecard'!$AB$5:$AB$71,MATCH($H26,'Path Scorecard'!$H$5:$H$71,0))</f>
        <v>Tier 2</v>
      </c>
      <c r="C26" s="17" t="str">
        <f>INDEX('Path Scorecard'!$Q$5:$Q$71,MATCH($H26,'Path Scorecard'!$H$5:$H$71,0))</f>
        <v>Probable Hero</v>
      </c>
      <c r="D26" s="17" t="str">
        <f>INDEX('Path Scorecard'!$AC$5:$AC$71,MATCH($H26,'Path Scorecard'!$H$5:$H$71,0))</f>
        <v>BUILD</v>
      </c>
      <c r="E26" s="8">
        <f>INDEX('Path Scorecard'!$Z$5:$Z$71,MATCH($H26,'Path Scorecard'!$H$5:$H$71,0))</f>
        <v>76</v>
      </c>
      <c r="F26" s="7" t="s">
        <v>446</v>
      </c>
      <c r="G26" s="6">
        <v>4</v>
      </c>
      <c r="H26" s="6" t="s">
        <v>447</v>
      </c>
      <c r="I26" s="16">
        <v>205</v>
      </c>
      <c r="J26" s="16">
        <v>0</v>
      </c>
      <c r="K26" s="6" t="str">
        <f>INDEX('Path Scorecard'!$AD$5:$AD$71,MATCH($H26,'Path Scorecard'!$H$5:$H$71,0))</f>
        <v/>
      </c>
      <c r="L26" s="7" t="str">
        <f>INDEX('Path Scorecard'!$AE$5:$AE$71,MATCH($H26,'Path Scorecard'!$H$5:$H$71,0))</f>
        <v>Amazon</v>
      </c>
      <c r="M26" s="10" t="str">
        <f>INDEX('Path Scorecard'!$AF$5:$AF$71,MATCH($H26,'Path Scorecard'!$H$5:$H$71,0))</f>
        <v>Best Buy</v>
      </c>
      <c r="N26" s="10" t="s">
        <v>448</v>
      </c>
      <c r="O26" s="10" t="s">
        <v>449</v>
      </c>
      <c r="P26" s="10" t="s">
        <v>450</v>
      </c>
      <c r="Q26" s="10" t="s">
        <v>451</v>
      </c>
      <c r="R26" s="10" t="s">
        <v>452</v>
      </c>
      <c r="S26" s="10" t="s">
        <v>453</v>
      </c>
      <c r="T26" s="10" t="s">
        <v>454</v>
      </c>
    </row>
    <row r="27" spans="1:20" ht="90" customHeight="1" x14ac:dyDescent="0.3">
      <c r="A27" s="6">
        <f>INDEX('Path Scorecard'!$AA$5:$AA$71,MATCH($H27,'Path Scorecard'!$H$5:$H$71,0))</f>
        <v>25</v>
      </c>
      <c r="B27" s="17" t="str">
        <f>INDEX('Path Scorecard'!$AB$5:$AB$71,MATCH($H27,'Path Scorecard'!$H$5:$H$71,0))</f>
        <v>Tier 2</v>
      </c>
      <c r="C27" s="17" t="str">
        <f>INDEX('Path Scorecard'!$Q$5:$Q$71,MATCH($H27,'Path Scorecard'!$H$5:$H$71,0))</f>
        <v>Probable Hero</v>
      </c>
      <c r="D27" s="17" t="str">
        <f>INDEX('Path Scorecard'!$AC$5:$AC$71,MATCH($H27,'Path Scorecard'!$H$5:$H$71,0))</f>
        <v>BUILD</v>
      </c>
      <c r="E27" s="8">
        <f>INDEX('Path Scorecard'!$Z$5:$Z$71,MATCH($H27,'Path Scorecard'!$H$5:$H$71,0))</f>
        <v>75</v>
      </c>
      <c r="F27" s="7" t="s">
        <v>187</v>
      </c>
      <c r="G27" s="6">
        <v>4</v>
      </c>
      <c r="H27" s="6" t="s">
        <v>188</v>
      </c>
      <c r="I27" s="16">
        <v>49</v>
      </c>
      <c r="J27" s="16">
        <v>40</v>
      </c>
      <c r="K27" s="6" t="str">
        <f>INDEX('Path Scorecard'!$AD$5:$AD$71,MATCH($H27,'Path Scorecard'!$H$5:$H$71,0))</f>
        <v/>
      </c>
      <c r="L27" s="7" t="str">
        <f>INDEX('Path Scorecard'!$AE$5:$AE$71,MATCH($H27,'Path Scorecard'!$H$5:$H$71,0))</f>
        <v>Wayfair</v>
      </c>
      <c r="M27" s="10" t="str">
        <f>INDEX('Path Scorecard'!$AF$5:$AF$71,MATCH($H27,'Path Scorecard'!$H$5:$H$71,0))</f>
        <v>Amazon</v>
      </c>
      <c r="N27" s="10" t="s">
        <v>455</v>
      </c>
      <c r="O27" s="10" t="s">
        <v>456</v>
      </c>
      <c r="P27" s="10" t="s">
        <v>457</v>
      </c>
      <c r="Q27" s="10" t="s">
        <v>378</v>
      </c>
      <c r="R27" s="10" t="s">
        <v>458</v>
      </c>
      <c r="S27" s="10" t="s">
        <v>459</v>
      </c>
      <c r="T27" s="10" t="s">
        <v>460</v>
      </c>
    </row>
    <row r="28" spans="1:20" ht="90" customHeight="1" x14ac:dyDescent="0.3">
      <c r="A28" s="6">
        <f>INDEX('Path Scorecard'!$AA$5:$AA$71,MATCH($H28,'Path Scorecard'!$H$5:$H$71,0))</f>
        <v>25</v>
      </c>
      <c r="B28" s="17" t="str">
        <f>INDEX('Path Scorecard'!$AB$5:$AB$71,MATCH($H28,'Path Scorecard'!$H$5:$H$71,0))</f>
        <v>Tier 2</v>
      </c>
      <c r="C28" s="17" t="str">
        <f>INDEX('Path Scorecard'!$Q$5:$Q$71,MATCH($H28,'Path Scorecard'!$H$5:$H$71,0))</f>
        <v>Probable Hero</v>
      </c>
      <c r="D28" s="17" t="str">
        <f>INDEX('Path Scorecard'!$AC$5:$AC$71,MATCH($H28,'Path Scorecard'!$H$5:$H$71,0))</f>
        <v>BUILD</v>
      </c>
      <c r="E28" s="8">
        <f>INDEX('Path Scorecard'!$Z$5:$Z$71,MATCH($H28,'Path Scorecard'!$H$5:$H$71,0))</f>
        <v>75</v>
      </c>
      <c r="F28" s="7" t="s">
        <v>222</v>
      </c>
      <c r="G28" s="6">
        <v>3</v>
      </c>
      <c r="H28" s="6" t="s">
        <v>223</v>
      </c>
      <c r="I28" s="16">
        <v>211</v>
      </c>
      <c r="J28" s="16">
        <v>129</v>
      </c>
      <c r="K28" s="6" t="str">
        <f>INDEX('Path Scorecard'!$AD$5:$AD$71,MATCH($H28,'Path Scorecard'!$H$5:$H$71,0))</f>
        <v/>
      </c>
      <c r="L28" s="7" t="str">
        <f>INDEX('Path Scorecard'!$AE$5:$AE$71,MATCH($H28,'Path Scorecard'!$H$5:$H$71,0))</f>
        <v>Wayfair</v>
      </c>
      <c r="M28" s="10" t="str">
        <f>INDEX('Path Scorecard'!$AF$5:$AF$71,MATCH($H28,'Path Scorecard'!$H$5:$H$71,0))</f>
        <v>Target</v>
      </c>
      <c r="N28" s="10" t="s">
        <v>461</v>
      </c>
      <c r="O28" s="10" t="s">
        <v>462</v>
      </c>
      <c r="P28" s="10" t="s">
        <v>463</v>
      </c>
      <c r="Q28" s="10" t="s">
        <v>464</v>
      </c>
      <c r="R28" s="10" t="s">
        <v>465</v>
      </c>
      <c r="S28" s="10" t="s">
        <v>466</v>
      </c>
      <c r="T28" s="10" t="s">
        <v>467</v>
      </c>
    </row>
    <row r="29" spans="1:20" ht="90" customHeight="1" x14ac:dyDescent="0.3">
      <c r="A29" s="6">
        <f>INDEX('Path Scorecard'!$AA$5:$AA$71,MATCH($H29,'Path Scorecard'!$H$5:$H$71,0))</f>
        <v>25</v>
      </c>
      <c r="B29" s="17" t="str">
        <f>INDEX('Path Scorecard'!$AB$5:$AB$71,MATCH($H29,'Path Scorecard'!$H$5:$H$71,0))</f>
        <v>Tier 2</v>
      </c>
      <c r="C29" s="17" t="str">
        <f>INDEX('Path Scorecard'!$Q$5:$Q$71,MATCH($H29,'Path Scorecard'!$H$5:$H$71,0))</f>
        <v>Hero</v>
      </c>
      <c r="D29" s="17" t="str">
        <f>INDEX('Path Scorecard'!$AC$5:$AC$71,MATCH($H29,'Path Scorecard'!$H$5:$H$71,0))</f>
        <v>EXTEND</v>
      </c>
      <c r="E29" s="8">
        <f>INDEX('Path Scorecard'!$Z$5:$Z$71,MATCH($H29,'Path Scorecard'!$H$5:$H$71,0))</f>
        <v>75</v>
      </c>
      <c r="F29" s="7" t="s">
        <v>468</v>
      </c>
      <c r="G29" s="6">
        <v>3</v>
      </c>
      <c r="H29" s="6" t="s">
        <v>469</v>
      </c>
      <c r="I29" s="16">
        <v>374</v>
      </c>
      <c r="J29" s="16">
        <v>0</v>
      </c>
      <c r="K29" s="6" t="str">
        <f>INDEX('Path Scorecard'!$AD$5:$AD$71,MATCH($H29,'Path Scorecard'!$H$5:$H$71,0))</f>
        <v/>
      </c>
      <c r="L29" s="7" t="str">
        <f>INDEX('Path Scorecard'!$AE$5:$AE$71,MATCH($H29,'Path Scorecard'!$H$5:$H$71,0))</f>
        <v>Amazon</v>
      </c>
      <c r="M29" s="10" t="str">
        <f>INDEX('Path Scorecard'!$AF$5:$AF$71,MATCH($H29,'Path Scorecard'!$H$5:$H$71,0))</f>
        <v>Best Buy</v>
      </c>
      <c r="N29" s="10" t="s">
        <v>470</v>
      </c>
      <c r="O29" s="10" t="s">
        <v>471</v>
      </c>
      <c r="P29" s="10" t="s">
        <v>472</v>
      </c>
      <c r="Q29" s="10" t="s">
        <v>473</v>
      </c>
      <c r="R29" s="10" t="s">
        <v>474</v>
      </c>
      <c r="S29" s="10" t="s">
        <v>475</v>
      </c>
      <c r="T29" s="10" t="s">
        <v>476</v>
      </c>
    </row>
    <row r="30" spans="1:20" ht="90" customHeight="1" x14ac:dyDescent="0.3">
      <c r="A30" s="6">
        <f>INDEX('Path Scorecard'!$AA$5:$AA$71,MATCH($H30,'Path Scorecard'!$H$5:$H$71,0))</f>
        <v>28</v>
      </c>
      <c r="B30" s="17" t="str">
        <f>INDEX('Path Scorecard'!$AB$5:$AB$71,MATCH($H30,'Path Scorecard'!$H$5:$H$71,0))</f>
        <v>Tier 2</v>
      </c>
      <c r="C30" s="17" t="str">
        <f>INDEX('Path Scorecard'!$Q$5:$Q$71,MATCH($H30,'Path Scorecard'!$H$5:$H$71,0))</f>
        <v>Probable Hero</v>
      </c>
      <c r="D30" s="17" t="str">
        <f>INDEX('Path Scorecard'!$AC$5:$AC$71,MATCH($H30,'Path Scorecard'!$H$5:$H$71,0))</f>
        <v>BUILD</v>
      </c>
      <c r="E30" s="8">
        <f>INDEX('Path Scorecard'!$Z$5:$Z$71,MATCH($H30,'Path Scorecard'!$H$5:$H$71,0))</f>
        <v>74</v>
      </c>
      <c r="F30" s="7" t="s">
        <v>194</v>
      </c>
      <c r="G30" s="6">
        <v>3</v>
      </c>
      <c r="H30" s="6" t="s">
        <v>195</v>
      </c>
      <c r="I30" s="16">
        <v>75</v>
      </c>
      <c r="J30" s="16">
        <v>40</v>
      </c>
      <c r="K30" s="6" t="str">
        <f>INDEX('Path Scorecard'!$AD$5:$AD$71,MATCH($H30,'Path Scorecard'!$H$5:$H$71,0))</f>
        <v/>
      </c>
      <c r="L30" s="7" t="str">
        <f>INDEX('Path Scorecard'!$AE$5:$AE$71,MATCH($H30,'Path Scorecard'!$H$5:$H$71,0))</f>
        <v>Wayfair</v>
      </c>
      <c r="M30" s="10" t="str">
        <f>INDEX('Path Scorecard'!$AF$5:$AF$71,MATCH($H30,'Path Scorecard'!$H$5:$H$71,0))</f>
        <v>Amazon</v>
      </c>
      <c r="N30" s="10" t="s">
        <v>477</v>
      </c>
      <c r="O30" s="10" t="s">
        <v>478</v>
      </c>
      <c r="P30" s="10" t="s">
        <v>479</v>
      </c>
      <c r="Q30" s="10" t="s">
        <v>480</v>
      </c>
      <c r="R30" s="10" t="s">
        <v>481</v>
      </c>
      <c r="S30" s="10" t="s">
        <v>482</v>
      </c>
      <c r="T30" s="10" t="s">
        <v>483</v>
      </c>
    </row>
    <row r="31" spans="1:20" ht="90" customHeight="1" x14ac:dyDescent="0.3">
      <c r="A31" s="6">
        <f>INDEX('Path Scorecard'!$AA$5:$AA$71,MATCH($H31,'Path Scorecard'!$H$5:$H$71,0))</f>
        <v>28</v>
      </c>
      <c r="B31" s="17" t="str">
        <f>INDEX('Path Scorecard'!$AB$5:$AB$71,MATCH($H31,'Path Scorecard'!$H$5:$H$71,0))</f>
        <v>Tier 2</v>
      </c>
      <c r="C31" s="17" t="str">
        <f>INDEX('Path Scorecard'!$Q$5:$Q$71,MATCH($H31,'Path Scorecard'!$H$5:$H$71,0))</f>
        <v>Hero</v>
      </c>
      <c r="D31" s="17" t="str">
        <f>INDEX('Path Scorecard'!$AC$5:$AC$71,MATCH($H31,'Path Scorecard'!$H$5:$H$71,0))</f>
        <v>EXTEND</v>
      </c>
      <c r="E31" s="8">
        <f>INDEX('Path Scorecard'!$Z$5:$Z$71,MATCH($H31,'Path Scorecard'!$H$5:$H$71,0))</f>
        <v>74</v>
      </c>
      <c r="F31" s="7" t="s">
        <v>286</v>
      </c>
      <c r="G31" s="6">
        <v>3</v>
      </c>
      <c r="H31" s="6" t="s">
        <v>287</v>
      </c>
      <c r="I31" s="16">
        <v>1234</v>
      </c>
      <c r="J31" s="16">
        <v>0</v>
      </c>
      <c r="K31" s="6" t="str">
        <f>INDEX('Path Scorecard'!$AD$5:$AD$71,MATCH($H31,'Path Scorecard'!$H$5:$H$71,0))</f>
        <v/>
      </c>
      <c r="L31" s="7" t="str">
        <f>INDEX('Path Scorecard'!$AE$5:$AE$71,MATCH($H31,'Path Scorecard'!$H$5:$H$71,0))</f>
        <v>Amazon</v>
      </c>
      <c r="M31" s="10" t="str">
        <f>INDEX('Path Scorecard'!$AF$5:$AF$71,MATCH($H31,'Path Scorecard'!$H$5:$H$71,0))</f>
        <v>Target</v>
      </c>
      <c r="N31" s="10" t="s">
        <v>484</v>
      </c>
      <c r="O31" s="10" t="s">
        <v>485</v>
      </c>
      <c r="P31" s="10" t="s">
        <v>486</v>
      </c>
      <c r="Q31" s="10" t="s">
        <v>487</v>
      </c>
      <c r="R31" s="10" t="s">
        <v>488</v>
      </c>
      <c r="S31" s="10" t="s">
        <v>489</v>
      </c>
      <c r="T31" s="10" t="s">
        <v>490</v>
      </c>
    </row>
    <row r="32" spans="1:20" ht="90" customHeight="1" x14ac:dyDescent="0.3">
      <c r="A32" s="6">
        <f>INDEX('Path Scorecard'!$AA$5:$AA$71,MATCH($H32,'Path Scorecard'!$H$5:$H$71,0))</f>
        <v>30</v>
      </c>
      <c r="B32" s="17" t="str">
        <f>INDEX('Path Scorecard'!$AB$5:$AB$71,MATCH($H32,'Path Scorecard'!$H$5:$H$71,0))</f>
        <v>Tier 2</v>
      </c>
      <c r="C32" s="17" t="str">
        <f>INDEX('Path Scorecard'!$Q$5:$Q$71,MATCH($H32,'Path Scorecard'!$H$5:$H$71,0))</f>
        <v>Probable Hero</v>
      </c>
      <c r="D32" s="17" t="str">
        <f>INDEX('Path Scorecard'!$AC$5:$AC$71,MATCH($H32,'Path Scorecard'!$H$5:$H$71,0))</f>
        <v>BUILD</v>
      </c>
      <c r="E32" s="8">
        <f>INDEX('Path Scorecard'!$Z$5:$Z$71,MATCH($H32,'Path Scorecard'!$H$5:$H$71,0))</f>
        <v>73</v>
      </c>
      <c r="F32" s="7" t="s">
        <v>191</v>
      </c>
      <c r="G32" s="6">
        <v>4</v>
      </c>
      <c r="H32" s="6" t="s">
        <v>192</v>
      </c>
      <c r="I32" s="16">
        <v>617</v>
      </c>
      <c r="J32" s="16">
        <v>601</v>
      </c>
      <c r="K32" s="6" t="str">
        <f>INDEX('Path Scorecard'!$AD$5:$AD$71,MATCH($H32,'Path Scorecard'!$H$5:$H$71,0))</f>
        <v/>
      </c>
      <c r="L32" s="7" t="str">
        <f>INDEX('Path Scorecard'!$AE$5:$AE$71,MATCH($H32,'Path Scorecard'!$H$5:$H$71,0))</f>
        <v>Wayfair</v>
      </c>
      <c r="M32" s="10" t="str">
        <f>INDEX('Path Scorecard'!$AF$5:$AF$71,MATCH($H32,'Path Scorecard'!$H$5:$H$71,0))</f>
        <v>Amazon</v>
      </c>
      <c r="N32" s="10" t="s">
        <v>491</v>
      </c>
      <c r="O32" s="10" t="s">
        <v>492</v>
      </c>
      <c r="P32" s="10" t="s">
        <v>493</v>
      </c>
      <c r="Q32" s="10" t="s">
        <v>494</v>
      </c>
      <c r="R32" s="10" t="s">
        <v>458</v>
      </c>
      <c r="S32" s="10" t="s">
        <v>495</v>
      </c>
      <c r="T32" s="10" t="s">
        <v>496</v>
      </c>
    </row>
    <row r="33" spans="1:20" ht="90" customHeight="1" x14ac:dyDescent="0.3">
      <c r="A33" s="6">
        <f>INDEX('Path Scorecard'!$AA$5:$AA$71,MATCH($H33,'Path Scorecard'!$H$5:$H$71,0))</f>
        <v>30</v>
      </c>
      <c r="B33" s="17" t="str">
        <f>INDEX('Path Scorecard'!$AB$5:$AB$71,MATCH($H33,'Path Scorecard'!$H$5:$H$71,0))</f>
        <v>Tier 2</v>
      </c>
      <c r="C33" s="17" t="str">
        <f>INDEX('Path Scorecard'!$Q$5:$Q$71,MATCH($H33,'Path Scorecard'!$H$5:$H$71,0))</f>
        <v>Probable Hero</v>
      </c>
      <c r="D33" s="17" t="str">
        <f>INDEX('Path Scorecard'!$AC$5:$AC$71,MATCH($H33,'Path Scorecard'!$H$5:$H$71,0))</f>
        <v>BUILD</v>
      </c>
      <c r="E33" s="8">
        <f>INDEX('Path Scorecard'!$Z$5:$Z$71,MATCH($H33,'Path Scorecard'!$H$5:$H$71,0))</f>
        <v>73</v>
      </c>
      <c r="F33" s="7" t="s">
        <v>225</v>
      </c>
      <c r="G33" s="6">
        <v>3</v>
      </c>
      <c r="H33" s="6" t="s">
        <v>226</v>
      </c>
      <c r="I33" s="16">
        <v>132</v>
      </c>
      <c r="J33" s="16">
        <v>120</v>
      </c>
      <c r="K33" s="6" t="str">
        <f>INDEX('Path Scorecard'!$AD$5:$AD$71,MATCH($H33,'Path Scorecard'!$H$5:$H$71,0))</f>
        <v/>
      </c>
      <c r="L33" s="7" t="str">
        <f>INDEX('Path Scorecard'!$AE$5:$AE$71,MATCH($H33,'Path Scorecard'!$H$5:$H$71,0))</f>
        <v>Wayfair</v>
      </c>
      <c r="M33" s="10" t="str">
        <f>INDEX('Path Scorecard'!$AF$5:$AF$71,MATCH($H33,'Path Scorecard'!$H$5:$H$71,0))</f>
        <v>Target</v>
      </c>
      <c r="N33" s="10" t="s">
        <v>497</v>
      </c>
      <c r="O33" s="10" t="s">
        <v>498</v>
      </c>
      <c r="P33" s="10" t="s">
        <v>499</v>
      </c>
      <c r="Q33" s="10" t="s">
        <v>464</v>
      </c>
      <c r="R33" s="10" t="s">
        <v>500</v>
      </c>
      <c r="S33" s="10" t="s">
        <v>501</v>
      </c>
      <c r="T33" s="10" t="s">
        <v>502</v>
      </c>
    </row>
    <row r="34" spans="1:20" ht="90" customHeight="1" x14ac:dyDescent="0.3">
      <c r="A34" s="6">
        <f>INDEX('Path Scorecard'!$AA$5:$AA$71,MATCH($H34,'Path Scorecard'!$H$5:$H$71,0))</f>
        <v>30</v>
      </c>
      <c r="B34" s="17" t="str">
        <f>INDEX('Path Scorecard'!$AB$5:$AB$71,MATCH($H34,'Path Scorecard'!$H$5:$H$71,0))</f>
        <v>Tier 2</v>
      </c>
      <c r="C34" s="17" t="str">
        <f>INDEX('Path Scorecard'!$Q$5:$Q$71,MATCH($H34,'Path Scorecard'!$H$5:$H$71,0))</f>
        <v>Hero</v>
      </c>
      <c r="D34" s="17" t="str">
        <f>INDEX('Path Scorecard'!$AC$5:$AC$71,MATCH($H34,'Path Scorecard'!$H$5:$H$71,0))</f>
        <v>EXTEND</v>
      </c>
      <c r="E34" s="8">
        <f>INDEX('Path Scorecard'!$Z$5:$Z$71,MATCH($H34,'Path Scorecard'!$H$5:$H$71,0))</f>
        <v>73</v>
      </c>
      <c r="F34" s="7" t="s">
        <v>258</v>
      </c>
      <c r="G34" s="6">
        <v>3</v>
      </c>
      <c r="H34" s="6" t="s">
        <v>259</v>
      </c>
      <c r="I34" s="16">
        <v>148</v>
      </c>
      <c r="J34" s="16">
        <v>103</v>
      </c>
      <c r="K34" s="6" t="str">
        <f>INDEX('Path Scorecard'!$AD$5:$AD$71,MATCH($H34,'Path Scorecard'!$H$5:$H$71,0))</f>
        <v/>
      </c>
      <c r="L34" s="7" t="str">
        <f>INDEX('Path Scorecard'!$AE$5:$AE$71,MATCH($H34,'Path Scorecard'!$H$5:$H$71,0))</f>
        <v>Amazon</v>
      </c>
      <c r="M34" s="10" t="str">
        <f>INDEX('Path Scorecard'!$AF$5:$AF$71,MATCH($H34,'Path Scorecard'!$H$5:$H$71,0))</f>
        <v>Michaels</v>
      </c>
      <c r="N34" s="10" t="s">
        <v>503</v>
      </c>
      <c r="O34" s="10" t="s">
        <v>504</v>
      </c>
      <c r="P34" s="10" t="s">
        <v>505</v>
      </c>
      <c r="Q34" s="10" t="s">
        <v>506</v>
      </c>
      <c r="R34" s="10" t="s">
        <v>507</v>
      </c>
      <c r="S34" s="10" t="s">
        <v>508</v>
      </c>
      <c r="T34" s="10" t="s">
        <v>509</v>
      </c>
    </row>
    <row r="35" spans="1:20" ht="90" customHeight="1" x14ac:dyDescent="0.3">
      <c r="A35" s="6">
        <f>INDEX('Path Scorecard'!$AA$5:$AA$71,MATCH($H35,'Path Scorecard'!$H$5:$H$71,0))</f>
        <v>30</v>
      </c>
      <c r="B35" s="17" t="str">
        <f>INDEX('Path Scorecard'!$AB$5:$AB$71,MATCH($H35,'Path Scorecard'!$H$5:$H$71,0))</f>
        <v>Tier 2</v>
      </c>
      <c r="C35" s="17" t="str">
        <f>INDEX('Path Scorecard'!$Q$5:$Q$71,MATCH($H35,'Path Scorecard'!$H$5:$H$71,0))</f>
        <v>Hero</v>
      </c>
      <c r="D35" s="17" t="str">
        <f>INDEX('Path Scorecard'!$AC$5:$AC$71,MATCH($H35,'Path Scorecard'!$H$5:$H$71,0))</f>
        <v>EXTEND</v>
      </c>
      <c r="E35" s="8">
        <f>INDEX('Path Scorecard'!$Z$5:$Z$71,MATCH($H35,'Path Scorecard'!$H$5:$H$71,0))</f>
        <v>73</v>
      </c>
      <c r="F35" s="7" t="s">
        <v>261</v>
      </c>
      <c r="G35" s="6">
        <v>3</v>
      </c>
      <c r="H35" s="6" t="s">
        <v>262</v>
      </c>
      <c r="I35" s="16">
        <v>396</v>
      </c>
      <c r="J35" s="16">
        <v>387</v>
      </c>
      <c r="K35" s="6" t="str">
        <f>INDEX('Path Scorecard'!$AD$5:$AD$71,MATCH($H35,'Path Scorecard'!$H$5:$H$71,0))</f>
        <v/>
      </c>
      <c r="L35" s="7" t="str">
        <f>INDEX('Path Scorecard'!$AE$5:$AE$71,MATCH($H35,'Path Scorecard'!$H$5:$H$71,0))</f>
        <v>Amazon</v>
      </c>
      <c r="M35" s="10" t="str">
        <f>INDEX('Path Scorecard'!$AF$5:$AF$71,MATCH($H35,'Path Scorecard'!$H$5:$H$71,0))</f>
        <v>Uline</v>
      </c>
      <c r="N35" s="10" t="s">
        <v>510</v>
      </c>
      <c r="O35" s="10" t="s">
        <v>511</v>
      </c>
      <c r="P35" s="10" t="s">
        <v>512</v>
      </c>
      <c r="Q35" s="10" t="s">
        <v>513</v>
      </c>
      <c r="R35" s="10" t="s">
        <v>514</v>
      </c>
      <c r="S35" s="10" t="s">
        <v>515</v>
      </c>
      <c r="T35" s="10" t="s">
        <v>516</v>
      </c>
    </row>
    <row r="36" spans="1:20" ht="90" customHeight="1" x14ac:dyDescent="0.3">
      <c r="A36" s="6">
        <f>INDEX('Path Scorecard'!$AA$5:$AA$71,MATCH($H36,'Path Scorecard'!$H$5:$H$71,0))</f>
        <v>34</v>
      </c>
      <c r="B36" s="17" t="str">
        <f>INDEX('Path Scorecard'!$AB$5:$AB$71,MATCH($H36,'Path Scorecard'!$H$5:$H$71,0))</f>
        <v>Tier 2</v>
      </c>
      <c r="C36" s="17" t="str">
        <f>INDEX('Path Scorecard'!$Q$5:$Q$71,MATCH($H36,'Path Scorecard'!$H$5:$H$71,0))</f>
        <v>Hero</v>
      </c>
      <c r="D36" s="17" t="str">
        <f>INDEX('Path Scorecard'!$AC$5:$AC$71,MATCH($H36,'Path Scorecard'!$H$5:$H$71,0))</f>
        <v>EXTEND</v>
      </c>
      <c r="E36" s="8">
        <f>INDEX('Path Scorecard'!$Z$5:$Z$71,MATCH($H36,'Path Scorecard'!$H$5:$H$71,0))</f>
        <v>72</v>
      </c>
      <c r="F36" s="7" t="s">
        <v>295</v>
      </c>
      <c r="G36" s="6">
        <v>3</v>
      </c>
      <c r="H36" s="6" t="s">
        <v>296</v>
      </c>
      <c r="I36" s="16">
        <v>660</v>
      </c>
      <c r="J36" s="16">
        <v>0</v>
      </c>
      <c r="K36" s="6" t="str">
        <f>INDEX('Path Scorecard'!$AD$5:$AD$71,MATCH($H36,'Path Scorecard'!$H$5:$H$71,0))</f>
        <v/>
      </c>
      <c r="L36" s="7" t="str">
        <f>INDEX('Path Scorecard'!$AE$5:$AE$71,MATCH($H36,'Path Scorecard'!$H$5:$H$71,0))</f>
        <v>Target</v>
      </c>
      <c r="M36" s="10" t="str">
        <f>INDEX('Path Scorecard'!$AF$5:$AF$71,MATCH($H36,'Path Scorecard'!$H$5:$H$71,0))</f>
        <v>Amazon</v>
      </c>
      <c r="N36" s="10" t="s">
        <v>517</v>
      </c>
      <c r="O36" s="10" t="s">
        <v>518</v>
      </c>
      <c r="P36" s="10" t="s">
        <v>519</v>
      </c>
      <c r="Q36" s="10" t="s">
        <v>520</v>
      </c>
      <c r="R36" s="10" t="s">
        <v>521</v>
      </c>
      <c r="S36" s="10" t="s">
        <v>522</v>
      </c>
      <c r="T36" s="10" t="s">
        <v>523</v>
      </c>
    </row>
    <row r="37" spans="1:20" ht="90" customHeight="1" x14ac:dyDescent="0.3">
      <c r="A37" s="6">
        <f>INDEX('Path Scorecard'!$AA$5:$AA$71,MATCH($H37,'Path Scorecard'!$H$5:$H$71,0))</f>
        <v>34</v>
      </c>
      <c r="B37" s="17" t="str">
        <f>INDEX('Path Scorecard'!$AB$5:$AB$71,MATCH($H37,'Path Scorecard'!$H$5:$H$71,0))</f>
        <v>Tier 2</v>
      </c>
      <c r="C37" s="17" t="str">
        <f>INDEX('Path Scorecard'!$Q$5:$Q$71,MATCH($H37,'Path Scorecard'!$H$5:$H$71,0))</f>
        <v>Probable Hero</v>
      </c>
      <c r="D37" s="17" t="str">
        <f>INDEX('Path Scorecard'!$AC$5:$AC$71,MATCH($H37,'Path Scorecard'!$H$5:$H$71,0))</f>
        <v>BUILD</v>
      </c>
      <c r="E37" s="8">
        <f>INDEX('Path Scorecard'!$Z$5:$Z$71,MATCH($H37,'Path Scorecard'!$H$5:$H$71,0))</f>
        <v>72</v>
      </c>
      <c r="F37" s="7" t="s">
        <v>289</v>
      </c>
      <c r="G37" s="6">
        <v>3</v>
      </c>
      <c r="H37" s="6" t="s">
        <v>290</v>
      </c>
      <c r="I37" s="16">
        <v>63</v>
      </c>
      <c r="J37" s="16">
        <v>0</v>
      </c>
      <c r="K37" s="6" t="str">
        <f>INDEX('Path Scorecard'!$AD$5:$AD$71,MATCH($H37,'Path Scorecard'!$H$5:$H$71,0))</f>
        <v/>
      </c>
      <c r="L37" s="7" t="str">
        <f>INDEX('Path Scorecard'!$AE$5:$AE$71,MATCH($H37,'Path Scorecard'!$H$5:$H$71,0))</f>
        <v>Amazon</v>
      </c>
      <c r="M37" s="10" t="str">
        <f>INDEX('Path Scorecard'!$AF$5:$AF$71,MATCH($H37,'Path Scorecard'!$H$5:$H$71,0))</f>
        <v>Wayfair</v>
      </c>
      <c r="N37" s="10" t="s">
        <v>524</v>
      </c>
      <c r="O37" s="10" t="s">
        <v>525</v>
      </c>
      <c r="P37" s="10" t="s">
        <v>526</v>
      </c>
      <c r="Q37" s="10" t="s">
        <v>527</v>
      </c>
      <c r="R37" s="10" t="s">
        <v>528</v>
      </c>
      <c r="S37" s="10" t="s">
        <v>529</v>
      </c>
      <c r="T37" s="10" t="s">
        <v>530</v>
      </c>
    </row>
  </sheetData>
  <autoFilter ref="A4:T37" xr:uid="{00000000-0009-0000-0000-000003000000}"/>
  <conditionalFormatting sqref="B5:B37">
    <cfRule type="expression" dxfId="29" priority="1">
      <formula>LEFT($B5,6)="Tier 1"</formula>
    </cfRule>
    <cfRule type="expression" dxfId="28" priority="2">
      <formula>LEFT($B5,6)="Tier 2"</formula>
    </cfRule>
    <cfRule type="expression" dxfId="27" priority="3">
      <formula>LEFT($B5,6)="Tier 3"</formula>
    </cfRule>
    <cfRule type="expression" dxfId="26" priority="4">
      <formula>LEFT($B5,6)="Parked"</formula>
    </cfRule>
  </conditionalFormatting>
  <conditionalFormatting sqref="C5:C37">
    <cfRule type="expression" dxfId="25" priority="5">
      <formula>$C5="Hero"</formula>
    </cfRule>
    <cfRule type="expression" dxfId="24" priority="6">
      <formula>$C5="Probable Hero"</formula>
    </cfRule>
    <cfRule type="expression" dxfId="23" priority="7">
      <formula>$C5="Non-Hero"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F78"/>
  <sheetViews>
    <sheetView showGridLines="0" workbookViewId="0"/>
  </sheetViews>
  <sheetFormatPr defaultRowHeight="14.4" x14ac:dyDescent="0.3"/>
  <cols>
    <col min="1" max="1" width="8" customWidth="1"/>
    <col min="2" max="2" width="34" customWidth="1"/>
    <col min="3" max="3" width="48" customWidth="1"/>
    <col min="4" max="5" width="38" customWidth="1"/>
    <col min="6" max="6" width="10" customWidth="1"/>
  </cols>
  <sheetData>
    <row r="1" spans="1:6" ht="21" x14ac:dyDescent="0.4">
      <c r="A1" s="1" t="s">
        <v>531</v>
      </c>
    </row>
    <row r="2" spans="1:6" x14ac:dyDescent="0.3">
      <c r="A2" s="2" t="s">
        <v>532</v>
      </c>
    </row>
    <row r="4" spans="1:6" ht="15.6" x14ac:dyDescent="0.3">
      <c r="A4" s="4" t="s">
        <v>533</v>
      </c>
    </row>
    <row r="5" spans="1:6" x14ac:dyDescent="0.3">
      <c r="A5" s="5" t="s">
        <v>534</v>
      </c>
      <c r="B5" s="5" t="s">
        <v>535</v>
      </c>
      <c r="C5" s="5" t="s">
        <v>536</v>
      </c>
      <c r="D5" s="5" t="s">
        <v>537</v>
      </c>
    </row>
    <row r="6" spans="1:6" ht="42" customHeight="1" x14ac:dyDescent="0.3">
      <c r="A6" s="7" t="s">
        <v>538</v>
      </c>
      <c r="B6" s="10" t="s">
        <v>539</v>
      </c>
      <c r="C6" s="10" t="s">
        <v>540</v>
      </c>
      <c r="D6" s="10" t="s">
        <v>541</v>
      </c>
    </row>
    <row r="7" spans="1:6" ht="42" customHeight="1" x14ac:dyDescent="0.3">
      <c r="A7" s="7" t="s">
        <v>542</v>
      </c>
      <c r="B7" s="10" t="s">
        <v>543</v>
      </c>
      <c r="C7" s="10" t="s">
        <v>544</v>
      </c>
      <c r="D7" s="10" t="s">
        <v>545</v>
      </c>
    </row>
    <row r="8" spans="1:6" ht="42" customHeight="1" x14ac:dyDescent="0.3">
      <c r="A8" s="7" t="s">
        <v>546</v>
      </c>
      <c r="B8" s="10" t="s">
        <v>547</v>
      </c>
      <c r="C8" s="10" t="s">
        <v>548</v>
      </c>
      <c r="D8" s="10" t="s">
        <v>549</v>
      </c>
    </row>
    <row r="9" spans="1:6" ht="42" customHeight="1" x14ac:dyDescent="0.3">
      <c r="A9" s="7" t="s">
        <v>550</v>
      </c>
      <c r="B9" s="10" t="s">
        <v>551</v>
      </c>
      <c r="C9" s="10" t="s">
        <v>552</v>
      </c>
      <c r="D9" s="10" t="s">
        <v>553</v>
      </c>
    </row>
    <row r="10" spans="1:6" ht="42" customHeight="1" x14ac:dyDescent="0.3"/>
    <row r="11" spans="1:6" ht="42" customHeight="1" x14ac:dyDescent="0.3">
      <c r="A11" s="4" t="s">
        <v>554</v>
      </c>
    </row>
    <row r="12" spans="1:6" ht="42" customHeight="1" x14ac:dyDescent="0.3">
      <c r="A12" s="5" t="s">
        <v>534</v>
      </c>
      <c r="B12" s="5" t="s">
        <v>555</v>
      </c>
      <c r="C12" s="5" t="s">
        <v>556</v>
      </c>
      <c r="D12" s="5" t="s">
        <v>557</v>
      </c>
      <c r="E12" s="5" t="s">
        <v>558</v>
      </c>
      <c r="F12" s="5" t="s">
        <v>559</v>
      </c>
    </row>
    <row r="13" spans="1:6" ht="42" customHeight="1" x14ac:dyDescent="0.3">
      <c r="A13" s="7" t="s">
        <v>560</v>
      </c>
      <c r="B13" s="10" t="s">
        <v>561</v>
      </c>
      <c r="C13" s="10" t="s">
        <v>562</v>
      </c>
      <c r="D13" s="10" t="s">
        <v>563</v>
      </c>
      <c r="E13" s="10" t="s">
        <v>564</v>
      </c>
      <c r="F13" s="18">
        <v>20</v>
      </c>
    </row>
    <row r="14" spans="1:6" ht="42" customHeight="1" x14ac:dyDescent="0.3">
      <c r="A14" s="7" t="s">
        <v>565</v>
      </c>
      <c r="B14" s="10" t="s">
        <v>566</v>
      </c>
      <c r="C14" s="10" t="s">
        <v>567</v>
      </c>
      <c r="D14" s="10" t="s">
        <v>568</v>
      </c>
      <c r="E14" s="10" t="s">
        <v>569</v>
      </c>
      <c r="F14" s="18">
        <v>15</v>
      </c>
    </row>
    <row r="15" spans="1:6" ht="42" customHeight="1" x14ac:dyDescent="0.3">
      <c r="A15" s="7" t="s">
        <v>570</v>
      </c>
      <c r="B15" s="10" t="s">
        <v>571</v>
      </c>
      <c r="C15" s="10" t="s">
        <v>572</v>
      </c>
      <c r="D15" s="10" t="s">
        <v>573</v>
      </c>
      <c r="E15" s="10" t="s">
        <v>574</v>
      </c>
      <c r="F15" s="18">
        <v>15</v>
      </c>
    </row>
    <row r="16" spans="1:6" ht="42" customHeight="1" x14ac:dyDescent="0.3">
      <c r="A16" s="7" t="s">
        <v>575</v>
      </c>
      <c r="B16" s="10" t="s">
        <v>576</v>
      </c>
      <c r="C16" s="10" t="s">
        <v>577</v>
      </c>
      <c r="D16" s="10" t="s">
        <v>578</v>
      </c>
      <c r="E16" s="10" t="s">
        <v>579</v>
      </c>
      <c r="F16" s="18">
        <v>15</v>
      </c>
    </row>
    <row r="17" spans="1:6" ht="42" customHeight="1" x14ac:dyDescent="0.3">
      <c r="A17" s="7" t="s">
        <v>580</v>
      </c>
      <c r="B17" s="10" t="s">
        <v>581</v>
      </c>
      <c r="C17" s="10" t="s">
        <v>582</v>
      </c>
      <c r="D17" s="10" t="s">
        <v>583</v>
      </c>
      <c r="E17" s="10" t="s">
        <v>584</v>
      </c>
      <c r="F17" s="18">
        <v>10</v>
      </c>
    </row>
    <row r="18" spans="1:6" ht="42" customHeight="1" x14ac:dyDescent="0.3">
      <c r="A18" s="7" t="s">
        <v>585</v>
      </c>
      <c r="B18" s="10" t="s">
        <v>586</v>
      </c>
      <c r="C18" s="10" t="s">
        <v>587</v>
      </c>
      <c r="D18" s="10" t="s">
        <v>588</v>
      </c>
      <c r="E18" s="10" t="s">
        <v>589</v>
      </c>
      <c r="F18" s="18">
        <v>10</v>
      </c>
    </row>
    <row r="19" spans="1:6" ht="42" customHeight="1" x14ac:dyDescent="0.3">
      <c r="A19" s="7" t="s">
        <v>590</v>
      </c>
      <c r="B19" s="10" t="s">
        <v>18</v>
      </c>
      <c r="C19" s="10" t="s">
        <v>591</v>
      </c>
      <c r="D19" s="10" t="s">
        <v>592</v>
      </c>
      <c r="E19" s="10" t="s">
        <v>593</v>
      </c>
      <c r="F19" s="18">
        <v>5</v>
      </c>
    </row>
    <row r="20" spans="1:6" ht="42" customHeight="1" x14ac:dyDescent="0.3">
      <c r="A20" s="7" t="s">
        <v>594</v>
      </c>
      <c r="B20" s="10" t="s">
        <v>595</v>
      </c>
      <c r="C20" s="10" t="s">
        <v>596</v>
      </c>
      <c r="D20" s="10" t="s">
        <v>597</v>
      </c>
      <c r="E20" s="10" t="s">
        <v>598</v>
      </c>
      <c r="F20" s="18">
        <v>10</v>
      </c>
    </row>
    <row r="21" spans="1:6" x14ac:dyDescent="0.3">
      <c r="E21" s="7" t="s">
        <v>599</v>
      </c>
      <c r="F21" s="17">
        <f>SUM(F13:F20)</f>
        <v>100</v>
      </c>
    </row>
    <row r="23" spans="1:6" ht="15.6" x14ac:dyDescent="0.3">
      <c r="A23" s="4" t="s">
        <v>600</v>
      </c>
    </row>
    <row r="24" spans="1:6" x14ac:dyDescent="0.3">
      <c r="A24" s="5" t="s">
        <v>534</v>
      </c>
      <c r="B24" s="5" t="s">
        <v>601</v>
      </c>
      <c r="C24" s="5" t="s">
        <v>602</v>
      </c>
      <c r="D24" s="5" t="s">
        <v>603</v>
      </c>
    </row>
    <row r="25" spans="1:6" ht="26.4" x14ac:dyDescent="0.3">
      <c r="A25" s="7" t="s">
        <v>604</v>
      </c>
      <c r="B25" s="10" t="s">
        <v>605</v>
      </c>
      <c r="C25" s="18">
        <v>84</v>
      </c>
      <c r="D25" s="10" t="s">
        <v>606</v>
      </c>
    </row>
    <row r="26" spans="1:6" ht="26.4" x14ac:dyDescent="0.3">
      <c r="A26" s="7" t="s">
        <v>607</v>
      </c>
      <c r="B26" s="10" t="s">
        <v>608</v>
      </c>
      <c r="C26" s="18">
        <v>72</v>
      </c>
      <c r="D26" s="10" t="s">
        <v>609</v>
      </c>
    </row>
    <row r="27" spans="1:6" x14ac:dyDescent="0.3">
      <c r="A27" s="7" t="s">
        <v>546</v>
      </c>
      <c r="B27" s="10" t="s">
        <v>610</v>
      </c>
      <c r="C27" s="18">
        <v>20</v>
      </c>
      <c r="D27" s="10" t="s">
        <v>611</v>
      </c>
    </row>
    <row r="28" spans="1:6" ht="26.4" x14ac:dyDescent="0.3">
      <c r="A28" s="7" t="s">
        <v>612</v>
      </c>
      <c r="B28" s="10" t="s">
        <v>613</v>
      </c>
      <c r="C28" s="18">
        <v>100</v>
      </c>
      <c r="D28" s="10" t="s">
        <v>614</v>
      </c>
    </row>
    <row r="30" spans="1:6" ht="15.6" x14ac:dyDescent="0.3">
      <c r="A30" s="4" t="s">
        <v>615</v>
      </c>
    </row>
    <row r="31" spans="1:6" x14ac:dyDescent="0.3">
      <c r="A31" s="5" t="s">
        <v>534</v>
      </c>
      <c r="B31" s="5" t="s">
        <v>555</v>
      </c>
      <c r="C31" s="5" t="s">
        <v>556</v>
      </c>
      <c r="D31" s="5" t="s">
        <v>557</v>
      </c>
      <c r="E31" s="5" t="s">
        <v>558</v>
      </c>
      <c r="F31" s="5" t="s">
        <v>559</v>
      </c>
    </row>
    <row r="32" spans="1:6" ht="26.4" x14ac:dyDescent="0.3">
      <c r="A32" s="7" t="s">
        <v>616</v>
      </c>
      <c r="B32" s="10" t="s">
        <v>617</v>
      </c>
      <c r="C32" s="10" t="s">
        <v>618</v>
      </c>
      <c r="D32" s="10" t="s">
        <v>619</v>
      </c>
      <c r="E32" s="10" t="s">
        <v>620</v>
      </c>
      <c r="F32" s="18">
        <v>30</v>
      </c>
    </row>
    <row r="33" spans="1:6" x14ac:dyDescent="0.3">
      <c r="A33" s="7" t="s">
        <v>621</v>
      </c>
      <c r="B33" s="10" t="s">
        <v>622</v>
      </c>
      <c r="C33" s="10" t="s">
        <v>623</v>
      </c>
      <c r="D33" s="10" t="s">
        <v>624</v>
      </c>
      <c r="E33" s="10" t="s">
        <v>625</v>
      </c>
      <c r="F33" s="18">
        <v>25</v>
      </c>
    </row>
    <row r="34" spans="1:6" ht="26.4" x14ac:dyDescent="0.3">
      <c r="A34" s="7" t="s">
        <v>626</v>
      </c>
      <c r="B34" s="10" t="s">
        <v>627</v>
      </c>
      <c r="C34" s="10" t="s">
        <v>628</v>
      </c>
      <c r="D34" s="10" t="s">
        <v>629</v>
      </c>
      <c r="E34" s="10" t="s">
        <v>630</v>
      </c>
      <c r="F34" s="18">
        <v>15</v>
      </c>
    </row>
    <row r="35" spans="1:6" ht="26.4" x14ac:dyDescent="0.3">
      <c r="A35" s="7" t="s">
        <v>631</v>
      </c>
      <c r="B35" s="10" t="s">
        <v>632</v>
      </c>
      <c r="C35" s="10" t="s">
        <v>633</v>
      </c>
      <c r="D35" s="10" t="s">
        <v>634</v>
      </c>
      <c r="E35" s="10" t="s">
        <v>635</v>
      </c>
      <c r="F35" s="18">
        <v>15</v>
      </c>
    </row>
    <row r="36" spans="1:6" ht="26.4" x14ac:dyDescent="0.3">
      <c r="A36" s="7" t="s">
        <v>636</v>
      </c>
      <c r="B36" s="10" t="s">
        <v>637</v>
      </c>
      <c r="C36" s="10" t="s">
        <v>638</v>
      </c>
      <c r="D36" s="10" t="s">
        <v>639</v>
      </c>
      <c r="E36" s="10" t="s">
        <v>640</v>
      </c>
      <c r="F36" s="18">
        <v>15</v>
      </c>
    </row>
    <row r="37" spans="1:6" x14ac:dyDescent="0.3">
      <c r="E37" s="7" t="s">
        <v>599</v>
      </c>
      <c r="F37" s="17">
        <f>SUM(F32:F36)</f>
        <v>100</v>
      </c>
    </row>
    <row r="39" spans="1:6" ht="15.6" x14ac:dyDescent="0.3">
      <c r="A39" s="4" t="s">
        <v>641</v>
      </c>
    </row>
    <row r="40" spans="1:6" ht="28.05" customHeight="1" x14ac:dyDescent="0.3">
      <c r="A40" s="12" t="s">
        <v>62</v>
      </c>
      <c r="B40" s="28" t="s">
        <v>642</v>
      </c>
      <c r="C40" s="26"/>
      <c r="D40" s="26"/>
      <c r="E40" s="26"/>
      <c r="F40" s="26"/>
    </row>
    <row r="41" spans="1:6" ht="28.05" customHeight="1" x14ac:dyDescent="0.3">
      <c r="A41" s="12" t="s">
        <v>64</v>
      </c>
      <c r="B41" s="28" t="s">
        <v>643</v>
      </c>
      <c r="C41" s="26"/>
      <c r="D41" s="26"/>
      <c r="E41" s="26"/>
      <c r="F41" s="26"/>
    </row>
    <row r="42" spans="1:6" ht="28.05" customHeight="1" x14ac:dyDescent="0.3">
      <c r="A42" s="12" t="s">
        <v>66</v>
      </c>
      <c r="B42" s="28" t="s">
        <v>644</v>
      </c>
      <c r="C42" s="26"/>
      <c r="D42" s="26"/>
      <c r="E42" s="26"/>
      <c r="F42" s="26"/>
    </row>
    <row r="43" spans="1:6" ht="28.05" customHeight="1" x14ac:dyDescent="0.3">
      <c r="A43" s="12" t="s">
        <v>68</v>
      </c>
      <c r="B43" s="28" t="s">
        <v>645</v>
      </c>
      <c r="C43" s="26"/>
      <c r="D43" s="26"/>
      <c r="E43" s="26"/>
      <c r="F43" s="26"/>
    </row>
    <row r="46" spans="1:6" ht="15.6" x14ac:dyDescent="0.3">
      <c r="A46" s="4" t="s">
        <v>646</v>
      </c>
    </row>
    <row r="47" spans="1:6" ht="43.95" customHeight="1" x14ac:dyDescent="0.3">
      <c r="A47" s="28" t="s">
        <v>647</v>
      </c>
      <c r="B47" s="26"/>
      <c r="C47" s="26"/>
      <c r="D47" s="26"/>
      <c r="E47" s="26"/>
      <c r="F47" s="26"/>
    </row>
    <row r="48" spans="1:6" ht="30" customHeight="1" x14ac:dyDescent="0.3">
      <c r="A48" s="5" t="s">
        <v>534</v>
      </c>
      <c r="B48" s="5" t="s">
        <v>648</v>
      </c>
      <c r="C48" s="5" t="s">
        <v>556</v>
      </c>
      <c r="D48" s="5" t="s">
        <v>557</v>
      </c>
      <c r="E48" s="5" t="s">
        <v>558</v>
      </c>
      <c r="F48" s="5" t="s">
        <v>559</v>
      </c>
    </row>
    <row r="49" spans="1:6" ht="30" customHeight="1" x14ac:dyDescent="0.3">
      <c r="A49" s="7" t="s">
        <v>649</v>
      </c>
      <c r="B49" s="10" t="s">
        <v>650</v>
      </c>
      <c r="C49" s="10" t="s">
        <v>651</v>
      </c>
      <c r="D49" s="10" t="s">
        <v>652</v>
      </c>
      <c r="E49" s="10" t="s">
        <v>653</v>
      </c>
      <c r="F49" s="18">
        <v>30</v>
      </c>
    </row>
    <row r="50" spans="1:6" ht="30" customHeight="1" x14ac:dyDescent="0.3">
      <c r="A50" s="7" t="s">
        <v>654</v>
      </c>
      <c r="B50" s="10" t="s">
        <v>655</v>
      </c>
      <c r="C50" s="10" t="s">
        <v>656</v>
      </c>
      <c r="D50" s="10" t="s">
        <v>657</v>
      </c>
      <c r="E50" s="10" t="s">
        <v>658</v>
      </c>
      <c r="F50" s="18">
        <v>15</v>
      </c>
    </row>
    <row r="51" spans="1:6" ht="30" customHeight="1" x14ac:dyDescent="0.3">
      <c r="A51" s="7" t="s">
        <v>659</v>
      </c>
      <c r="B51" s="10" t="s">
        <v>660</v>
      </c>
      <c r="C51" s="10" t="s">
        <v>661</v>
      </c>
      <c r="D51" s="10" t="s">
        <v>662</v>
      </c>
      <c r="E51" s="10" t="s">
        <v>663</v>
      </c>
      <c r="F51" s="18">
        <v>25</v>
      </c>
    </row>
    <row r="52" spans="1:6" ht="30" customHeight="1" x14ac:dyDescent="0.3">
      <c r="A52" s="7" t="s">
        <v>664</v>
      </c>
      <c r="B52" s="10" t="s">
        <v>665</v>
      </c>
      <c r="C52" s="10" t="s">
        <v>666</v>
      </c>
      <c r="D52" s="10" t="s">
        <v>667</v>
      </c>
      <c r="E52" s="10" t="s">
        <v>668</v>
      </c>
      <c r="F52" s="18">
        <v>30</v>
      </c>
    </row>
    <row r="53" spans="1:6" x14ac:dyDescent="0.3">
      <c r="E53" s="7" t="s">
        <v>599</v>
      </c>
      <c r="F53" s="17">
        <f>SUM(F49:F52)</f>
        <v>100</v>
      </c>
    </row>
    <row r="54" spans="1:6" ht="30" customHeight="1" x14ac:dyDescent="0.3">
      <c r="A54" s="5" t="s">
        <v>534</v>
      </c>
      <c r="B54" s="5" t="s">
        <v>669</v>
      </c>
      <c r="C54" s="5" t="s">
        <v>556</v>
      </c>
      <c r="D54" s="5" t="s">
        <v>557</v>
      </c>
      <c r="E54" s="5" t="s">
        <v>558</v>
      </c>
      <c r="F54" s="5" t="s">
        <v>559</v>
      </c>
    </row>
    <row r="55" spans="1:6" ht="30" customHeight="1" x14ac:dyDescent="0.3">
      <c r="A55" s="7" t="s">
        <v>670</v>
      </c>
      <c r="B55" s="10" t="s">
        <v>671</v>
      </c>
      <c r="C55" s="10" t="s">
        <v>672</v>
      </c>
      <c r="D55" s="10" t="s">
        <v>673</v>
      </c>
      <c r="E55" s="10" t="s">
        <v>674</v>
      </c>
      <c r="F55" s="18">
        <v>35</v>
      </c>
    </row>
    <row r="56" spans="1:6" ht="30" customHeight="1" x14ac:dyDescent="0.3">
      <c r="A56" s="7" t="s">
        <v>675</v>
      </c>
      <c r="B56" s="10" t="s">
        <v>676</v>
      </c>
      <c r="C56" s="10" t="s">
        <v>677</v>
      </c>
      <c r="D56" s="10" t="s">
        <v>678</v>
      </c>
      <c r="E56" s="10" t="s">
        <v>679</v>
      </c>
      <c r="F56" s="18">
        <v>25</v>
      </c>
    </row>
    <row r="57" spans="1:6" ht="30" customHeight="1" x14ac:dyDescent="0.3">
      <c r="A57" s="7" t="s">
        <v>680</v>
      </c>
      <c r="B57" s="10" t="s">
        <v>681</v>
      </c>
      <c r="C57" s="10" t="s">
        <v>682</v>
      </c>
      <c r="D57" s="10" t="s">
        <v>683</v>
      </c>
      <c r="E57" s="10" t="s">
        <v>684</v>
      </c>
      <c r="F57" s="18">
        <v>25</v>
      </c>
    </row>
    <row r="58" spans="1:6" ht="30" customHeight="1" x14ac:dyDescent="0.3">
      <c r="A58" s="7" t="s">
        <v>685</v>
      </c>
      <c r="B58" s="10" t="s">
        <v>686</v>
      </c>
      <c r="C58" s="10" t="s">
        <v>687</v>
      </c>
      <c r="D58" s="10" t="s">
        <v>688</v>
      </c>
      <c r="E58" s="10" t="s">
        <v>689</v>
      </c>
      <c r="F58" s="18">
        <v>15</v>
      </c>
    </row>
    <row r="59" spans="1:6" x14ac:dyDescent="0.3">
      <c r="E59" s="7" t="s">
        <v>599</v>
      </c>
      <c r="F59" s="17">
        <f>SUM(F55:F58)</f>
        <v>100</v>
      </c>
    </row>
    <row r="61" spans="1:6" x14ac:dyDescent="0.3">
      <c r="A61" s="5" t="s">
        <v>534</v>
      </c>
      <c r="B61" s="5" t="s">
        <v>690</v>
      </c>
      <c r="C61" s="5" t="s">
        <v>602</v>
      </c>
      <c r="D61" s="5" t="s">
        <v>603</v>
      </c>
    </row>
    <row r="62" spans="1:6" ht="26.4" x14ac:dyDescent="0.3">
      <c r="A62" s="7" t="s">
        <v>691</v>
      </c>
      <c r="B62" s="10" t="s">
        <v>692</v>
      </c>
      <c r="C62" s="18">
        <v>65</v>
      </c>
      <c r="D62" s="10" t="s">
        <v>693</v>
      </c>
    </row>
    <row r="63" spans="1:6" x14ac:dyDescent="0.3">
      <c r="A63" s="7" t="s">
        <v>694</v>
      </c>
      <c r="B63" s="10" t="s">
        <v>695</v>
      </c>
      <c r="C63" s="18">
        <v>65</v>
      </c>
      <c r="D63" s="10" t="s">
        <v>696</v>
      </c>
    </row>
    <row r="64" spans="1:6" ht="26.4" x14ac:dyDescent="0.3">
      <c r="A64" s="7" t="s">
        <v>697</v>
      </c>
      <c r="B64" s="10" t="s">
        <v>698</v>
      </c>
      <c r="C64" s="18">
        <v>2</v>
      </c>
      <c r="D64" s="10" t="s">
        <v>699</v>
      </c>
    </row>
    <row r="65" spans="1:6" ht="26.4" x14ac:dyDescent="0.3">
      <c r="A65" s="7" t="s">
        <v>700</v>
      </c>
      <c r="B65" s="10" t="s">
        <v>701</v>
      </c>
      <c r="C65" s="18" t="s">
        <v>702</v>
      </c>
      <c r="D65" s="10" t="s">
        <v>703</v>
      </c>
    </row>
    <row r="66" spans="1:6" x14ac:dyDescent="0.3">
      <c r="A66" s="7" t="s">
        <v>704</v>
      </c>
      <c r="B66" s="10" t="s">
        <v>705</v>
      </c>
      <c r="C66" s="18">
        <v>1000</v>
      </c>
      <c r="D66" s="10"/>
    </row>
    <row r="67" spans="1:6" x14ac:dyDescent="0.3">
      <c r="A67" s="7" t="s">
        <v>706</v>
      </c>
      <c r="B67" s="10" t="s">
        <v>707</v>
      </c>
      <c r="C67" s="18">
        <v>500</v>
      </c>
      <c r="D67" s="10"/>
    </row>
    <row r="68" spans="1:6" x14ac:dyDescent="0.3">
      <c r="A68" s="7" t="s">
        <v>708</v>
      </c>
      <c r="B68" s="10" t="s">
        <v>709</v>
      </c>
      <c r="C68" s="18">
        <v>200</v>
      </c>
      <c r="D68" s="10"/>
    </row>
    <row r="69" spans="1:6" x14ac:dyDescent="0.3">
      <c r="A69" s="7" t="s">
        <v>710</v>
      </c>
      <c r="B69" s="10" t="s">
        <v>711</v>
      </c>
      <c r="C69" s="18">
        <v>75</v>
      </c>
      <c r="D69" s="10"/>
    </row>
    <row r="70" spans="1:6" x14ac:dyDescent="0.3">
      <c r="A70" s="7" t="s">
        <v>712</v>
      </c>
      <c r="B70" s="10" t="s">
        <v>713</v>
      </c>
      <c r="C70" s="18">
        <v>5</v>
      </c>
      <c r="D70" s="10"/>
    </row>
    <row r="71" spans="1:6" x14ac:dyDescent="0.3">
      <c r="A71" s="7" t="s">
        <v>714</v>
      </c>
      <c r="B71" s="10" t="s">
        <v>715</v>
      </c>
      <c r="C71" s="18">
        <v>2</v>
      </c>
      <c r="D71" s="10"/>
    </row>
    <row r="73" spans="1:6" ht="15.6" x14ac:dyDescent="0.3">
      <c r="A73" s="4" t="s">
        <v>716</v>
      </c>
    </row>
    <row r="74" spans="1:6" ht="26.4" x14ac:dyDescent="0.3">
      <c r="A74" s="5" t="s">
        <v>717</v>
      </c>
      <c r="B74" s="5" t="s">
        <v>718</v>
      </c>
      <c r="C74" s="5" t="s">
        <v>719</v>
      </c>
      <c r="D74" s="5" t="s">
        <v>720</v>
      </c>
    </row>
    <row r="75" spans="1:6" ht="40.049999999999997" customHeight="1" x14ac:dyDescent="0.3">
      <c r="A75" s="19" t="s">
        <v>721</v>
      </c>
      <c r="B75" s="7" t="s">
        <v>722</v>
      </c>
      <c r="C75" s="10" t="s">
        <v>723</v>
      </c>
      <c r="D75" s="29" t="s">
        <v>724</v>
      </c>
      <c r="E75" s="30"/>
      <c r="F75" s="31"/>
    </row>
    <row r="76" spans="1:6" ht="40.049999999999997" customHeight="1" x14ac:dyDescent="0.3">
      <c r="A76" s="19" t="s">
        <v>721</v>
      </c>
      <c r="B76" s="7" t="s">
        <v>725</v>
      </c>
      <c r="C76" s="10" t="s">
        <v>726</v>
      </c>
      <c r="D76" s="29" t="s">
        <v>727</v>
      </c>
      <c r="E76" s="30"/>
      <c r="F76" s="31"/>
    </row>
    <row r="77" spans="1:6" ht="40.049999999999997" customHeight="1" x14ac:dyDescent="0.3">
      <c r="A77" s="20" t="s">
        <v>728</v>
      </c>
      <c r="B77" s="7" t="s">
        <v>729</v>
      </c>
      <c r="C77" s="10" t="s">
        <v>730</v>
      </c>
      <c r="D77" s="29" t="s">
        <v>731</v>
      </c>
      <c r="E77" s="30"/>
      <c r="F77" s="31"/>
    </row>
    <row r="78" spans="1:6" ht="40.049999999999997" customHeight="1" x14ac:dyDescent="0.3">
      <c r="A78" s="21" t="s">
        <v>732</v>
      </c>
      <c r="B78" s="7" t="s">
        <v>733</v>
      </c>
      <c r="C78" s="10" t="s">
        <v>734</v>
      </c>
      <c r="D78" s="29" t="s">
        <v>735</v>
      </c>
      <c r="E78" s="30"/>
      <c r="F78" s="31"/>
    </row>
  </sheetData>
  <mergeCells count="9">
    <mergeCell ref="D77:F77"/>
    <mergeCell ref="D78:F78"/>
    <mergeCell ref="B40:F40"/>
    <mergeCell ref="B41:F41"/>
    <mergeCell ref="B43:F43"/>
    <mergeCell ref="A47:F47"/>
    <mergeCell ref="D76:F76"/>
    <mergeCell ref="B42:F42"/>
    <mergeCell ref="D75:F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</sheetPr>
  <dimension ref="A1:AG7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0" customWidth="1"/>
    <col min="3" max="3" width="18" customWidth="1"/>
    <col min="4" max="4" width="20" customWidth="1"/>
    <col min="5" max="6" width="24" customWidth="1"/>
    <col min="7" max="7" width="6" customWidth="1"/>
    <col min="8" max="8" width="11" customWidth="1"/>
    <col min="9" max="9" width="9" customWidth="1"/>
    <col min="10" max="10" width="10" customWidth="1"/>
    <col min="11" max="11" width="22" customWidth="1"/>
    <col min="12" max="15" width="9" customWidth="1"/>
    <col min="16" max="16" width="8" customWidth="1"/>
    <col min="17" max="17" width="13" customWidth="1"/>
    <col min="18" max="25" width="7" customWidth="1"/>
    <col min="26" max="26" width="8" customWidth="1"/>
    <col min="27" max="27" width="6" customWidth="1"/>
    <col min="28" max="28" width="9" customWidth="1"/>
    <col min="29" max="29" width="11" customWidth="1"/>
    <col min="30" max="30" width="8" customWidth="1"/>
    <col min="31" max="32" width="20" customWidth="1"/>
    <col min="33" max="33" width="60" customWidth="1"/>
  </cols>
  <sheetData>
    <row r="1" spans="1:33" ht="21" x14ac:dyDescent="0.4">
      <c r="A1" s="1" t="s">
        <v>736</v>
      </c>
    </row>
    <row r="2" spans="1:33" x14ac:dyDescent="0.3">
      <c r="A2" s="2" t="s">
        <v>737</v>
      </c>
    </row>
    <row r="4" spans="1:33" ht="30" customHeight="1" x14ac:dyDescent="0.3">
      <c r="A4" s="5" t="s">
        <v>174</v>
      </c>
      <c r="B4" s="5" t="s">
        <v>738</v>
      </c>
      <c r="C4" s="5" t="s">
        <v>739</v>
      </c>
      <c r="D4" s="5" t="s">
        <v>740</v>
      </c>
      <c r="E4" s="5" t="s">
        <v>21</v>
      </c>
      <c r="F4" s="5" t="s">
        <v>37</v>
      </c>
      <c r="G4" s="5" t="s">
        <v>13</v>
      </c>
      <c r="H4" s="5" t="s">
        <v>176</v>
      </c>
      <c r="I4" s="5" t="s">
        <v>741</v>
      </c>
      <c r="J4" s="5" t="s">
        <v>742</v>
      </c>
      <c r="K4" s="5" t="s">
        <v>743</v>
      </c>
      <c r="L4" s="5" t="s">
        <v>744</v>
      </c>
      <c r="M4" s="5" t="s">
        <v>745</v>
      </c>
      <c r="N4" s="5" t="s">
        <v>746</v>
      </c>
      <c r="O4" s="5" t="s">
        <v>747</v>
      </c>
      <c r="P4" s="5" t="s">
        <v>748</v>
      </c>
      <c r="Q4" s="5" t="s">
        <v>178</v>
      </c>
      <c r="R4" s="5" t="s">
        <v>749</v>
      </c>
      <c r="S4" s="5" t="s">
        <v>750</v>
      </c>
      <c r="T4" s="5" t="s">
        <v>751</v>
      </c>
      <c r="U4" s="5" t="s">
        <v>752</v>
      </c>
      <c r="V4" s="5" t="s">
        <v>753</v>
      </c>
      <c r="W4" s="5" t="s">
        <v>754</v>
      </c>
      <c r="X4" s="5" t="s">
        <v>755</v>
      </c>
      <c r="Y4" s="5" t="s">
        <v>756</v>
      </c>
      <c r="Z4" s="5" t="s">
        <v>757</v>
      </c>
      <c r="AA4" s="5" t="s">
        <v>299</v>
      </c>
      <c r="AB4" s="5" t="s">
        <v>180</v>
      </c>
      <c r="AC4" s="5" t="s">
        <v>179</v>
      </c>
      <c r="AD4" s="5" t="s">
        <v>19</v>
      </c>
      <c r="AE4" s="5" t="s">
        <v>15</v>
      </c>
      <c r="AF4" s="5" t="s">
        <v>16</v>
      </c>
      <c r="AG4" s="5" t="s">
        <v>758</v>
      </c>
    </row>
    <row r="5" spans="1:33" ht="26.4" x14ac:dyDescent="0.3">
      <c r="A5" s="6" t="s">
        <v>274</v>
      </c>
      <c r="B5" s="10" t="s">
        <v>20</v>
      </c>
      <c r="C5" s="10" t="s">
        <v>759</v>
      </c>
      <c r="D5" s="10" t="s">
        <v>760</v>
      </c>
      <c r="E5" s="10" t="s">
        <v>761</v>
      </c>
      <c r="F5" s="10"/>
      <c r="G5" s="6">
        <v>3</v>
      </c>
      <c r="H5" s="6" t="s">
        <v>275</v>
      </c>
      <c r="I5" s="16">
        <v>1037</v>
      </c>
      <c r="J5" s="16">
        <v>1016</v>
      </c>
      <c r="K5" s="10" t="s">
        <v>762</v>
      </c>
      <c r="L5" s="6" t="str">
        <f t="shared" ref="L5:L36" si="0">IF(OR(G5=3,G5=4),"Pass","Fail")</f>
        <v>Pass</v>
      </c>
      <c r="M5" s="18" t="s">
        <v>763</v>
      </c>
      <c r="N5" s="6" t="str">
        <f>IF(I5&gt;='Selection Criteria'!$C$27,"Pass","Fail")</f>
        <v>Pass</v>
      </c>
      <c r="O5" s="18" t="s">
        <v>763</v>
      </c>
      <c r="P5" s="17" t="str">
        <f t="shared" ref="P5:P36" si="1">IF(AND(L5="Pass",M5="Pass",N5="Pass",O5="Pass"),"Pass","Fail")</f>
        <v>Pass</v>
      </c>
      <c r="Q5" s="17" t="str">
        <f>INDEX('Hero Segmentation'!$Q$5:$Q$71,MATCH($A5,'Hero Segmentation'!$A$5:$A$71,0))</f>
        <v>Hero</v>
      </c>
      <c r="R5" s="18">
        <v>5</v>
      </c>
      <c r="S5" s="18">
        <v>5</v>
      </c>
      <c r="T5" s="18">
        <v>4</v>
      </c>
      <c r="U5" s="18">
        <v>5</v>
      </c>
      <c r="V5" s="18">
        <v>5</v>
      </c>
      <c r="W5" s="18">
        <v>5</v>
      </c>
      <c r="X5" s="18">
        <v>5</v>
      </c>
      <c r="Y5" s="18">
        <v>4</v>
      </c>
      <c r="Z5" s="22">
        <f>IF(P5="Pass",(R5*'Selection Criteria'!$F$13+S5*'Selection Criteria'!$F$14+T5*'Selection Criteria'!$F$15+U5*'Selection Criteria'!$F$16+V5*'Selection Criteria'!$F$17+W5*'Selection Criteria'!$F$18+X5*'Selection Criteria'!$F$19+Y5*'Selection Criteria'!$F$20)/(5*'Selection Criteria'!$F$21)*100,"-")</f>
        <v>95</v>
      </c>
      <c r="AA5" s="6">
        <f t="shared" ref="AA5:AA36" si="2">IF(P5="Pass",COUNTIFS($P$5:$P$71,"Pass",$Z$5:$Z$71,"&gt;"&amp;Z5)+1,"-")</f>
        <v>1</v>
      </c>
      <c r="AB5" s="17" t="str">
        <f>IF(P5&lt;&gt;"Pass","Parked (gate)",IF(AND('Selection Criteria'!$C$65="Yes",Q5="Non-Hero"),"Tier 3",IF(Z5&gt;='Selection Criteria'!$C$25,"Tier 1",IF(Z5&gt;='Selection Criteria'!$C$26,"Tier 2","Tier 3"))))</f>
        <v>Tier 1</v>
      </c>
      <c r="AC5" s="6" t="str">
        <f>INDEX('Hero Segmentation'!$R$5:$R$71,MATCH($A5,'Hero Segmentation'!$A$5:$A$71,0))</f>
        <v>EXTEND</v>
      </c>
      <c r="AD5" s="6" t="str">
        <f>IF(AND(AB5="Tier 1",J5&gt;='Selection Criteria'!$C$28),"Yes","")</f>
        <v>Yes</v>
      </c>
      <c r="AE5" s="10" t="str">
        <f>IFERROR(INDEX('Competitor Fit'!$C$5:$C$103,MATCH($A5&amp;"|Primary",'Competitor Fit'!$L$5:$L$103,0)),"-")</f>
        <v>Amazon</v>
      </c>
      <c r="AF5" s="10" t="str">
        <f>IFERROR(INDEX('Competitor Fit'!$C$5:$C$103,MATCH($A5&amp;"|Secondary",'Competitor Fit'!$L$5:$L$103,0)),"-")</f>
        <v>Michaels</v>
      </c>
      <c r="AG5" s="10" t="s">
        <v>764</v>
      </c>
    </row>
    <row r="6" spans="1:33" ht="26.4" x14ac:dyDescent="0.3">
      <c r="A6" s="6" t="s">
        <v>765</v>
      </c>
      <c r="B6" s="10" t="s">
        <v>24</v>
      </c>
      <c r="C6" s="10" t="s">
        <v>759</v>
      </c>
      <c r="D6" s="10" t="s">
        <v>766</v>
      </c>
      <c r="E6" s="10" t="s">
        <v>767</v>
      </c>
      <c r="F6" s="10"/>
      <c r="G6" s="6">
        <v>3</v>
      </c>
      <c r="H6" s="6" t="s">
        <v>312</v>
      </c>
      <c r="I6" s="16">
        <v>342</v>
      </c>
      <c r="J6" s="16">
        <v>0</v>
      </c>
      <c r="K6" s="10" t="s">
        <v>768</v>
      </c>
      <c r="L6" s="6" t="str">
        <f t="shared" si="0"/>
        <v>Pass</v>
      </c>
      <c r="M6" s="18" t="s">
        <v>763</v>
      </c>
      <c r="N6" s="6" t="str">
        <f>IF(I6&gt;='Selection Criteria'!$C$27,"Pass","Fail")</f>
        <v>Pass</v>
      </c>
      <c r="O6" s="18" t="s">
        <v>763</v>
      </c>
      <c r="P6" s="17" t="str">
        <f t="shared" si="1"/>
        <v>Pass</v>
      </c>
      <c r="Q6" s="17" t="str">
        <f>INDEX('Hero Segmentation'!$Q$5:$Q$71,MATCH($A6,'Hero Segmentation'!$A$5:$A$71,0))</f>
        <v>Hero</v>
      </c>
      <c r="R6" s="18">
        <v>5</v>
      </c>
      <c r="S6" s="18">
        <v>5</v>
      </c>
      <c r="T6" s="18">
        <v>4</v>
      </c>
      <c r="U6" s="18">
        <v>5</v>
      </c>
      <c r="V6" s="18">
        <v>5</v>
      </c>
      <c r="W6" s="18">
        <v>5</v>
      </c>
      <c r="X6" s="18">
        <v>5</v>
      </c>
      <c r="Y6" s="18">
        <v>2</v>
      </c>
      <c r="Z6" s="22">
        <f>IF(P6="Pass",(R6*'Selection Criteria'!$F$13+S6*'Selection Criteria'!$F$14+T6*'Selection Criteria'!$F$15+U6*'Selection Criteria'!$F$16+V6*'Selection Criteria'!$F$17+W6*'Selection Criteria'!$F$18+X6*'Selection Criteria'!$F$19+Y6*'Selection Criteria'!$F$20)/(5*'Selection Criteria'!$F$21)*100,"-")</f>
        <v>91</v>
      </c>
      <c r="AA6" s="6">
        <f t="shared" si="2"/>
        <v>2</v>
      </c>
      <c r="AB6" s="17" t="str">
        <f>IF(P6&lt;&gt;"Pass","Parked (gate)",IF(AND('Selection Criteria'!$C$65="Yes",Q6="Non-Hero"),"Tier 3",IF(Z6&gt;='Selection Criteria'!$C$25,"Tier 1",IF(Z6&gt;='Selection Criteria'!$C$26,"Tier 2","Tier 3"))))</f>
        <v>Tier 1</v>
      </c>
      <c r="AC6" s="6" t="str">
        <f>INDEX('Hero Segmentation'!$R$5:$R$71,MATCH($A6,'Hero Segmentation'!$A$5:$A$71,0))</f>
        <v>EXTEND</v>
      </c>
      <c r="AD6" s="6" t="str">
        <f>IF(AND(AB6="Tier 1",J6&gt;='Selection Criteria'!$C$28),"Yes","")</f>
        <v/>
      </c>
      <c r="AE6" s="10" t="str">
        <f>IFERROR(INDEX('Competitor Fit'!$C$5:$C$103,MATCH($A6&amp;"|Primary",'Competitor Fit'!$L$5:$L$103,0)),"-")</f>
        <v>Target</v>
      </c>
      <c r="AF6" s="10" t="str">
        <f>IFERROR(INDEX('Competitor Fit'!$C$5:$C$103,MATCH($A6&amp;"|Secondary",'Competitor Fit'!$L$5:$L$103,0)),"-")</f>
        <v>Amazon</v>
      </c>
      <c r="AG6" s="10" t="s">
        <v>769</v>
      </c>
    </row>
    <row r="7" spans="1:33" ht="26.4" x14ac:dyDescent="0.3">
      <c r="A7" s="6" t="s">
        <v>248</v>
      </c>
      <c r="B7" s="10" t="s">
        <v>27</v>
      </c>
      <c r="C7" s="10" t="s">
        <v>770</v>
      </c>
      <c r="D7" s="10" t="s">
        <v>771</v>
      </c>
      <c r="E7" s="10" t="s">
        <v>772</v>
      </c>
      <c r="F7" s="10"/>
      <c r="G7" s="6">
        <v>3</v>
      </c>
      <c r="H7" s="6" t="s">
        <v>249</v>
      </c>
      <c r="I7" s="16">
        <v>463</v>
      </c>
      <c r="J7" s="16">
        <v>462</v>
      </c>
      <c r="K7" s="10" t="s">
        <v>773</v>
      </c>
      <c r="L7" s="6" t="str">
        <f t="shared" si="0"/>
        <v>Pass</v>
      </c>
      <c r="M7" s="18" t="s">
        <v>763</v>
      </c>
      <c r="N7" s="6" t="str">
        <f>IF(I7&gt;='Selection Criteria'!$C$27,"Pass","Fail")</f>
        <v>Pass</v>
      </c>
      <c r="O7" s="18" t="s">
        <v>763</v>
      </c>
      <c r="P7" s="17" t="str">
        <f t="shared" si="1"/>
        <v>Pass</v>
      </c>
      <c r="Q7" s="17" t="str">
        <f>INDEX('Hero Segmentation'!$Q$5:$Q$71,MATCH($A7,'Hero Segmentation'!$A$5:$A$71,0))</f>
        <v>Probable Hero</v>
      </c>
      <c r="R7" s="18">
        <v>5</v>
      </c>
      <c r="S7" s="18">
        <v>5</v>
      </c>
      <c r="T7" s="18">
        <v>4</v>
      </c>
      <c r="U7" s="18">
        <v>4</v>
      </c>
      <c r="V7" s="18">
        <v>5</v>
      </c>
      <c r="W7" s="18">
        <v>5</v>
      </c>
      <c r="X7" s="18">
        <v>4</v>
      </c>
      <c r="Y7" s="18">
        <v>4</v>
      </c>
      <c r="Z7" s="22">
        <f>IF(P7="Pass",(R7*'Selection Criteria'!$F$13+S7*'Selection Criteria'!$F$14+T7*'Selection Criteria'!$F$15+U7*'Selection Criteria'!$F$16+V7*'Selection Criteria'!$F$17+W7*'Selection Criteria'!$F$18+X7*'Selection Criteria'!$F$19+Y7*'Selection Criteria'!$F$20)/(5*'Selection Criteria'!$F$21)*100,"-")</f>
        <v>91</v>
      </c>
      <c r="AA7" s="6">
        <f t="shared" si="2"/>
        <v>2</v>
      </c>
      <c r="AB7" s="17" t="str">
        <f>IF(P7&lt;&gt;"Pass","Parked (gate)",IF(AND('Selection Criteria'!$C$65="Yes",Q7="Non-Hero"),"Tier 3",IF(Z7&gt;='Selection Criteria'!$C$25,"Tier 1",IF(Z7&gt;='Selection Criteria'!$C$26,"Tier 2","Tier 3"))))</f>
        <v>Tier 1</v>
      </c>
      <c r="AC7" s="6" t="str">
        <f>INDEX('Hero Segmentation'!$R$5:$R$71,MATCH($A7,'Hero Segmentation'!$A$5:$A$71,0))</f>
        <v>BUILD</v>
      </c>
      <c r="AD7" s="6" t="str">
        <f>IF(AND(AB7="Tier 1",J7&gt;='Selection Criteria'!$C$28),"Yes","")</f>
        <v>Yes</v>
      </c>
      <c r="AE7" s="10" t="str">
        <f>IFERROR(INDEX('Competitor Fit'!$C$5:$C$103,MATCH($A7&amp;"|Primary",'Competitor Fit'!$L$5:$L$103,0)),"-")</f>
        <v>Dick's Sporting Goods</v>
      </c>
      <c r="AF7" s="10" t="str">
        <f>IFERROR(INDEX('Competitor Fit'!$C$5:$C$103,MATCH($A7&amp;"|Secondary",'Competitor Fit'!$L$5:$L$103,0)),"-")</f>
        <v>Target</v>
      </c>
      <c r="AG7" s="10" t="s">
        <v>774</v>
      </c>
    </row>
    <row r="8" spans="1:33" ht="26.4" x14ac:dyDescent="0.3">
      <c r="A8" s="6" t="s">
        <v>183</v>
      </c>
      <c r="B8" s="10" t="s">
        <v>30</v>
      </c>
      <c r="C8" s="10" t="s">
        <v>775</v>
      </c>
      <c r="D8" s="10" t="s">
        <v>109</v>
      </c>
      <c r="E8" s="10" t="s">
        <v>776</v>
      </c>
      <c r="F8" s="10"/>
      <c r="G8" s="6">
        <v>3</v>
      </c>
      <c r="H8" s="6" t="s">
        <v>184</v>
      </c>
      <c r="I8" s="16">
        <v>229</v>
      </c>
      <c r="J8" s="16">
        <v>199</v>
      </c>
      <c r="K8" s="10" t="s">
        <v>777</v>
      </c>
      <c r="L8" s="6" t="str">
        <f t="shared" si="0"/>
        <v>Pass</v>
      </c>
      <c r="M8" s="18" t="s">
        <v>763</v>
      </c>
      <c r="N8" s="6" t="str">
        <f>IF(I8&gt;='Selection Criteria'!$C$27,"Pass","Fail")</f>
        <v>Pass</v>
      </c>
      <c r="O8" s="18" t="s">
        <v>763</v>
      </c>
      <c r="P8" s="17" t="str">
        <f t="shared" si="1"/>
        <v>Pass</v>
      </c>
      <c r="Q8" s="17" t="str">
        <f>INDEX('Hero Segmentation'!$Q$5:$Q$71,MATCH($A8,'Hero Segmentation'!$A$5:$A$71,0))</f>
        <v>Probable Hero</v>
      </c>
      <c r="R8" s="18">
        <v>5</v>
      </c>
      <c r="S8" s="18">
        <v>5</v>
      </c>
      <c r="T8" s="18">
        <v>5</v>
      </c>
      <c r="U8" s="18">
        <v>4</v>
      </c>
      <c r="V8" s="18">
        <v>2</v>
      </c>
      <c r="W8" s="18">
        <v>5</v>
      </c>
      <c r="X8" s="18">
        <v>3</v>
      </c>
      <c r="Y8" s="18">
        <v>5</v>
      </c>
      <c r="Z8" s="22">
        <f>IF(P8="Pass",(R8*'Selection Criteria'!$F$13+S8*'Selection Criteria'!$F$14+T8*'Selection Criteria'!$F$15+U8*'Selection Criteria'!$F$16+V8*'Selection Criteria'!$F$17+W8*'Selection Criteria'!$F$18+X8*'Selection Criteria'!$F$19+Y8*'Selection Criteria'!$F$20)/(5*'Selection Criteria'!$F$21)*100,"-")</f>
        <v>89</v>
      </c>
      <c r="AA8" s="6">
        <f t="shared" si="2"/>
        <v>4</v>
      </c>
      <c r="AB8" s="17" t="str">
        <f>IF(P8&lt;&gt;"Pass","Parked (gate)",IF(AND('Selection Criteria'!$C$65="Yes",Q8="Non-Hero"),"Tier 3",IF(Z8&gt;='Selection Criteria'!$C$25,"Tier 1",IF(Z8&gt;='Selection Criteria'!$C$26,"Tier 2","Tier 3"))))</f>
        <v>Tier 1</v>
      </c>
      <c r="AC8" s="6" t="str">
        <f>INDEX('Hero Segmentation'!$R$5:$R$71,MATCH($A8,'Hero Segmentation'!$A$5:$A$71,0))</f>
        <v>BUILD</v>
      </c>
      <c r="AD8" s="6" t="str">
        <f>IF(AND(AB8="Tier 1",J8&gt;='Selection Criteria'!$C$28),"Yes","")</f>
        <v>Yes</v>
      </c>
      <c r="AE8" s="10" t="str">
        <f>IFERROR(INDEX('Competitor Fit'!$C$5:$C$103,MATCH($A8&amp;"|Primary",'Competitor Fit'!$L$5:$L$103,0)),"-")</f>
        <v>Wayfair</v>
      </c>
      <c r="AF8" s="10" t="str">
        <f>IFERROR(INDEX('Competitor Fit'!$C$5:$C$103,MATCH($A8&amp;"|Secondary",'Competitor Fit'!$L$5:$L$103,0)),"-")</f>
        <v>Amazon</v>
      </c>
      <c r="AG8" s="10" t="s">
        <v>778</v>
      </c>
    </row>
    <row r="9" spans="1:33" x14ac:dyDescent="0.3">
      <c r="A9" s="6" t="s">
        <v>219</v>
      </c>
      <c r="B9" s="10" t="s">
        <v>33</v>
      </c>
      <c r="C9" s="10" t="s">
        <v>775</v>
      </c>
      <c r="D9" s="10" t="s">
        <v>123</v>
      </c>
      <c r="E9" s="10" t="s">
        <v>779</v>
      </c>
      <c r="F9" s="10"/>
      <c r="G9" s="6">
        <v>3</v>
      </c>
      <c r="H9" s="6" t="s">
        <v>220</v>
      </c>
      <c r="I9" s="16">
        <v>210</v>
      </c>
      <c r="J9" s="16">
        <v>195</v>
      </c>
      <c r="K9" s="10" t="s">
        <v>780</v>
      </c>
      <c r="L9" s="6" t="str">
        <f t="shared" si="0"/>
        <v>Pass</v>
      </c>
      <c r="M9" s="18" t="s">
        <v>763</v>
      </c>
      <c r="N9" s="6" t="str">
        <f>IF(I9&gt;='Selection Criteria'!$C$27,"Pass","Fail")</f>
        <v>Pass</v>
      </c>
      <c r="O9" s="18" t="s">
        <v>763</v>
      </c>
      <c r="P9" s="17" t="str">
        <f t="shared" si="1"/>
        <v>Pass</v>
      </c>
      <c r="Q9" s="17" t="str">
        <f>INDEX('Hero Segmentation'!$Q$5:$Q$71,MATCH($A9,'Hero Segmentation'!$A$5:$A$71,0))</f>
        <v>Probable Hero</v>
      </c>
      <c r="R9" s="18">
        <v>5</v>
      </c>
      <c r="S9" s="18">
        <v>4</v>
      </c>
      <c r="T9" s="18">
        <v>4</v>
      </c>
      <c r="U9" s="18">
        <v>5</v>
      </c>
      <c r="V9" s="18">
        <v>4</v>
      </c>
      <c r="W9" s="18">
        <v>4</v>
      </c>
      <c r="X9" s="18">
        <v>3</v>
      </c>
      <c r="Y9" s="18">
        <v>4</v>
      </c>
      <c r="Z9" s="22">
        <f>IF(P9="Pass",(R9*'Selection Criteria'!$F$13+S9*'Selection Criteria'!$F$14+T9*'Selection Criteria'!$F$15+U9*'Selection Criteria'!$F$16+V9*'Selection Criteria'!$F$17+W9*'Selection Criteria'!$F$18+X9*'Selection Criteria'!$F$19+Y9*'Selection Criteria'!$F$20)/(5*'Selection Criteria'!$F$21)*100,"-")</f>
        <v>86</v>
      </c>
      <c r="AA9" s="6">
        <f t="shared" si="2"/>
        <v>5</v>
      </c>
      <c r="AB9" s="17" t="str">
        <f>IF(P9&lt;&gt;"Pass","Parked (gate)",IF(AND('Selection Criteria'!$C$65="Yes",Q9="Non-Hero"),"Tier 3",IF(Z9&gt;='Selection Criteria'!$C$25,"Tier 1",IF(Z9&gt;='Selection Criteria'!$C$26,"Tier 2","Tier 3"))))</f>
        <v>Tier 1</v>
      </c>
      <c r="AC9" s="6" t="str">
        <f>INDEX('Hero Segmentation'!$R$5:$R$71,MATCH($A9,'Hero Segmentation'!$A$5:$A$71,0))</f>
        <v>BUILD</v>
      </c>
      <c r="AD9" s="6" t="str">
        <f>IF(AND(AB9="Tier 1",J9&gt;='Selection Criteria'!$C$28),"Yes","")</f>
        <v>Yes</v>
      </c>
      <c r="AE9" s="10" t="str">
        <f>IFERROR(INDEX('Competitor Fit'!$C$5:$C$103,MATCH($A9&amp;"|Primary",'Competitor Fit'!$L$5:$L$103,0)),"-")</f>
        <v>Wayfair</v>
      </c>
      <c r="AF9" s="10" t="str">
        <f>IFERROR(INDEX('Competitor Fit'!$C$5:$C$103,MATCH($A9&amp;"|Secondary",'Competitor Fit'!$L$5:$L$103,0)),"-")</f>
        <v>Amazon</v>
      </c>
      <c r="AG9" s="10" t="s">
        <v>781</v>
      </c>
    </row>
    <row r="10" spans="1:33" ht="26.4" x14ac:dyDescent="0.3">
      <c r="A10" s="6" t="s">
        <v>782</v>
      </c>
      <c r="B10" s="10" t="s">
        <v>36</v>
      </c>
      <c r="C10" s="10" t="s">
        <v>759</v>
      </c>
      <c r="D10" s="10" t="s">
        <v>783</v>
      </c>
      <c r="E10" s="10" t="s">
        <v>784</v>
      </c>
      <c r="F10" s="10" t="s">
        <v>785</v>
      </c>
      <c r="G10" s="6">
        <v>4</v>
      </c>
      <c r="H10" s="6" t="s">
        <v>333</v>
      </c>
      <c r="I10" s="16">
        <v>107</v>
      </c>
      <c r="J10" s="16">
        <v>0</v>
      </c>
      <c r="K10" s="10" t="s">
        <v>768</v>
      </c>
      <c r="L10" s="6" t="str">
        <f t="shared" si="0"/>
        <v>Pass</v>
      </c>
      <c r="M10" s="18" t="s">
        <v>763</v>
      </c>
      <c r="N10" s="6" t="str">
        <f>IF(I10&gt;='Selection Criteria'!$C$27,"Pass","Fail")</f>
        <v>Pass</v>
      </c>
      <c r="O10" s="18" t="s">
        <v>763</v>
      </c>
      <c r="P10" s="17" t="str">
        <f t="shared" si="1"/>
        <v>Pass</v>
      </c>
      <c r="Q10" s="17" t="str">
        <f>INDEX('Hero Segmentation'!$Q$5:$Q$71,MATCH($A10,'Hero Segmentation'!$A$5:$A$71,0))</f>
        <v>Probable Hero</v>
      </c>
      <c r="R10" s="18">
        <v>5</v>
      </c>
      <c r="S10" s="18">
        <v>4</v>
      </c>
      <c r="T10" s="18">
        <v>5</v>
      </c>
      <c r="U10" s="18">
        <v>4</v>
      </c>
      <c r="V10" s="18">
        <v>5</v>
      </c>
      <c r="W10" s="18">
        <v>4</v>
      </c>
      <c r="X10" s="18">
        <v>5</v>
      </c>
      <c r="Y10" s="18">
        <v>2</v>
      </c>
      <c r="Z10" s="22">
        <f>IF(P10="Pass",(R10*'Selection Criteria'!$F$13+S10*'Selection Criteria'!$F$14+T10*'Selection Criteria'!$F$15+U10*'Selection Criteria'!$F$16+V10*'Selection Criteria'!$F$17+W10*'Selection Criteria'!$F$18+X10*'Selection Criteria'!$F$19+Y10*'Selection Criteria'!$F$20)/(5*'Selection Criteria'!$F$21)*100,"-")</f>
        <v>86</v>
      </c>
      <c r="AA10" s="6">
        <f t="shared" si="2"/>
        <v>5</v>
      </c>
      <c r="AB10" s="17" t="str">
        <f>IF(P10&lt;&gt;"Pass","Parked (gate)",IF(AND('Selection Criteria'!$C$65="Yes",Q10="Non-Hero"),"Tier 3",IF(Z10&gt;='Selection Criteria'!$C$25,"Tier 1",IF(Z10&gt;='Selection Criteria'!$C$26,"Tier 2","Tier 3"))))</f>
        <v>Tier 1</v>
      </c>
      <c r="AC10" s="6" t="str">
        <f>INDEX('Hero Segmentation'!$R$5:$R$71,MATCH($A10,'Hero Segmentation'!$A$5:$A$71,0))</f>
        <v>BUILD</v>
      </c>
      <c r="AD10" s="6" t="str">
        <f>IF(AND(AB10="Tier 1",J10&gt;='Selection Criteria'!$C$28),"Yes","")</f>
        <v/>
      </c>
      <c r="AE10" s="10" t="str">
        <f>IFERROR(INDEX('Competitor Fit'!$C$5:$C$103,MATCH($A10&amp;"|Primary",'Competitor Fit'!$L$5:$L$103,0)),"-")</f>
        <v>Amazon</v>
      </c>
      <c r="AF10" s="10" t="str">
        <f>IFERROR(INDEX('Competitor Fit'!$C$5:$C$103,MATCH($A10&amp;"|Secondary",'Competitor Fit'!$L$5:$L$103,0)),"-")</f>
        <v>Target</v>
      </c>
      <c r="AG10" s="10" t="s">
        <v>786</v>
      </c>
    </row>
    <row r="11" spans="1:33" ht="26.4" x14ac:dyDescent="0.3">
      <c r="A11" s="6" t="s">
        <v>234</v>
      </c>
      <c r="B11" s="10" t="s">
        <v>40</v>
      </c>
      <c r="C11" s="10" t="s">
        <v>787</v>
      </c>
      <c r="D11" s="10" t="s">
        <v>788</v>
      </c>
      <c r="E11" s="10" t="s">
        <v>789</v>
      </c>
      <c r="F11" s="10"/>
      <c r="G11" s="6">
        <v>3</v>
      </c>
      <c r="H11" s="6" t="s">
        <v>235</v>
      </c>
      <c r="I11" s="16">
        <v>585</v>
      </c>
      <c r="J11" s="16">
        <v>542</v>
      </c>
      <c r="K11" s="10" t="s">
        <v>790</v>
      </c>
      <c r="L11" s="6" t="str">
        <f t="shared" si="0"/>
        <v>Pass</v>
      </c>
      <c r="M11" s="18" t="s">
        <v>763</v>
      </c>
      <c r="N11" s="6" t="str">
        <f>IF(I11&gt;='Selection Criteria'!$C$27,"Pass","Fail")</f>
        <v>Pass</v>
      </c>
      <c r="O11" s="18" t="s">
        <v>763</v>
      </c>
      <c r="P11" s="17" t="str">
        <f t="shared" si="1"/>
        <v>Pass</v>
      </c>
      <c r="Q11" s="17" t="str">
        <f>INDEX('Hero Segmentation'!$Q$5:$Q$71,MATCH($A11,'Hero Segmentation'!$A$5:$A$71,0))</f>
        <v>Hero</v>
      </c>
      <c r="R11" s="18">
        <v>4</v>
      </c>
      <c r="S11" s="18">
        <v>5</v>
      </c>
      <c r="T11" s="18">
        <v>3</v>
      </c>
      <c r="U11" s="18">
        <v>5</v>
      </c>
      <c r="V11" s="18">
        <v>4</v>
      </c>
      <c r="W11" s="18">
        <v>5</v>
      </c>
      <c r="X11" s="18">
        <v>5</v>
      </c>
      <c r="Y11" s="18">
        <v>4</v>
      </c>
      <c r="Z11" s="22">
        <f>IF(P11="Pass",(R11*'Selection Criteria'!$F$13+S11*'Selection Criteria'!$F$14+T11*'Selection Criteria'!$F$15+U11*'Selection Criteria'!$F$16+V11*'Selection Criteria'!$F$17+W11*'Selection Criteria'!$F$18+X11*'Selection Criteria'!$F$19+Y11*'Selection Criteria'!$F$20)/(5*'Selection Criteria'!$F$21)*100,"-")</f>
        <v>86</v>
      </c>
      <c r="AA11" s="6">
        <f t="shared" si="2"/>
        <v>5</v>
      </c>
      <c r="AB11" s="17" t="str">
        <f>IF(P11&lt;&gt;"Pass","Parked (gate)",IF(AND('Selection Criteria'!$C$65="Yes",Q11="Non-Hero"),"Tier 3",IF(Z11&gt;='Selection Criteria'!$C$25,"Tier 1",IF(Z11&gt;='Selection Criteria'!$C$26,"Tier 2","Tier 3"))))</f>
        <v>Tier 1</v>
      </c>
      <c r="AC11" s="6" t="str">
        <f>INDEX('Hero Segmentation'!$R$5:$R$71,MATCH($A11,'Hero Segmentation'!$A$5:$A$71,0))</f>
        <v>EXTEND</v>
      </c>
      <c r="AD11" s="6" t="str">
        <f>IF(AND(AB11="Tier 1",J11&gt;='Selection Criteria'!$C$28),"Yes","")</f>
        <v>Yes</v>
      </c>
      <c r="AE11" s="10" t="str">
        <f>IFERROR(INDEX('Competitor Fit'!$C$5:$C$103,MATCH($A11&amp;"|Primary",'Competitor Fit'!$L$5:$L$103,0)),"-")</f>
        <v>Amazon</v>
      </c>
      <c r="AF11" s="10" t="str">
        <f>IFERROR(INDEX('Competitor Fit'!$C$5:$C$103,MATCH($A11&amp;"|Secondary",'Competitor Fit'!$L$5:$L$103,0)),"-")</f>
        <v>Target</v>
      </c>
      <c r="AG11" s="10" t="s">
        <v>791</v>
      </c>
    </row>
    <row r="12" spans="1:33" ht="26.4" x14ac:dyDescent="0.3">
      <c r="A12" s="6" t="s">
        <v>236</v>
      </c>
      <c r="B12" s="10" t="s">
        <v>43</v>
      </c>
      <c r="C12" s="10" t="s">
        <v>787</v>
      </c>
      <c r="D12" s="10" t="s">
        <v>792</v>
      </c>
      <c r="E12" s="10" t="s">
        <v>793</v>
      </c>
      <c r="F12" s="10"/>
      <c r="G12" s="6">
        <v>3</v>
      </c>
      <c r="H12" s="6" t="s">
        <v>237</v>
      </c>
      <c r="I12" s="16">
        <v>404</v>
      </c>
      <c r="J12" s="16">
        <v>406</v>
      </c>
      <c r="K12" s="10" t="s">
        <v>790</v>
      </c>
      <c r="L12" s="6" t="str">
        <f t="shared" si="0"/>
        <v>Pass</v>
      </c>
      <c r="M12" s="18" t="s">
        <v>763</v>
      </c>
      <c r="N12" s="6" t="str">
        <f>IF(I12&gt;='Selection Criteria'!$C$27,"Pass","Fail")</f>
        <v>Pass</v>
      </c>
      <c r="O12" s="18" t="s">
        <v>763</v>
      </c>
      <c r="P12" s="17" t="str">
        <f t="shared" si="1"/>
        <v>Pass</v>
      </c>
      <c r="Q12" s="17" t="str">
        <f>INDEX('Hero Segmentation'!$Q$5:$Q$71,MATCH($A12,'Hero Segmentation'!$A$5:$A$71,0))</f>
        <v>Probable Hero</v>
      </c>
      <c r="R12" s="18">
        <v>4</v>
      </c>
      <c r="S12" s="18">
        <v>5</v>
      </c>
      <c r="T12" s="18">
        <v>4</v>
      </c>
      <c r="U12" s="18">
        <v>4</v>
      </c>
      <c r="V12" s="18">
        <v>5</v>
      </c>
      <c r="W12" s="18">
        <v>4</v>
      </c>
      <c r="X12" s="18">
        <v>5</v>
      </c>
      <c r="Y12" s="18">
        <v>4</v>
      </c>
      <c r="Z12" s="22">
        <f>IF(P12="Pass",(R12*'Selection Criteria'!$F$13+S12*'Selection Criteria'!$F$14+T12*'Selection Criteria'!$F$15+U12*'Selection Criteria'!$F$16+V12*'Selection Criteria'!$F$17+W12*'Selection Criteria'!$F$18+X12*'Selection Criteria'!$F$19+Y12*'Selection Criteria'!$F$20)/(5*'Selection Criteria'!$F$21)*100,"-")</f>
        <v>86</v>
      </c>
      <c r="AA12" s="6">
        <f t="shared" si="2"/>
        <v>5</v>
      </c>
      <c r="AB12" s="17" t="str">
        <f>IF(P12&lt;&gt;"Pass","Parked (gate)",IF(AND('Selection Criteria'!$C$65="Yes",Q12="Non-Hero"),"Tier 3",IF(Z12&gt;='Selection Criteria'!$C$25,"Tier 1",IF(Z12&gt;='Selection Criteria'!$C$26,"Tier 2","Tier 3"))))</f>
        <v>Tier 1</v>
      </c>
      <c r="AC12" s="6" t="str">
        <f>INDEX('Hero Segmentation'!$R$5:$R$71,MATCH($A12,'Hero Segmentation'!$A$5:$A$71,0))</f>
        <v>BUILD</v>
      </c>
      <c r="AD12" s="6" t="str">
        <f>IF(AND(AB12="Tier 1",J12&gt;='Selection Criteria'!$C$28),"Yes","")</f>
        <v>Yes</v>
      </c>
      <c r="AE12" s="10" t="str">
        <f>IFERROR(INDEX('Competitor Fit'!$C$5:$C$103,MATCH($A12&amp;"|Primary",'Competitor Fit'!$L$5:$L$103,0)),"-")</f>
        <v>Amazon</v>
      </c>
      <c r="AF12" s="10" t="str">
        <f>IFERROR(INDEX('Competitor Fit'!$C$5:$C$103,MATCH($A12&amp;"|Secondary",'Competitor Fit'!$L$5:$L$103,0)),"-")</f>
        <v>Target</v>
      </c>
      <c r="AG12" s="10" t="s">
        <v>794</v>
      </c>
    </row>
    <row r="13" spans="1:33" ht="26.4" x14ac:dyDescent="0.3">
      <c r="A13" s="6" t="s">
        <v>795</v>
      </c>
      <c r="B13" s="10" t="s">
        <v>46</v>
      </c>
      <c r="C13" s="10" t="s">
        <v>796</v>
      </c>
      <c r="D13" s="10" t="s">
        <v>797</v>
      </c>
      <c r="E13" s="10" t="s">
        <v>798</v>
      </c>
      <c r="F13" s="10" t="s">
        <v>799</v>
      </c>
      <c r="G13" s="6">
        <v>4</v>
      </c>
      <c r="H13" s="6" t="s">
        <v>349</v>
      </c>
      <c r="I13" s="16">
        <v>607</v>
      </c>
      <c r="J13" s="16">
        <v>0</v>
      </c>
      <c r="K13" s="10" t="s">
        <v>768</v>
      </c>
      <c r="L13" s="6" t="str">
        <f t="shared" si="0"/>
        <v>Pass</v>
      </c>
      <c r="M13" s="18" t="s">
        <v>763</v>
      </c>
      <c r="N13" s="6" t="str">
        <f>IF(I13&gt;='Selection Criteria'!$C$27,"Pass","Fail")</f>
        <v>Pass</v>
      </c>
      <c r="O13" s="18" t="s">
        <v>763</v>
      </c>
      <c r="P13" s="17" t="str">
        <f t="shared" si="1"/>
        <v>Pass</v>
      </c>
      <c r="Q13" s="17" t="str">
        <f>INDEX('Hero Segmentation'!$Q$5:$Q$71,MATCH($A13,'Hero Segmentation'!$A$5:$A$71,0))</f>
        <v>Hero</v>
      </c>
      <c r="R13" s="18">
        <v>5</v>
      </c>
      <c r="S13" s="18">
        <v>4</v>
      </c>
      <c r="T13" s="18">
        <v>4</v>
      </c>
      <c r="U13" s="18">
        <v>5</v>
      </c>
      <c r="V13" s="18">
        <v>5</v>
      </c>
      <c r="W13" s="18">
        <v>4</v>
      </c>
      <c r="X13" s="18">
        <v>5</v>
      </c>
      <c r="Y13" s="18">
        <v>2</v>
      </c>
      <c r="Z13" s="22">
        <f>IF(P13="Pass",(R13*'Selection Criteria'!$F$13+S13*'Selection Criteria'!$F$14+T13*'Selection Criteria'!$F$15+U13*'Selection Criteria'!$F$16+V13*'Selection Criteria'!$F$17+W13*'Selection Criteria'!$F$18+X13*'Selection Criteria'!$F$19+Y13*'Selection Criteria'!$F$20)/(5*'Selection Criteria'!$F$21)*100,"-")</f>
        <v>86</v>
      </c>
      <c r="AA13" s="6">
        <f t="shared" si="2"/>
        <v>5</v>
      </c>
      <c r="AB13" s="17" t="str">
        <f>IF(P13&lt;&gt;"Pass","Parked (gate)",IF(AND('Selection Criteria'!$C$65="Yes",Q13="Non-Hero"),"Tier 3",IF(Z13&gt;='Selection Criteria'!$C$25,"Tier 1",IF(Z13&gt;='Selection Criteria'!$C$26,"Tier 2","Tier 3"))))</f>
        <v>Tier 1</v>
      </c>
      <c r="AC13" s="6" t="str">
        <f>INDEX('Hero Segmentation'!$R$5:$R$71,MATCH($A13,'Hero Segmentation'!$A$5:$A$71,0))</f>
        <v>EXTEND</v>
      </c>
      <c r="AD13" s="6" t="str">
        <f>IF(AND(AB13="Tier 1",J13&gt;='Selection Criteria'!$C$28),"Yes","")</f>
        <v/>
      </c>
      <c r="AE13" s="10" t="str">
        <f>IFERROR(INDEX('Competitor Fit'!$C$5:$C$103,MATCH($A13&amp;"|Primary",'Competitor Fit'!$L$5:$L$103,0)),"-")</f>
        <v>Amazon</v>
      </c>
      <c r="AF13" s="10" t="str">
        <f>IFERROR(INDEX('Competitor Fit'!$C$5:$C$103,MATCH($A13&amp;"|Secondary",'Competitor Fit'!$L$5:$L$103,0)),"-")</f>
        <v>Oriental Trading</v>
      </c>
      <c r="AG13" s="10" t="s">
        <v>800</v>
      </c>
    </row>
    <row r="14" spans="1:33" ht="26.4" x14ac:dyDescent="0.3">
      <c r="A14" s="6" t="s">
        <v>801</v>
      </c>
      <c r="B14" s="10" t="s">
        <v>49</v>
      </c>
      <c r="C14" s="10" t="s">
        <v>759</v>
      </c>
      <c r="D14" s="10" t="s">
        <v>802</v>
      </c>
      <c r="E14" s="10" t="s">
        <v>803</v>
      </c>
      <c r="F14" s="10"/>
      <c r="G14" s="6">
        <v>3</v>
      </c>
      <c r="H14" s="6" t="s">
        <v>355</v>
      </c>
      <c r="I14" s="16">
        <v>95</v>
      </c>
      <c r="J14" s="16">
        <v>0</v>
      </c>
      <c r="K14" s="10" t="s">
        <v>768</v>
      </c>
      <c r="L14" s="6" t="str">
        <f t="shared" si="0"/>
        <v>Pass</v>
      </c>
      <c r="M14" s="18" t="s">
        <v>763</v>
      </c>
      <c r="N14" s="6" t="str">
        <f>IF(I14&gt;='Selection Criteria'!$C$27,"Pass","Fail")</f>
        <v>Pass</v>
      </c>
      <c r="O14" s="18" t="s">
        <v>763</v>
      </c>
      <c r="P14" s="17" t="str">
        <f t="shared" si="1"/>
        <v>Pass</v>
      </c>
      <c r="Q14" s="17" t="str">
        <f>INDEX('Hero Segmentation'!$Q$5:$Q$71,MATCH($A14,'Hero Segmentation'!$A$5:$A$71,0))</f>
        <v>Probable Hero</v>
      </c>
      <c r="R14" s="18">
        <v>5</v>
      </c>
      <c r="S14" s="18">
        <v>5</v>
      </c>
      <c r="T14" s="18">
        <v>5</v>
      </c>
      <c r="U14" s="18">
        <v>4</v>
      </c>
      <c r="V14" s="18">
        <v>4</v>
      </c>
      <c r="W14" s="18">
        <v>3</v>
      </c>
      <c r="X14" s="18">
        <v>5</v>
      </c>
      <c r="Y14" s="18">
        <v>2</v>
      </c>
      <c r="Z14" s="22">
        <f>IF(P14="Pass",(R14*'Selection Criteria'!$F$13+S14*'Selection Criteria'!$F$14+T14*'Selection Criteria'!$F$15+U14*'Selection Criteria'!$F$16+V14*'Selection Criteria'!$F$17+W14*'Selection Criteria'!$F$18+X14*'Selection Criteria'!$F$19+Y14*'Selection Criteria'!$F$20)/(5*'Selection Criteria'!$F$21)*100,"-")</f>
        <v>85</v>
      </c>
      <c r="AA14" s="6">
        <f t="shared" si="2"/>
        <v>10</v>
      </c>
      <c r="AB14" s="17" t="str">
        <f>IF(P14&lt;&gt;"Pass","Parked (gate)",IF(AND('Selection Criteria'!$C$65="Yes",Q14="Non-Hero"),"Tier 3",IF(Z14&gt;='Selection Criteria'!$C$25,"Tier 1",IF(Z14&gt;='Selection Criteria'!$C$26,"Tier 2","Tier 3"))))</f>
        <v>Tier 1</v>
      </c>
      <c r="AC14" s="6" t="str">
        <f>INDEX('Hero Segmentation'!$R$5:$R$71,MATCH($A14,'Hero Segmentation'!$A$5:$A$71,0))</f>
        <v>BUILD</v>
      </c>
      <c r="AD14" s="6" t="str">
        <f>IF(AND(AB14="Tier 1",J14&gt;='Selection Criteria'!$C$28),"Yes","")</f>
        <v/>
      </c>
      <c r="AE14" s="10" t="str">
        <f>IFERROR(INDEX('Competitor Fit'!$C$5:$C$103,MATCH($A14&amp;"|Primary",'Competitor Fit'!$L$5:$L$103,0)),"-")</f>
        <v>Wayfair</v>
      </c>
      <c r="AF14" s="10" t="str">
        <f>IFERROR(INDEX('Competitor Fit'!$C$5:$C$103,MATCH($A14&amp;"|Secondary",'Competitor Fit'!$L$5:$L$103,0)),"-")</f>
        <v>Target</v>
      </c>
      <c r="AG14" s="10" t="s">
        <v>804</v>
      </c>
    </row>
    <row r="15" spans="1:33" ht="26.4" x14ac:dyDescent="0.3">
      <c r="A15" s="6" t="s">
        <v>238</v>
      </c>
      <c r="B15" s="10" t="s">
        <v>239</v>
      </c>
      <c r="C15" s="10" t="s">
        <v>787</v>
      </c>
      <c r="D15" s="10" t="s">
        <v>788</v>
      </c>
      <c r="E15" s="10" t="s">
        <v>805</v>
      </c>
      <c r="F15" s="10"/>
      <c r="G15" s="6">
        <v>3</v>
      </c>
      <c r="H15" s="6" t="s">
        <v>240</v>
      </c>
      <c r="I15" s="16">
        <v>300</v>
      </c>
      <c r="J15" s="16">
        <v>265</v>
      </c>
      <c r="K15" s="10" t="s">
        <v>790</v>
      </c>
      <c r="L15" s="6" t="str">
        <f t="shared" si="0"/>
        <v>Pass</v>
      </c>
      <c r="M15" s="18" t="s">
        <v>763</v>
      </c>
      <c r="N15" s="6" t="str">
        <f>IF(I15&gt;='Selection Criteria'!$C$27,"Pass","Fail")</f>
        <v>Pass</v>
      </c>
      <c r="O15" s="18" t="s">
        <v>763</v>
      </c>
      <c r="P15" s="17" t="str">
        <f t="shared" si="1"/>
        <v>Pass</v>
      </c>
      <c r="Q15" s="17" t="str">
        <f>INDEX('Hero Segmentation'!$Q$5:$Q$71,MATCH($A15,'Hero Segmentation'!$A$5:$A$71,0))</f>
        <v>Probable Hero</v>
      </c>
      <c r="R15" s="18">
        <v>4</v>
      </c>
      <c r="S15" s="18">
        <v>4</v>
      </c>
      <c r="T15" s="18">
        <v>4</v>
      </c>
      <c r="U15" s="18">
        <v>5</v>
      </c>
      <c r="V15" s="18">
        <v>5</v>
      </c>
      <c r="W15" s="18">
        <v>3</v>
      </c>
      <c r="X15" s="18">
        <v>4</v>
      </c>
      <c r="Y15" s="18">
        <v>4</v>
      </c>
      <c r="Z15" s="22">
        <f>IF(P15="Pass",(R15*'Selection Criteria'!$F$13+S15*'Selection Criteria'!$F$14+T15*'Selection Criteria'!$F$15+U15*'Selection Criteria'!$F$16+V15*'Selection Criteria'!$F$17+W15*'Selection Criteria'!$F$18+X15*'Selection Criteria'!$F$19+Y15*'Selection Criteria'!$F$20)/(5*'Selection Criteria'!$F$21)*100,"-")</f>
        <v>83</v>
      </c>
      <c r="AA15" s="6">
        <f t="shared" si="2"/>
        <v>11</v>
      </c>
      <c r="AB15" s="17" t="str">
        <f>IF(P15&lt;&gt;"Pass","Parked (gate)",IF(AND('Selection Criteria'!$C$65="Yes",Q15="Non-Hero"),"Tier 3",IF(Z15&gt;='Selection Criteria'!$C$25,"Tier 1",IF(Z15&gt;='Selection Criteria'!$C$26,"Tier 2","Tier 3"))))</f>
        <v>Tier 2</v>
      </c>
      <c r="AC15" s="6" t="str">
        <f>INDEX('Hero Segmentation'!$R$5:$R$71,MATCH($A15,'Hero Segmentation'!$A$5:$A$71,0))</f>
        <v>BUILD</v>
      </c>
      <c r="AD15" s="6" t="str">
        <f>IF(AND(AB15="Tier 1",J15&gt;='Selection Criteria'!$C$28),"Yes","")</f>
        <v/>
      </c>
      <c r="AE15" s="10" t="str">
        <f>IFERROR(INDEX('Competitor Fit'!$C$5:$C$103,MATCH($A15&amp;"|Primary",'Competitor Fit'!$L$5:$L$103,0)),"-")</f>
        <v>Amazon</v>
      </c>
      <c r="AF15" s="10" t="str">
        <f>IFERROR(INDEX('Competitor Fit'!$C$5:$C$103,MATCH($A15&amp;"|Secondary",'Competitor Fit'!$L$5:$L$103,0)),"-")</f>
        <v>Target</v>
      </c>
      <c r="AG15" s="10" t="s">
        <v>806</v>
      </c>
    </row>
    <row r="16" spans="1:33" ht="26.4" x14ac:dyDescent="0.3">
      <c r="A16" s="6" t="s">
        <v>241</v>
      </c>
      <c r="B16" s="10" t="s">
        <v>242</v>
      </c>
      <c r="C16" s="10" t="s">
        <v>787</v>
      </c>
      <c r="D16" s="10" t="s">
        <v>807</v>
      </c>
      <c r="E16" s="10" t="s">
        <v>792</v>
      </c>
      <c r="F16" s="10"/>
      <c r="G16" s="6">
        <v>3</v>
      </c>
      <c r="H16" s="6" t="s">
        <v>243</v>
      </c>
      <c r="I16" s="16">
        <v>173</v>
      </c>
      <c r="J16" s="16">
        <v>166</v>
      </c>
      <c r="K16" s="10" t="s">
        <v>790</v>
      </c>
      <c r="L16" s="6" t="str">
        <f t="shared" si="0"/>
        <v>Pass</v>
      </c>
      <c r="M16" s="18" t="s">
        <v>763</v>
      </c>
      <c r="N16" s="6" t="str">
        <f>IF(I16&gt;='Selection Criteria'!$C$27,"Pass","Fail")</f>
        <v>Pass</v>
      </c>
      <c r="O16" s="18" t="s">
        <v>763</v>
      </c>
      <c r="P16" s="17" t="str">
        <f t="shared" si="1"/>
        <v>Pass</v>
      </c>
      <c r="Q16" s="17" t="str">
        <f>INDEX('Hero Segmentation'!$Q$5:$Q$71,MATCH($A16,'Hero Segmentation'!$A$5:$A$71,0))</f>
        <v>Probable Hero</v>
      </c>
      <c r="R16" s="18">
        <v>5</v>
      </c>
      <c r="S16" s="18">
        <v>5</v>
      </c>
      <c r="T16" s="18">
        <v>4</v>
      </c>
      <c r="U16" s="18">
        <v>4</v>
      </c>
      <c r="V16" s="18">
        <v>3</v>
      </c>
      <c r="W16" s="18">
        <v>3</v>
      </c>
      <c r="X16" s="18">
        <v>3</v>
      </c>
      <c r="Y16" s="18">
        <v>4</v>
      </c>
      <c r="Z16" s="22">
        <f>IF(P16="Pass",(R16*'Selection Criteria'!$F$13+S16*'Selection Criteria'!$F$14+T16*'Selection Criteria'!$F$15+U16*'Selection Criteria'!$F$16+V16*'Selection Criteria'!$F$17+W16*'Selection Criteria'!$F$18+X16*'Selection Criteria'!$F$19+Y16*'Selection Criteria'!$F$20)/(5*'Selection Criteria'!$F$21)*100,"-")</f>
        <v>82</v>
      </c>
      <c r="AA16" s="6">
        <f t="shared" si="2"/>
        <v>12</v>
      </c>
      <c r="AB16" s="17" t="str">
        <f>IF(P16&lt;&gt;"Pass","Parked (gate)",IF(AND('Selection Criteria'!$C$65="Yes",Q16="Non-Hero"),"Tier 3",IF(Z16&gt;='Selection Criteria'!$C$25,"Tier 1",IF(Z16&gt;='Selection Criteria'!$C$26,"Tier 2","Tier 3"))))</f>
        <v>Tier 2</v>
      </c>
      <c r="AC16" s="6" t="str">
        <f>INDEX('Hero Segmentation'!$R$5:$R$71,MATCH($A16,'Hero Segmentation'!$A$5:$A$71,0))</f>
        <v>BUILD</v>
      </c>
      <c r="AD16" s="6" t="str">
        <f>IF(AND(AB16="Tier 1",J16&gt;='Selection Criteria'!$C$28),"Yes","")</f>
        <v/>
      </c>
      <c r="AE16" s="10" t="str">
        <f>IFERROR(INDEX('Competitor Fit'!$C$5:$C$103,MATCH($A16&amp;"|Primary",'Competitor Fit'!$L$5:$L$103,0)),"-")</f>
        <v>Amazon</v>
      </c>
      <c r="AF16" s="10" t="str">
        <f>IFERROR(INDEX('Competitor Fit'!$C$5:$C$103,MATCH($A16&amp;"|Secondary",'Competitor Fit'!$L$5:$L$103,0)),"-")</f>
        <v>Target</v>
      </c>
      <c r="AG16" s="10" t="s">
        <v>808</v>
      </c>
    </row>
    <row r="17" spans="1:33" ht="26.4" x14ac:dyDescent="0.3">
      <c r="A17" s="6" t="s">
        <v>210</v>
      </c>
      <c r="B17" s="10" t="s">
        <v>211</v>
      </c>
      <c r="C17" s="10" t="s">
        <v>775</v>
      </c>
      <c r="D17" s="10" t="s">
        <v>117</v>
      </c>
      <c r="E17" s="10" t="s">
        <v>809</v>
      </c>
      <c r="F17" s="10"/>
      <c r="G17" s="6">
        <v>3</v>
      </c>
      <c r="H17" s="6" t="s">
        <v>212</v>
      </c>
      <c r="I17" s="16">
        <v>1501</v>
      </c>
      <c r="J17" s="16">
        <v>1265</v>
      </c>
      <c r="K17" s="10" t="s">
        <v>810</v>
      </c>
      <c r="L17" s="6" t="str">
        <f t="shared" si="0"/>
        <v>Pass</v>
      </c>
      <c r="M17" s="18" t="s">
        <v>763</v>
      </c>
      <c r="N17" s="6" t="str">
        <f>IF(I17&gt;='Selection Criteria'!$C$27,"Pass","Fail")</f>
        <v>Pass</v>
      </c>
      <c r="O17" s="18" t="s">
        <v>763</v>
      </c>
      <c r="P17" s="17" t="str">
        <f t="shared" si="1"/>
        <v>Pass</v>
      </c>
      <c r="Q17" s="17" t="str">
        <f>INDEX('Hero Segmentation'!$Q$5:$Q$71,MATCH($A17,'Hero Segmentation'!$A$5:$A$71,0))</f>
        <v>Hero</v>
      </c>
      <c r="R17" s="18">
        <v>4</v>
      </c>
      <c r="S17" s="18">
        <v>5</v>
      </c>
      <c r="T17" s="18">
        <v>3</v>
      </c>
      <c r="U17" s="18">
        <v>5</v>
      </c>
      <c r="V17" s="18">
        <v>1</v>
      </c>
      <c r="W17" s="18">
        <v>5</v>
      </c>
      <c r="X17" s="18">
        <v>4</v>
      </c>
      <c r="Y17" s="18">
        <v>5</v>
      </c>
      <c r="Z17" s="22">
        <f>IF(P17="Pass",(R17*'Selection Criteria'!$F$13+S17*'Selection Criteria'!$F$14+T17*'Selection Criteria'!$F$15+U17*'Selection Criteria'!$F$16+V17*'Selection Criteria'!$F$17+W17*'Selection Criteria'!$F$18+X17*'Selection Criteria'!$F$19+Y17*'Selection Criteria'!$F$20)/(5*'Selection Criteria'!$F$21)*100,"-")</f>
        <v>81</v>
      </c>
      <c r="AA17" s="6">
        <f t="shared" si="2"/>
        <v>13</v>
      </c>
      <c r="AB17" s="17" t="str">
        <f>IF(P17&lt;&gt;"Pass","Parked (gate)",IF(AND('Selection Criteria'!$C$65="Yes",Q17="Non-Hero"),"Tier 3",IF(Z17&gt;='Selection Criteria'!$C$25,"Tier 1",IF(Z17&gt;='Selection Criteria'!$C$26,"Tier 2","Tier 3"))))</f>
        <v>Tier 2</v>
      </c>
      <c r="AC17" s="6" t="str">
        <f>INDEX('Hero Segmentation'!$R$5:$R$71,MATCH($A17,'Hero Segmentation'!$A$5:$A$71,0))</f>
        <v>EXTEND</v>
      </c>
      <c r="AD17" s="6" t="str">
        <f>IF(AND(AB17="Tier 1",J17&gt;='Selection Criteria'!$C$28),"Yes","")</f>
        <v/>
      </c>
      <c r="AE17" s="10" t="str">
        <f>IFERROR(INDEX('Competitor Fit'!$C$5:$C$103,MATCH($A17&amp;"|Primary",'Competitor Fit'!$L$5:$L$103,0)),"-")</f>
        <v>Wayfair</v>
      </c>
      <c r="AF17" s="10" t="str">
        <f>IFERROR(INDEX('Competitor Fit'!$C$5:$C$103,MATCH($A17&amp;"|Secondary",'Competitor Fit'!$L$5:$L$103,0)),"-")</f>
        <v>Amazon</v>
      </c>
      <c r="AG17" s="10" t="s">
        <v>811</v>
      </c>
    </row>
    <row r="18" spans="1:33" ht="26.4" x14ac:dyDescent="0.3">
      <c r="A18" s="6" t="s">
        <v>276</v>
      </c>
      <c r="B18" s="10" t="s">
        <v>277</v>
      </c>
      <c r="C18" s="10" t="s">
        <v>759</v>
      </c>
      <c r="D18" s="10" t="s">
        <v>812</v>
      </c>
      <c r="E18" s="10" t="s">
        <v>813</v>
      </c>
      <c r="F18" s="10"/>
      <c r="G18" s="6">
        <v>3</v>
      </c>
      <c r="H18" s="6" t="s">
        <v>278</v>
      </c>
      <c r="I18" s="16">
        <v>253</v>
      </c>
      <c r="J18" s="16">
        <v>0</v>
      </c>
      <c r="K18" s="10" t="s">
        <v>762</v>
      </c>
      <c r="L18" s="6" t="str">
        <f t="shared" si="0"/>
        <v>Pass</v>
      </c>
      <c r="M18" s="18" t="s">
        <v>763</v>
      </c>
      <c r="N18" s="6" t="str">
        <f>IF(I18&gt;='Selection Criteria'!$C$27,"Pass","Fail")</f>
        <v>Pass</v>
      </c>
      <c r="O18" s="18" t="s">
        <v>763</v>
      </c>
      <c r="P18" s="17" t="str">
        <f t="shared" si="1"/>
        <v>Pass</v>
      </c>
      <c r="Q18" s="17" t="str">
        <f>INDEX('Hero Segmentation'!$Q$5:$Q$71,MATCH($A18,'Hero Segmentation'!$A$5:$A$71,0))</f>
        <v>Probable Hero</v>
      </c>
      <c r="R18" s="18">
        <v>5</v>
      </c>
      <c r="S18" s="18">
        <v>4</v>
      </c>
      <c r="T18" s="18">
        <v>4</v>
      </c>
      <c r="U18" s="18">
        <v>4</v>
      </c>
      <c r="V18" s="18">
        <v>5</v>
      </c>
      <c r="W18" s="18">
        <v>3</v>
      </c>
      <c r="X18" s="18">
        <v>4</v>
      </c>
      <c r="Y18" s="18">
        <v>2</v>
      </c>
      <c r="Z18" s="22">
        <f>IF(P18="Pass",(R18*'Selection Criteria'!$F$13+S18*'Selection Criteria'!$F$14+T18*'Selection Criteria'!$F$15+U18*'Selection Criteria'!$F$16+V18*'Selection Criteria'!$F$17+W18*'Selection Criteria'!$F$18+X18*'Selection Criteria'!$F$19+Y18*'Selection Criteria'!$F$20)/(5*'Selection Criteria'!$F$21)*100,"-")</f>
        <v>80</v>
      </c>
      <c r="AA18" s="6">
        <f t="shared" si="2"/>
        <v>14</v>
      </c>
      <c r="AB18" s="17" t="str">
        <f>IF(P18&lt;&gt;"Pass","Parked (gate)",IF(AND('Selection Criteria'!$C$65="Yes",Q18="Non-Hero"),"Tier 3",IF(Z18&gt;='Selection Criteria'!$C$25,"Tier 1",IF(Z18&gt;='Selection Criteria'!$C$26,"Tier 2","Tier 3"))))</f>
        <v>Tier 2</v>
      </c>
      <c r="AC18" s="6" t="str">
        <f>INDEX('Hero Segmentation'!$R$5:$R$71,MATCH($A18,'Hero Segmentation'!$A$5:$A$71,0))</f>
        <v>BUILD</v>
      </c>
      <c r="AD18" s="6" t="str">
        <f>IF(AND(AB18="Tier 1",J18&gt;='Selection Criteria'!$C$28),"Yes","")</f>
        <v/>
      </c>
      <c r="AE18" s="10" t="str">
        <f>IFERROR(INDEX('Competitor Fit'!$C$5:$C$103,MATCH($A18&amp;"|Primary",'Competitor Fit'!$L$5:$L$103,0)),"-")</f>
        <v>Amazon</v>
      </c>
      <c r="AF18" s="10" t="str">
        <f>IFERROR(INDEX('Competitor Fit'!$C$5:$C$103,MATCH($A18&amp;"|Secondary",'Competitor Fit'!$L$5:$L$103,0)),"-")</f>
        <v>Michaels</v>
      </c>
      <c r="AG18" s="10" t="s">
        <v>814</v>
      </c>
    </row>
    <row r="19" spans="1:33" x14ac:dyDescent="0.3">
      <c r="A19" s="6" t="s">
        <v>815</v>
      </c>
      <c r="B19" s="10" t="s">
        <v>389</v>
      </c>
      <c r="C19" s="10" t="s">
        <v>775</v>
      </c>
      <c r="D19" s="10" t="s">
        <v>816</v>
      </c>
      <c r="E19" s="10" t="s">
        <v>817</v>
      </c>
      <c r="F19" s="10" t="s">
        <v>818</v>
      </c>
      <c r="G19" s="6">
        <v>4</v>
      </c>
      <c r="H19" s="6" t="s">
        <v>390</v>
      </c>
      <c r="I19" s="16">
        <v>203</v>
      </c>
      <c r="J19" s="16">
        <v>0</v>
      </c>
      <c r="K19" s="10" t="s">
        <v>768</v>
      </c>
      <c r="L19" s="6" t="str">
        <f t="shared" si="0"/>
        <v>Pass</v>
      </c>
      <c r="M19" s="18" t="s">
        <v>763</v>
      </c>
      <c r="N19" s="6" t="str">
        <f>IF(I19&gt;='Selection Criteria'!$C$27,"Pass","Fail")</f>
        <v>Pass</v>
      </c>
      <c r="O19" s="18" t="s">
        <v>763</v>
      </c>
      <c r="P19" s="17" t="str">
        <f t="shared" si="1"/>
        <v>Pass</v>
      </c>
      <c r="Q19" s="17" t="str">
        <f>INDEX('Hero Segmentation'!$Q$5:$Q$71,MATCH($A19,'Hero Segmentation'!$A$5:$A$71,0))</f>
        <v>Probable Hero</v>
      </c>
      <c r="R19" s="18">
        <v>5</v>
      </c>
      <c r="S19" s="18">
        <v>5</v>
      </c>
      <c r="T19" s="18">
        <v>5</v>
      </c>
      <c r="U19" s="18">
        <v>3</v>
      </c>
      <c r="V19" s="18">
        <v>4</v>
      </c>
      <c r="W19" s="18">
        <v>3</v>
      </c>
      <c r="X19" s="18">
        <v>3</v>
      </c>
      <c r="Y19" s="18">
        <v>2</v>
      </c>
      <c r="Z19" s="22">
        <f>IF(P19="Pass",(R19*'Selection Criteria'!$F$13+S19*'Selection Criteria'!$F$14+T19*'Selection Criteria'!$F$15+U19*'Selection Criteria'!$F$16+V19*'Selection Criteria'!$F$17+W19*'Selection Criteria'!$F$18+X19*'Selection Criteria'!$F$19+Y19*'Selection Criteria'!$F$20)/(5*'Selection Criteria'!$F$21)*100,"-")</f>
        <v>80</v>
      </c>
      <c r="AA19" s="6">
        <f t="shared" si="2"/>
        <v>14</v>
      </c>
      <c r="AB19" s="17" t="str">
        <f>IF(P19&lt;&gt;"Pass","Parked (gate)",IF(AND('Selection Criteria'!$C$65="Yes",Q19="Non-Hero"),"Tier 3",IF(Z19&gt;='Selection Criteria'!$C$25,"Tier 1",IF(Z19&gt;='Selection Criteria'!$C$26,"Tier 2","Tier 3"))))</f>
        <v>Tier 2</v>
      </c>
      <c r="AC19" s="6" t="str">
        <f>INDEX('Hero Segmentation'!$R$5:$R$71,MATCH($A19,'Hero Segmentation'!$A$5:$A$71,0))</f>
        <v>BUILD</v>
      </c>
      <c r="AD19" s="6" t="str">
        <f>IF(AND(AB19="Tier 1",J19&gt;='Selection Criteria'!$C$28),"Yes","")</f>
        <v/>
      </c>
      <c r="AE19" s="10" t="str">
        <f>IFERROR(INDEX('Competitor Fit'!$C$5:$C$103,MATCH($A19&amp;"|Primary",'Competitor Fit'!$L$5:$L$103,0)),"-")</f>
        <v>Wayfair</v>
      </c>
      <c r="AF19" s="10" t="str">
        <f>IFERROR(INDEX('Competitor Fit'!$C$5:$C$103,MATCH($A19&amp;"|Secondary",'Competitor Fit'!$L$5:$L$103,0)),"-")</f>
        <v>Michaels</v>
      </c>
      <c r="AG19" s="10" t="s">
        <v>819</v>
      </c>
    </row>
    <row r="20" spans="1:33" ht="26.4" x14ac:dyDescent="0.3">
      <c r="A20" s="6" t="s">
        <v>282</v>
      </c>
      <c r="B20" s="10" t="s">
        <v>283</v>
      </c>
      <c r="C20" s="10" t="s">
        <v>759</v>
      </c>
      <c r="D20" s="10" t="s">
        <v>820</v>
      </c>
      <c r="E20" s="10" t="s">
        <v>821</v>
      </c>
      <c r="F20" s="10" t="s">
        <v>822</v>
      </c>
      <c r="G20" s="6">
        <v>4</v>
      </c>
      <c r="H20" s="6" t="s">
        <v>284</v>
      </c>
      <c r="I20" s="16">
        <v>32</v>
      </c>
      <c r="J20" s="16">
        <v>0</v>
      </c>
      <c r="K20" s="10" t="s">
        <v>762</v>
      </c>
      <c r="L20" s="6" t="str">
        <f t="shared" si="0"/>
        <v>Pass</v>
      </c>
      <c r="M20" s="18" t="s">
        <v>763</v>
      </c>
      <c r="N20" s="6" t="str">
        <f>IF(I20&gt;='Selection Criteria'!$C$27,"Pass","Fail")</f>
        <v>Pass</v>
      </c>
      <c r="O20" s="18" t="s">
        <v>763</v>
      </c>
      <c r="P20" s="17" t="str">
        <f t="shared" si="1"/>
        <v>Pass</v>
      </c>
      <c r="Q20" s="17" t="str">
        <f>INDEX('Hero Segmentation'!$Q$5:$Q$71,MATCH($A20,'Hero Segmentation'!$A$5:$A$71,0))</f>
        <v>Probable Hero</v>
      </c>
      <c r="R20" s="18">
        <v>5</v>
      </c>
      <c r="S20" s="18">
        <v>5</v>
      </c>
      <c r="T20" s="18">
        <v>5</v>
      </c>
      <c r="U20" s="18">
        <v>3</v>
      </c>
      <c r="V20" s="18">
        <v>5</v>
      </c>
      <c r="W20" s="18">
        <v>2</v>
      </c>
      <c r="X20" s="18">
        <v>3</v>
      </c>
      <c r="Y20" s="18">
        <v>1</v>
      </c>
      <c r="Z20" s="22">
        <f>IF(P20="Pass",(R20*'Selection Criteria'!$F$13+S20*'Selection Criteria'!$F$14+T20*'Selection Criteria'!$F$15+U20*'Selection Criteria'!$F$16+V20*'Selection Criteria'!$F$17+W20*'Selection Criteria'!$F$18+X20*'Selection Criteria'!$F$19+Y20*'Selection Criteria'!$F$20)/(5*'Selection Criteria'!$F$21)*100,"-")</f>
        <v>78</v>
      </c>
      <c r="AA20" s="6">
        <f t="shared" si="2"/>
        <v>16</v>
      </c>
      <c r="AB20" s="17" t="str">
        <f>IF(P20&lt;&gt;"Pass","Parked (gate)",IF(AND('Selection Criteria'!$C$65="Yes",Q20="Non-Hero"),"Tier 3",IF(Z20&gt;='Selection Criteria'!$C$25,"Tier 1",IF(Z20&gt;='Selection Criteria'!$C$26,"Tier 2","Tier 3"))))</f>
        <v>Tier 2</v>
      </c>
      <c r="AC20" s="6" t="str">
        <f>INDEX('Hero Segmentation'!$R$5:$R$71,MATCH($A20,'Hero Segmentation'!$A$5:$A$71,0))</f>
        <v>BUILD</v>
      </c>
      <c r="AD20" s="6" t="str">
        <f>IF(AND(AB20="Tier 1",J20&gt;='Selection Criteria'!$C$28),"Yes","")</f>
        <v/>
      </c>
      <c r="AE20" s="10" t="str">
        <f>IFERROR(INDEX('Competitor Fit'!$C$5:$C$103,MATCH($A20&amp;"|Primary",'Competitor Fit'!$L$5:$L$103,0)),"-")</f>
        <v>Michaels</v>
      </c>
      <c r="AF20" s="10" t="str">
        <f>IFERROR(INDEX('Competitor Fit'!$C$5:$C$103,MATCH($A20&amp;"|Secondary",'Competitor Fit'!$L$5:$L$103,0)),"-")</f>
        <v>Amazon</v>
      </c>
      <c r="AG20" s="10" t="s">
        <v>823</v>
      </c>
    </row>
    <row r="21" spans="1:33" ht="26.4" x14ac:dyDescent="0.3">
      <c r="A21" s="6" t="s">
        <v>279</v>
      </c>
      <c r="B21" s="10" t="s">
        <v>280</v>
      </c>
      <c r="C21" s="10" t="s">
        <v>824</v>
      </c>
      <c r="D21" s="10" t="s">
        <v>825</v>
      </c>
      <c r="E21" s="10" t="s">
        <v>826</v>
      </c>
      <c r="F21" s="10"/>
      <c r="G21" s="6">
        <v>3</v>
      </c>
      <c r="H21" s="6" t="s">
        <v>281</v>
      </c>
      <c r="I21" s="16">
        <v>166</v>
      </c>
      <c r="J21" s="16">
        <v>0</v>
      </c>
      <c r="K21" s="10" t="s">
        <v>762</v>
      </c>
      <c r="L21" s="6" t="str">
        <f t="shared" si="0"/>
        <v>Pass</v>
      </c>
      <c r="M21" s="18" t="s">
        <v>763</v>
      </c>
      <c r="N21" s="6" t="str">
        <f>IF(I21&gt;='Selection Criteria'!$C$27,"Pass","Fail")</f>
        <v>Pass</v>
      </c>
      <c r="O21" s="18" t="s">
        <v>763</v>
      </c>
      <c r="P21" s="17" t="str">
        <f t="shared" si="1"/>
        <v>Pass</v>
      </c>
      <c r="Q21" s="17" t="str">
        <f>INDEX('Hero Segmentation'!$Q$5:$Q$71,MATCH($A21,'Hero Segmentation'!$A$5:$A$71,0))</f>
        <v>Probable Hero</v>
      </c>
      <c r="R21" s="18">
        <v>5</v>
      </c>
      <c r="S21" s="18">
        <v>5</v>
      </c>
      <c r="T21" s="18">
        <v>5</v>
      </c>
      <c r="U21" s="18">
        <v>3</v>
      </c>
      <c r="V21" s="18">
        <v>5</v>
      </c>
      <c r="W21" s="18">
        <v>2</v>
      </c>
      <c r="X21" s="18">
        <v>3</v>
      </c>
      <c r="Y21" s="18">
        <v>1</v>
      </c>
      <c r="Z21" s="22">
        <f>IF(P21="Pass",(R21*'Selection Criteria'!$F$13+S21*'Selection Criteria'!$F$14+T21*'Selection Criteria'!$F$15+U21*'Selection Criteria'!$F$16+V21*'Selection Criteria'!$F$17+W21*'Selection Criteria'!$F$18+X21*'Selection Criteria'!$F$19+Y21*'Selection Criteria'!$F$20)/(5*'Selection Criteria'!$F$21)*100,"-")</f>
        <v>78</v>
      </c>
      <c r="AA21" s="6">
        <f t="shared" si="2"/>
        <v>16</v>
      </c>
      <c r="AB21" s="17" t="str">
        <f>IF(P21&lt;&gt;"Pass","Parked (gate)",IF(AND('Selection Criteria'!$C$65="Yes",Q21="Non-Hero"),"Tier 3",IF(Z21&gt;='Selection Criteria'!$C$25,"Tier 1",IF(Z21&gt;='Selection Criteria'!$C$26,"Tier 2","Tier 3"))))</f>
        <v>Tier 2</v>
      </c>
      <c r="AC21" s="6" t="str">
        <f>INDEX('Hero Segmentation'!$R$5:$R$71,MATCH($A21,'Hero Segmentation'!$A$5:$A$71,0))</f>
        <v>BUILD</v>
      </c>
      <c r="AD21" s="6" t="str">
        <f>IF(AND(AB21="Tier 1",J21&gt;='Selection Criteria'!$C$28),"Yes","")</f>
        <v/>
      </c>
      <c r="AE21" s="10" t="str">
        <f>IFERROR(INDEX('Competitor Fit'!$C$5:$C$103,MATCH($A21&amp;"|Primary",'Competitor Fit'!$L$5:$L$103,0)),"-")</f>
        <v>Michaels</v>
      </c>
      <c r="AF21" s="10" t="str">
        <f>IFERROR(INDEX('Competitor Fit'!$C$5:$C$103,MATCH($A21&amp;"|Secondary",'Competitor Fit'!$L$5:$L$103,0)),"-")</f>
        <v>Amazon</v>
      </c>
      <c r="AG21" s="10" t="s">
        <v>827</v>
      </c>
    </row>
    <row r="22" spans="1:33" ht="26.4" x14ac:dyDescent="0.3">
      <c r="A22" s="6" t="s">
        <v>828</v>
      </c>
      <c r="B22" s="10" t="s">
        <v>412</v>
      </c>
      <c r="C22" s="10" t="s">
        <v>829</v>
      </c>
      <c r="D22" s="10" t="s">
        <v>830</v>
      </c>
      <c r="E22" s="10" t="s">
        <v>831</v>
      </c>
      <c r="F22" s="10"/>
      <c r="G22" s="6">
        <v>3</v>
      </c>
      <c r="H22" s="6" t="s">
        <v>413</v>
      </c>
      <c r="I22" s="16">
        <v>318</v>
      </c>
      <c r="J22" s="16">
        <v>0</v>
      </c>
      <c r="K22" s="10" t="s">
        <v>768</v>
      </c>
      <c r="L22" s="6" t="str">
        <f t="shared" si="0"/>
        <v>Pass</v>
      </c>
      <c r="M22" s="18" t="s">
        <v>763</v>
      </c>
      <c r="N22" s="6" t="str">
        <f>IF(I22&gt;='Selection Criteria'!$C$27,"Pass","Fail")</f>
        <v>Pass</v>
      </c>
      <c r="O22" s="18" t="s">
        <v>763</v>
      </c>
      <c r="P22" s="17" t="str">
        <f t="shared" si="1"/>
        <v>Pass</v>
      </c>
      <c r="Q22" s="17" t="str">
        <f>INDEX('Hero Segmentation'!$Q$5:$Q$71,MATCH($A22,'Hero Segmentation'!$A$5:$A$71,0))</f>
        <v>Probable Hero</v>
      </c>
      <c r="R22" s="18">
        <v>4</v>
      </c>
      <c r="S22" s="18">
        <v>4</v>
      </c>
      <c r="T22" s="18">
        <v>4</v>
      </c>
      <c r="U22" s="18">
        <v>5</v>
      </c>
      <c r="V22" s="18">
        <v>5</v>
      </c>
      <c r="W22" s="18">
        <v>3</v>
      </c>
      <c r="X22" s="18">
        <v>3</v>
      </c>
      <c r="Y22" s="18">
        <v>2</v>
      </c>
      <c r="Z22" s="22">
        <f>IF(P22="Pass",(R22*'Selection Criteria'!$F$13+S22*'Selection Criteria'!$F$14+T22*'Selection Criteria'!$F$15+U22*'Selection Criteria'!$F$16+V22*'Selection Criteria'!$F$17+W22*'Selection Criteria'!$F$18+X22*'Selection Criteria'!$F$19+Y22*'Selection Criteria'!$F$20)/(5*'Selection Criteria'!$F$21)*100,"-")</f>
        <v>78</v>
      </c>
      <c r="AA22" s="6">
        <f t="shared" si="2"/>
        <v>16</v>
      </c>
      <c r="AB22" s="17" t="str">
        <f>IF(P22&lt;&gt;"Pass","Parked (gate)",IF(AND('Selection Criteria'!$C$65="Yes",Q22="Non-Hero"),"Tier 3",IF(Z22&gt;='Selection Criteria'!$C$25,"Tier 1",IF(Z22&gt;='Selection Criteria'!$C$26,"Tier 2","Tier 3"))))</f>
        <v>Tier 2</v>
      </c>
      <c r="AC22" s="6" t="str">
        <f>INDEX('Hero Segmentation'!$R$5:$R$71,MATCH($A22,'Hero Segmentation'!$A$5:$A$71,0))</f>
        <v>BUILD</v>
      </c>
      <c r="AD22" s="6" t="str">
        <f>IF(AND(AB22="Tier 1",J22&gt;='Selection Criteria'!$C$28),"Yes","")</f>
        <v/>
      </c>
      <c r="AE22" s="10" t="str">
        <f>IFERROR(INDEX('Competitor Fit'!$C$5:$C$103,MATCH($A22&amp;"|Primary",'Competitor Fit'!$L$5:$L$103,0)),"-")</f>
        <v>Amazon</v>
      </c>
      <c r="AF22" s="10" t="str">
        <f>IFERROR(INDEX('Competitor Fit'!$C$5:$C$103,MATCH($A22&amp;"|Secondary",'Competitor Fit'!$L$5:$L$103,0)),"-")</f>
        <v>Wayfair</v>
      </c>
      <c r="AG22" s="10" t="s">
        <v>832</v>
      </c>
    </row>
    <row r="23" spans="1:33" x14ac:dyDescent="0.3">
      <c r="A23" s="6" t="s">
        <v>833</v>
      </c>
      <c r="B23" s="10" t="s">
        <v>421</v>
      </c>
      <c r="C23" s="10" t="s">
        <v>775</v>
      </c>
      <c r="D23" s="10" t="s">
        <v>834</v>
      </c>
      <c r="E23" s="10" t="s">
        <v>835</v>
      </c>
      <c r="F23" s="10"/>
      <c r="G23" s="6">
        <v>3</v>
      </c>
      <c r="H23" s="6" t="s">
        <v>422</v>
      </c>
      <c r="I23" s="16">
        <v>284</v>
      </c>
      <c r="J23" s="16">
        <v>0</v>
      </c>
      <c r="K23" s="10" t="s">
        <v>768</v>
      </c>
      <c r="L23" s="6" t="str">
        <f t="shared" si="0"/>
        <v>Pass</v>
      </c>
      <c r="M23" s="18" t="s">
        <v>763</v>
      </c>
      <c r="N23" s="6" t="str">
        <f>IF(I23&gt;='Selection Criteria'!$C$27,"Pass","Fail")</f>
        <v>Pass</v>
      </c>
      <c r="O23" s="18" t="s">
        <v>763</v>
      </c>
      <c r="P23" s="17" t="str">
        <f t="shared" si="1"/>
        <v>Pass</v>
      </c>
      <c r="Q23" s="17" t="str">
        <f>INDEX('Hero Segmentation'!$Q$5:$Q$71,MATCH($A23,'Hero Segmentation'!$A$5:$A$71,0))</f>
        <v>Hero</v>
      </c>
      <c r="R23" s="18">
        <v>4</v>
      </c>
      <c r="S23" s="18">
        <v>4</v>
      </c>
      <c r="T23" s="18">
        <v>4</v>
      </c>
      <c r="U23" s="18">
        <v>5</v>
      </c>
      <c r="V23" s="18">
        <v>4</v>
      </c>
      <c r="W23" s="18">
        <v>3</v>
      </c>
      <c r="X23" s="18">
        <v>4</v>
      </c>
      <c r="Y23" s="18">
        <v>2</v>
      </c>
      <c r="Z23" s="22">
        <f>IF(P23="Pass",(R23*'Selection Criteria'!$F$13+S23*'Selection Criteria'!$F$14+T23*'Selection Criteria'!$F$15+U23*'Selection Criteria'!$F$16+V23*'Selection Criteria'!$F$17+W23*'Selection Criteria'!$F$18+X23*'Selection Criteria'!$F$19+Y23*'Selection Criteria'!$F$20)/(5*'Selection Criteria'!$F$21)*100,"-")</f>
        <v>77</v>
      </c>
      <c r="AA23" s="6">
        <f t="shared" si="2"/>
        <v>19</v>
      </c>
      <c r="AB23" s="17" t="str">
        <f>IF(P23&lt;&gt;"Pass","Parked (gate)",IF(AND('Selection Criteria'!$C$65="Yes",Q23="Non-Hero"),"Tier 3",IF(Z23&gt;='Selection Criteria'!$C$25,"Tier 1",IF(Z23&gt;='Selection Criteria'!$C$26,"Tier 2","Tier 3"))))</f>
        <v>Tier 2</v>
      </c>
      <c r="AC23" s="6" t="str">
        <f>INDEX('Hero Segmentation'!$R$5:$R$71,MATCH($A23,'Hero Segmentation'!$A$5:$A$71,0))</f>
        <v>EXTEND</v>
      </c>
      <c r="AD23" s="6" t="str">
        <f>IF(AND(AB23="Tier 1",J23&gt;='Selection Criteria'!$C$28),"Yes","")</f>
        <v/>
      </c>
      <c r="AE23" s="10" t="str">
        <f>IFERROR(INDEX('Competitor Fit'!$C$5:$C$103,MATCH($A23&amp;"|Primary",'Competitor Fit'!$L$5:$L$103,0)),"-")</f>
        <v>Amazon</v>
      </c>
      <c r="AF23" s="10" t="str">
        <f>IFERROR(INDEX('Competitor Fit'!$C$5:$C$103,MATCH($A23&amp;"|Secondary",'Competitor Fit'!$L$5:$L$103,0)),"-")</f>
        <v>Wayfair</v>
      </c>
      <c r="AG23" s="10" t="s">
        <v>836</v>
      </c>
    </row>
    <row r="24" spans="1:33" ht="26.4" x14ac:dyDescent="0.3">
      <c r="A24" s="6" t="s">
        <v>837</v>
      </c>
      <c r="B24" s="10" t="s">
        <v>838</v>
      </c>
      <c r="C24" s="10" t="s">
        <v>775</v>
      </c>
      <c r="D24" s="10" t="s">
        <v>816</v>
      </c>
      <c r="E24" s="10" t="s">
        <v>839</v>
      </c>
      <c r="F24" s="10"/>
      <c r="G24" s="6">
        <v>3</v>
      </c>
      <c r="H24" s="6" t="s">
        <v>840</v>
      </c>
      <c r="I24" s="16">
        <v>229</v>
      </c>
      <c r="J24" s="16">
        <v>0</v>
      </c>
      <c r="K24" s="10" t="s">
        <v>768</v>
      </c>
      <c r="L24" s="6" t="str">
        <f t="shared" si="0"/>
        <v>Pass</v>
      </c>
      <c r="M24" s="18" t="s">
        <v>763</v>
      </c>
      <c r="N24" s="6" t="str">
        <f>IF(I24&gt;='Selection Criteria'!$C$27,"Pass","Fail")</f>
        <v>Pass</v>
      </c>
      <c r="O24" s="18" t="s">
        <v>763</v>
      </c>
      <c r="P24" s="17" t="str">
        <f t="shared" si="1"/>
        <v>Pass</v>
      </c>
      <c r="Q24" s="17" t="str">
        <f>INDEX('Hero Segmentation'!$Q$5:$Q$71,MATCH($A24,'Hero Segmentation'!$A$5:$A$71,0))</f>
        <v>Non-Hero</v>
      </c>
      <c r="R24" s="18">
        <v>5</v>
      </c>
      <c r="S24" s="18">
        <v>5</v>
      </c>
      <c r="T24" s="18">
        <v>4</v>
      </c>
      <c r="U24" s="18">
        <v>4</v>
      </c>
      <c r="V24" s="18">
        <v>4</v>
      </c>
      <c r="W24" s="18">
        <v>2</v>
      </c>
      <c r="X24" s="18">
        <v>2</v>
      </c>
      <c r="Y24" s="18">
        <v>2</v>
      </c>
      <c r="Z24" s="22">
        <f>IF(P24="Pass",(R24*'Selection Criteria'!$F$13+S24*'Selection Criteria'!$F$14+T24*'Selection Criteria'!$F$15+U24*'Selection Criteria'!$F$16+V24*'Selection Criteria'!$F$17+W24*'Selection Criteria'!$F$18+X24*'Selection Criteria'!$F$19+Y24*'Selection Criteria'!$F$20)/(5*'Selection Criteria'!$F$21)*100,"-")</f>
        <v>77</v>
      </c>
      <c r="AA24" s="6">
        <f t="shared" si="2"/>
        <v>19</v>
      </c>
      <c r="AB24" s="17" t="str">
        <f>IF(P24&lt;&gt;"Pass","Parked (gate)",IF(AND('Selection Criteria'!$C$65="Yes",Q24="Non-Hero"),"Tier 3",IF(Z24&gt;='Selection Criteria'!$C$25,"Tier 1",IF(Z24&gt;='Selection Criteria'!$C$26,"Tier 2","Tier 3"))))</f>
        <v>Tier 3</v>
      </c>
      <c r="AC24" s="6" t="str">
        <f>INDEX('Hero Segmentation'!$R$5:$R$71,MATCH($A24,'Hero Segmentation'!$A$5:$A$71,0))</f>
        <v>HOLD</v>
      </c>
      <c r="AD24" s="6" t="str">
        <f>IF(AND(AB24="Tier 1",J24&gt;='Selection Criteria'!$C$28),"Yes","")</f>
        <v/>
      </c>
      <c r="AE24" s="10" t="str">
        <f>IFERROR(INDEX('Competitor Fit'!$C$5:$C$103,MATCH($A24&amp;"|Primary",'Competitor Fit'!$L$5:$L$103,0)),"-")</f>
        <v>Wayfair</v>
      </c>
      <c r="AF24" s="10" t="str">
        <f>IFERROR(INDEX('Competitor Fit'!$C$5:$C$103,MATCH($A24&amp;"|Secondary",'Competitor Fit'!$L$5:$L$103,0)),"-")</f>
        <v>Amazon</v>
      </c>
      <c r="AG24" s="10" t="s">
        <v>841</v>
      </c>
    </row>
    <row r="25" spans="1:33" ht="26.4" x14ac:dyDescent="0.3">
      <c r="A25" s="6" t="s">
        <v>842</v>
      </c>
      <c r="B25" s="10" t="s">
        <v>430</v>
      </c>
      <c r="C25" s="10" t="s">
        <v>775</v>
      </c>
      <c r="D25" s="10" t="s">
        <v>816</v>
      </c>
      <c r="E25" s="10" t="s">
        <v>843</v>
      </c>
      <c r="F25" s="10"/>
      <c r="G25" s="6">
        <v>3</v>
      </c>
      <c r="H25" s="6" t="s">
        <v>431</v>
      </c>
      <c r="I25" s="16">
        <v>435</v>
      </c>
      <c r="J25" s="16">
        <v>0</v>
      </c>
      <c r="K25" s="10" t="s">
        <v>768</v>
      </c>
      <c r="L25" s="6" t="str">
        <f t="shared" si="0"/>
        <v>Pass</v>
      </c>
      <c r="M25" s="18" t="s">
        <v>763</v>
      </c>
      <c r="N25" s="6" t="str">
        <f>IF(I25&gt;='Selection Criteria'!$C$27,"Pass","Fail")</f>
        <v>Pass</v>
      </c>
      <c r="O25" s="18" t="s">
        <v>763</v>
      </c>
      <c r="P25" s="17" t="str">
        <f t="shared" si="1"/>
        <v>Pass</v>
      </c>
      <c r="Q25" s="17" t="str">
        <f>INDEX('Hero Segmentation'!$Q$5:$Q$71,MATCH($A25,'Hero Segmentation'!$A$5:$A$71,0))</f>
        <v>Probable Hero</v>
      </c>
      <c r="R25" s="18">
        <v>5</v>
      </c>
      <c r="S25" s="18">
        <v>5</v>
      </c>
      <c r="T25" s="18">
        <v>4</v>
      </c>
      <c r="U25" s="18">
        <v>3</v>
      </c>
      <c r="V25" s="18">
        <v>4</v>
      </c>
      <c r="W25" s="18">
        <v>3</v>
      </c>
      <c r="X25" s="18">
        <v>3</v>
      </c>
      <c r="Y25" s="18">
        <v>2</v>
      </c>
      <c r="Z25" s="22">
        <f>IF(P25="Pass",(R25*'Selection Criteria'!$F$13+S25*'Selection Criteria'!$F$14+T25*'Selection Criteria'!$F$15+U25*'Selection Criteria'!$F$16+V25*'Selection Criteria'!$F$17+W25*'Selection Criteria'!$F$18+X25*'Selection Criteria'!$F$19+Y25*'Selection Criteria'!$F$20)/(5*'Selection Criteria'!$F$21)*100,"-")</f>
        <v>77</v>
      </c>
      <c r="AA25" s="6">
        <f t="shared" si="2"/>
        <v>19</v>
      </c>
      <c r="AB25" s="17" t="str">
        <f>IF(P25&lt;&gt;"Pass","Parked (gate)",IF(AND('Selection Criteria'!$C$65="Yes",Q25="Non-Hero"),"Tier 3",IF(Z25&gt;='Selection Criteria'!$C$25,"Tier 1",IF(Z25&gt;='Selection Criteria'!$C$26,"Tier 2","Tier 3"))))</f>
        <v>Tier 2</v>
      </c>
      <c r="AC25" s="6" t="str">
        <f>INDEX('Hero Segmentation'!$R$5:$R$71,MATCH($A25,'Hero Segmentation'!$A$5:$A$71,0))</f>
        <v>BUILD</v>
      </c>
      <c r="AD25" s="6" t="str">
        <f>IF(AND(AB25="Tier 1",J25&gt;='Selection Criteria'!$C$28),"Yes","")</f>
        <v/>
      </c>
      <c r="AE25" s="10" t="str">
        <f>IFERROR(INDEX('Competitor Fit'!$C$5:$C$103,MATCH($A25&amp;"|Primary",'Competitor Fit'!$L$5:$L$103,0)),"-")</f>
        <v>Michaels</v>
      </c>
      <c r="AF25" s="10" t="str">
        <f>IFERROR(INDEX('Competitor Fit'!$C$5:$C$103,MATCH($A25&amp;"|Secondary",'Competitor Fit'!$L$5:$L$103,0)),"-")</f>
        <v>Wayfair</v>
      </c>
      <c r="AG25" s="10" t="s">
        <v>844</v>
      </c>
    </row>
    <row r="26" spans="1:33" ht="26.4" x14ac:dyDescent="0.3">
      <c r="A26" s="6" t="s">
        <v>254</v>
      </c>
      <c r="B26" s="10" t="s">
        <v>255</v>
      </c>
      <c r="C26" s="10" t="s">
        <v>845</v>
      </c>
      <c r="D26" s="10" t="s">
        <v>846</v>
      </c>
      <c r="E26" s="10" t="s">
        <v>847</v>
      </c>
      <c r="F26" s="10"/>
      <c r="G26" s="6">
        <v>3</v>
      </c>
      <c r="H26" s="6" t="s">
        <v>256</v>
      </c>
      <c r="I26" s="16">
        <v>99</v>
      </c>
      <c r="J26" s="16">
        <v>98</v>
      </c>
      <c r="K26" s="10" t="s">
        <v>848</v>
      </c>
      <c r="L26" s="6" t="str">
        <f t="shared" si="0"/>
        <v>Pass</v>
      </c>
      <c r="M26" s="18" t="s">
        <v>763</v>
      </c>
      <c r="N26" s="6" t="str">
        <f>IF(I26&gt;='Selection Criteria'!$C$27,"Pass","Fail")</f>
        <v>Pass</v>
      </c>
      <c r="O26" s="18" t="s">
        <v>763</v>
      </c>
      <c r="P26" s="17" t="str">
        <f t="shared" si="1"/>
        <v>Pass</v>
      </c>
      <c r="Q26" s="17" t="str">
        <f>INDEX('Hero Segmentation'!$Q$5:$Q$71,MATCH($A26,'Hero Segmentation'!$A$5:$A$71,0))</f>
        <v>Probable Hero</v>
      </c>
      <c r="R26" s="18">
        <v>4</v>
      </c>
      <c r="S26" s="18">
        <v>4</v>
      </c>
      <c r="T26" s="18">
        <v>4</v>
      </c>
      <c r="U26" s="18">
        <v>4</v>
      </c>
      <c r="V26" s="18">
        <v>4</v>
      </c>
      <c r="W26" s="18">
        <v>3</v>
      </c>
      <c r="X26" s="18">
        <v>3</v>
      </c>
      <c r="Y26" s="18">
        <v>4</v>
      </c>
      <c r="Z26" s="22">
        <f>IF(P26="Pass",(R26*'Selection Criteria'!$F$13+S26*'Selection Criteria'!$F$14+T26*'Selection Criteria'!$F$15+U26*'Selection Criteria'!$F$16+V26*'Selection Criteria'!$F$17+W26*'Selection Criteria'!$F$18+X26*'Selection Criteria'!$F$19+Y26*'Selection Criteria'!$F$20)/(5*'Selection Criteria'!$F$21)*100,"-")</f>
        <v>77</v>
      </c>
      <c r="AA26" s="6">
        <f t="shared" si="2"/>
        <v>19</v>
      </c>
      <c r="AB26" s="17" t="str">
        <f>IF(P26&lt;&gt;"Pass","Parked (gate)",IF(AND('Selection Criteria'!$C$65="Yes",Q26="Non-Hero"),"Tier 3",IF(Z26&gt;='Selection Criteria'!$C$25,"Tier 1",IF(Z26&gt;='Selection Criteria'!$C$26,"Tier 2","Tier 3"))))</f>
        <v>Tier 2</v>
      </c>
      <c r="AC26" s="6" t="str">
        <f>INDEX('Hero Segmentation'!$R$5:$R$71,MATCH($A26,'Hero Segmentation'!$A$5:$A$71,0))</f>
        <v>BUILD</v>
      </c>
      <c r="AD26" s="6" t="str">
        <f>IF(AND(AB26="Tier 1",J26&gt;='Selection Criteria'!$C$28),"Yes","")</f>
        <v/>
      </c>
      <c r="AE26" s="10" t="str">
        <f>IFERROR(INDEX('Competitor Fit'!$C$5:$C$103,MATCH($A26&amp;"|Primary",'Competitor Fit'!$L$5:$L$103,0)),"-")</f>
        <v>Amazon</v>
      </c>
      <c r="AF26" s="10" t="str">
        <f>IFERROR(INDEX('Competitor Fit'!$C$5:$C$103,MATCH($A26&amp;"|Secondary",'Competitor Fit'!$L$5:$L$103,0)),"-")</f>
        <v>Uline</v>
      </c>
      <c r="AG26" s="10" t="s">
        <v>849</v>
      </c>
    </row>
    <row r="27" spans="1:33" ht="26.4" x14ac:dyDescent="0.3">
      <c r="A27" s="6" t="s">
        <v>850</v>
      </c>
      <c r="B27" s="10" t="s">
        <v>851</v>
      </c>
      <c r="C27" s="10" t="s">
        <v>759</v>
      </c>
      <c r="D27" s="10" t="s">
        <v>766</v>
      </c>
      <c r="E27" s="10" t="s">
        <v>852</v>
      </c>
      <c r="F27" s="10"/>
      <c r="G27" s="6">
        <v>3</v>
      </c>
      <c r="H27" s="6" t="s">
        <v>853</v>
      </c>
      <c r="I27" s="16">
        <v>82</v>
      </c>
      <c r="J27" s="16">
        <v>0</v>
      </c>
      <c r="K27" s="10" t="s">
        <v>768</v>
      </c>
      <c r="L27" s="6" t="str">
        <f t="shared" si="0"/>
        <v>Pass</v>
      </c>
      <c r="M27" s="18" t="s">
        <v>763</v>
      </c>
      <c r="N27" s="6" t="str">
        <f>IF(I27&gt;='Selection Criteria'!$C$27,"Pass","Fail")</f>
        <v>Pass</v>
      </c>
      <c r="O27" s="18" t="s">
        <v>763</v>
      </c>
      <c r="P27" s="17" t="str">
        <f t="shared" si="1"/>
        <v>Pass</v>
      </c>
      <c r="Q27" s="17" t="str">
        <f>INDEX('Hero Segmentation'!$Q$5:$Q$71,MATCH($A27,'Hero Segmentation'!$A$5:$A$71,0))</f>
        <v>Non-Hero</v>
      </c>
      <c r="R27" s="18">
        <v>4</v>
      </c>
      <c r="S27" s="18">
        <v>4</v>
      </c>
      <c r="T27" s="18">
        <v>4</v>
      </c>
      <c r="U27" s="18">
        <v>5</v>
      </c>
      <c r="V27" s="18">
        <v>4</v>
      </c>
      <c r="W27" s="18">
        <v>3</v>
      </c>
      <c r="X27" s="18">
        <v>3</v>
      </c>
      <c r="Y27" s="18">
        <v>2</v>
      </c>
      <c r="Z27" s="22">
        <f>IF(P27="Pass",(R27*'Selection Criteria'!$F$13+S27*'Selection Criteria'!$F$14+T27*'Selection Criteria'!$F$15+U27*'Selection Criteria'!$F$16+V27*'Selection Criteria'!$F$17+W27*'Selection Criteria'!$F$18+X27*'Selection Criteria'!$F$19+Y27*'Selection Criteria'!$F$20)/(5*'Selection Criteria'!$F$21)*100,"-")</f>
        <v>76</v>
      </c>
      <c r="AA27" s="6">
        <f t="shared" si="2"/>
        <v>23</v>
      </c>
      <c r="AB27" s="17" t="str">
        <f>IF(P27&lt;&gt;"Pass","Parked (gate)",IF(AND('Selection Criteria'!$C$65="Yes",Q27="Non-Hero"),"Tier 3",IF(Z27&gt;='Selection Criteria'!$C$25,"Tier 1",IF(Z27&gt;='Selection Criteria'!$C$26,"Tier 2","Tier 3"))))</f>
        <v>Tier 3</v>
      </c>
      <c r="AC27" s="6" t="str">
        <f>INDEX('Hero Segmentation'!$R$5:$R$71,MATCH($A27,'Hero Segmentation'!$A$5:$A$71,0))</f>
        <v>HOLD</v>
      </c>
      <c r="AD27" s="6" t="str">
        <f>IF(AND(AB27="Tier 1",J27&gt;='Selection Criteria'!$C$28),"Yes","")</f>
        <v/>
      </c>
      <c r="AE27" s="10" t="str">
        <f>IFERROR(INDEX('Competitor Fit'!$C$5:$C$103,MATCH($A27&amp;"|Primary",'Competitor Fit'!$L$5:$L$103,0)),"-")</f>
        <v>Amazon</v>
      </c>
      <c r="AF27" s="10" t="str">
        <f>IFERROR(INDEX('Competitor Fit'!$C$5:$C$103,MATCH($A27&amp;"|Secondary",'Competitor Fit'!$L$5:$L$103,0)),"-")</f>
        <v>Wayfair</v>
      </c>
      <c r="AG27" s="10" t="s">
        <v>854</v>
      </c>
    </row>
    <row r="28" spans="1:33" ht="26.4" x14ac:dyDescent="0.3">
      <c r="A28" s="6" t="s">
        <v>855</v>
      </c>
      <c r="B28" s="10" t="s">
        <v>446</v>
      </c>
      <c r="C28" s="10" t="s">
        <v>829</v>
      </c>
      <c r="D28" s="10" t="s">
        <v>830</v>
      </c>
      <c r="E28" s="10" t="s">
        <v>856</v>
      </c>
      <c r="F28" s="10" t="s">
        <v>857</v>
      </c>
      <c r="G28" s="6">
        <v>4</v>
      </c>
      <c r="H28" s="6" t="s">
        <v>447</v>
      </c>
      <c r="I28" s="16">
        <v>205</v>
      </c>
      <c r="J28" s="16">
        <v>0</v>
      </c>
      <c r="K28" s="10" t="s">
        <v>768</v>
      </c>
      <c r="L28" s="6" t="str">
        <f t="shared" si="0"/>
        <v>Pass</v>
      </c>
      <c r="M28" s="18" t="s">
        <v>763</v>
      </c>
      <c r="N28" s="6" t="str">
        <f>IF(I28&gt;='Selection Criteria'!$C$27,"Pass","Fail")</f>
        <v>Pass</v>
      </c>
      <c r="O28" s="18" t="s">
        <v>763</v>
      </c>
      <c r="P28" s="17" t="str">
        <f t="shared" si="1"/>
        <v>Pass</v>
      </c>
      <c r="Q28" s="17" t="str">
        <f>INDEX('Hero Segmentation'!$Q$5:$Q$71,MATCH($A28,'Hero Segmentation'!$A$5:$A$71,0))</f>
        <v>Probable Hero</v>
      </c>
      <c r="R28" s="18">
        <v>4</v>
      </c>
      <c r="S28" s="18">
        <v>4</v>
      </c>
      <c r="T28" s="18">
        <v>4</v>
      </c>
      <c r="U28" s="18">
        <v>5</v>
      </c>
      <c r="V28" s="18">
        <v>4</v>
      </c>
      <c r="W28" s="18">
        <v>3</v>
      </c>
      <c r="X28" s="18">
        <v>3</v>
      </c>
      <c r="Y28" s="18">
        <v>2</v>
      </c>
      <c r="Z28" s="22">
        <f>IF(P28="Pass",(R28*'Selection Criteria'!$F$13+S28*'Selection Criteria'!$F$14+T28*'Selection Criteria'!$F$15+U28*'Selection Criteria'!$F$16+V28*'Selection Criteria'!$F$17+W28*'Selection Criteria'!$F$18+X28*'Selection Criteria'!$F$19+Y28*'Selection Criteria'!$F$20)/(5*'Selection Criteria'!$F$21)*100,"-")</f>
        <v>76</v>
      </c>
      <c r="AA28" s="6">
        <f t="shared" si="2"/>
        <v>23</v>
      </c>
      <c r="AB28" s="17" t="str">
        <f>IF(P28&lt;&gt;"Pass","Parked (gate)",IF(AND('Selection Criteria'!$C$65="Yes",Q28="Non-Hero"),"Tier 3",IF(Z28&gt;='Selection Criteria'!$C$25,"Tier 1",IF(Z28&gt;='Selection Criteria'!$C$26,"Tier 2","Tier 3"))))</f>
        <v>Tier 2</v>
      </c>
      <c r="AC28" s="6" t="str">
        <f>INDEX('Hero Segmentation'!$R$5:$R$71,MATCH($A28,'Hero Segmentation'!$A$5:$A$71,0))</f>
        <v>BUILD</v>
      </c>
      <c r="AD28" s="6" t="str">
        <f>IF(AND(AB28="Tier 1",J28&gt;='Selection Criteria'!$C$28),"Yes","")</f>
        <v/>
      </c>
      <c r="AE28" s="10" t="str">
        <f>IFERROR(INDEX('Competitor Fit'!$C$5:$C$103,MATCH($A28&amp;"|Primary",'Competitor Fit'!$L$5:$L$103,0)),"-")</f>
        <v>Amazon</v>
      </c>
      <c r="AF28" s="10" t="str">
        <f>IFERROR(INDEX('Competitor Fit'!$C$5:$C$103,MATCH($A28&amp;"|Secondary",'Competitor Fit'!$L$5:$L$103,0)),"-")</f>
        <v>Best Buy</v>
      </c>
      <c r="AG28" s="10" t="s">
        <v>858</v>
      </c>
    </row>
    <row r="29" spans="1:33" ht="26.4" x14ac:dyDescent="0.3">
      <c r="A29" s="6" t="s">
        <v>186</v>
      </c>
      <c r="B29" s="10" t="s">
        <v>187</v>
      </c>
      <c r="C29" s="10" t="s">
        <v>775</v>
      </c>
      <c r="D29" s="10" t="s">
        <v>109</v>
      </c>
      <c r="E29" s="10" t="s">
        <v>859</v>
      </c>
      <c r="F29" s="10" t="s">
        <v>860</v>
      </c>
      <c r="G29" s="6">
        <v>4</v>
      </c>
      <c r="H29" s="6" t="s">
        <v>188</v>
      </c>
      <c r="I29" s="16">
        <v>49</v>
      </c>
      <c r="J29" s="16">
        <v>40</v>
      </c>
      <c r="K29" s="10" t="s">
        <v>777</v>
      </c>
      <c r="L29" s="6" t="str">
        <f t="shared" si="0"/>
        <v>Pass</v>
      </c>
      <c r="M29" s="18" t="s">
        <v>763</v>
      </c>
      <c r="N29" s="6" t="str">
        <f>IF(I29&gt;='Selection Criteria'!$C$27,"Pass","Fail")</f>
        <v>Pass</v>
      </c>
      <c r="O29" s="18" t="s">
        <v>763</v>
      </c>
      <c r="P29" s="17" t="str">
        <f t="shared" si="1"/>
        <v>Pass</v>
      </c>
      <c r="Q29" s="17" t="str">
        <f>INDEX('Hero Segmentation'!$Q$5:$Q$71,MATCH($A29,'Hero Segmentation'!$A$5:$A$71,0))</f>
        <v>Probable Hero</v>
      </c>
      <c r="R29" s="18">
        <v>4</v>
      </c>
      <c r="S29" s="18">
        <v>5</v>
      </c>
      <c r="T29" s="18">
        <v>4</v>
      </c>
      <c r="U29" s="18">
        <v>4</v>
      </c>
      <c r="V29" s="18">
        <v>1</v>
      </c>
      <c r="W29" s="18">
        <v>3</v>
      </c>
      <c r="X29" s="18">
        <v>2</v>
      </c>
      <c r="Y29" s="18">
        <v>5</v>
      </c>
      <c r="Z29" s="22">
        <f>IF(P29="Pass",(R29*'Selection Criteria'!$F$13+S29*'Selection Criteria'!$F$14+T29*'Selection Criteria'!$F$15+U29*'Selection Criteria'!$F$16+V29*'Selection Criteria'!$F$17+W29*'Selection Criteria'!$F$18+X29*'Selection Criteria'!$F$19+Y29*'Selection Criteria'!$F$20)/(5*'Selection Criteria'!$F$21)*100,"-")</f>
        <v>75</v>
      </c>
      <c r="AA29" s="6">
        <f t="shared" si="2"/>
        <v>25</v>
      </c>
      <c r="AB29" s="17" t="str">
        <f>IF(P29&lt;&gt;"Pass","Parked (gate)",IF(AND('Selection Criteria'!$C$65="Yes",Q29="Non-Hero"),"Tier 3",IF(Z29&gt;='Selection Criteria'!$C$25,"Tier 1",IF(Z29&gt;='Selection Criteria'!$C$26,"Tier 2","Tier 3"))))</f>
        <v>Tier 2</v>
      </c>
      <c r="AC29" s="6" t="str">
        <f>INDEX('Hero Segmentation'!$R$5:$R$71,MATCH($A29,'Hero Segmentation'!$A$5:$A$71,0))</f>
        <v>BUILD</v>
      </c>
      <c r="AD29" s="6" t="str">
        <f>IF(AND(AB29="Tier 1",J29&gt;='Selection Criteria'!$C$28),"Yes","")</f>
        <v/>
      </c>
      <c r="AE29" s="10" t="str">
        <f>IFERROR(INDEX('Competitor Fit'!$C$5:$C$103,MATCH($A29&amp;"|Primary",'Competitor Fit'!$L$5:$L$103,0)),"-")</f>
        <v>Wayfair</v>
      </c>
      <c r="AF29" s="10" t="str">
        <f>IFERROR(INDEX('Competitor Fit'!$C$5:$C$103,MATCH($A29&amp;"|Secondary",'Competitor Fit'!$L$5:$L$103,0)),"-")</f>
        <v>Amazon</v>
      </c>
      <c r="AG29" s="10" t="s">
        <v>861</v>
      </c>
    </row>
    <row r="30" spans="1:33" ht="26.4" x14ac:dyDescent="0.3">
      <c r="A30" s="6" t="s">
        <v>221</v>
      </c>
      <c r="B30" s="10" t="s">
        <v>222</v>
      </c>
      <c r="C30" s="10" t="s">
        <v>775</v>
      </c>
      <c r="D30" s="10" t="s">
        <v>123</v>
      </c>
      <c r="E30" s="10" t="s">
        <v>862</v>
      </c>
      <c r="F30" s="10"/>
      <c r="G30" s="6">
        <v>3</v>
      </c>
      <c r="H30" s="6" t="s">
        <v>223</v>
      </c>
      <c r="I30" s="16">
        <v>211</v>
      </c>
      <c r="J30" s="16">
        <v>129</v>
      </c>
      <c r="K30" s="10" t="s">
        <v>780</v>
      </c>
      <c r="L30" s="6" t="str">
        <f t="shared" si="0"/>
        <v>Pass</v>
      </c>
      <c r="M30" s="18" t="s">
        <v>763</v>
      </c>
      <c r="N30" s="6" t="str">
        <f>IF(I30&gt;='Selection Criteria'!$C$27,"Pass","Fail")</f>
        <v>Pass</v>
      </c>
      <c r="O30" s="18" t="s">
        <v>763</v>
      </c>
      <c r="P30" s="17" t="str">
        <f t="shared" si="1"/>
        <v>Pass</v>
      </c>
      <c r="Q30" s="17" t="str">
        <f>INDEX('Hero Segmentation'!$Q$5:$Q$71,MATCH($A30,'Hero Segmentation'!$A$5:$A$71,0))</f>
        <v>Probable Hero</v>
      </c>
      <c r="R30" s="18">
        <v>5</v>
      </c>
      <c r="S30" s="18">
        <v>4</v>
      </c>
      <c r="T30" s="18">
        <v>4</v>
      </c>
      <c r="U30" s="18">
        <v>3</v>
      </c>
      <c r="V30" s="18">
        <v>3</v>
      </c>
      <c r="W30" s="18">
        <v>3</v>
      </c>
      <c r="X30" s="18">
        <v>2</v>
      </c>
      <c r="Y30" s="18">
        <v>4</v>
      </c>
      <c r="Z30" s="22">
        <f>IF(P30="Pass",(R30*'Selection Criteria'!$F$13+S30*'Selection Criteria'!$F$14+T30*'Selection Criteria'!$F$15+U30*'Selection Criteria'!$F$16+V30*'Selection Criteria'!$F$17+W30*'Selection Criteria'!$F$18+X30*'Selection Criteria'!$F$19+Y30*'Selection Criteria'!$F$20)/(5*'Selection Criteria'!$F$21)*100,"-")</f>
        <v>75</v>
      </c>
      <c r="AA30" s="6">
        <f t="shared" si="2"/>
        <v>25</v>
      </c>
      <c r="AB30" s="17" t="str">
        <f>IF(P30&lt;&gt;"Pass","Parked (gate)",IF(AND('Selection Criteria'!$C$65="Yes",Q30="Non-Hero"),"Tier 3",IF(Z30&gt;='Selection Criteria'!$C$25,"Tier 1",IF(Z30&gt;='Selection Criteria'!$C$26,"Tier 2","Tier 3"))))</f>
        <v>Tier 2</v>
      </c>
      <c r="AC30" s="6" t="str">
        <f>INDEX('Hero Segmentation'!$R$5:$R$71,MATCH($A30,'Hero Segmentation'!$A$5:$A$71,0))</f>
        <v>BUILD</v>
      </c>
      <c r="AD30" s="6" t="str">
        <f>IF(AND(AB30="Tier 1",J30&gt;='Selection Criteria'!$C$28),"Yes","")</f>
        <v/>
      </c>
      <c r="AE30" s="10" t="str">
        <f>IFERROR(INDEX('Competitor Fit'!$C$5:$C$103,MATCH($A30&amp;"|Primary",'Competitor Fit'!$L$5:$L$103,0)),"-")</f>
        <v>Wayfair</v>
      </c>
      <c r="AF30" s="10" t="str">
        <f>IFERROR(INDEX('Competitor Fit'!$C$5:$C$103,MATCH($A30&amp;"|Secondary",'Competitor Fit'!$L$5:$L$103,0)),"-")</f>
        <v>Target</v>
      </c>
      <c r="AG30" s="10" t="s">
        <v>863</v>
      </c>
    </row>
    <row r="31" spans="1:33" ht="26.4" x14ac:dyDescent="0.3">
      <c r="A31" s="6" t="s">
        <v>864</v>
      </c>
      <c r="B31" s="10" t="s">
        <v>468</v>
      </c>
      <c r="C31" s="10" t="s">
        <v>829</v>
      </c>
      <c r="D31" s="10" t="s">
        <v>830</v>
      </c>
      <c r="E31" s="10" t="s">
        <v>865</v>
      </c>
      <c r="F31" s="10"/>
      <c r="G31" s="6">
        <v>3</v>
      </c>
      <c r="H31" s="6" t="s">
        <v>469</v>
      </c>
      <c r="I31" s="16">
        <v>374</v>
      </c>
      <c r="J31" s="16">
        <v>0</v>
      </c>
      <c r="K31" s="10" t="s">
        <v>768</v>
      </c>
      <c r="L31" s="6" t="str">
        <f t="shared" si="0"/>
        <v>Pass</v>
      </c>
      <c r="M31" s="18" t="s">
        <v>763</v>
      </c>
      <c r="N31" s="6" t="str">
        <f>IF(I31&gt;='Selection Criteria'!$C$27,"Pass","Fail")</f>
        <v>Pass</v>
      </c>
      <c r="O31" s="18" t="s">
        <v>763</v>
      </c>
      <c r="P31" s="17" t="str">
        <f t="shared" si="1"/>
        <v>Pass</v>
      </c>
      <c r="Q31" s="17" t="str">
        <f>INDEX('Hero Segmentation'!$Q$5:$Q$71,MATCH($A31,'Hero Segmentation'!$A$5:$A$71,0))</f>
        <v>Hero</v>
      </c>
      <c r="R31" s="18">
        <v>4</v>
      </c>
      <c r="S31" s="18">
        <v>4</v>
      </c>
      <c r="T31" s="18">
        <v>3</v>
      </c>
      <c r="U31" s="18">
        <v>5</v>
      </c>
      <c r="V31" s="18">
        <v>4</v>
      </c>
      <c r="W31" s="18">
        <v>4</v>
      </c>
      <c r="X31" s="18">
        <v>3</v>
      </c>
      <c r="Y31" s="18">
        <v>2</v>
      </c>
      <c r="Z31" s="22">
        <f>IF(P31="Pass",(R31*'Selection Criteria'!$F$13+S31*'Selection Criteria'!$F$14+T31*'Selection Criteria'!$F$15+U31*'Selection Criteria'!$F$16+V31*'Selection Criteria'!$F$17+W31*'Selection Criteria'!$F$18+X31*'Selection Criteria'!$F$19+Y31*'Selection Criteria'!$F$20)/(5*'Selection Criteria'!$F$21)*100,"-")</f>
        <v>75</v>
      </c>
      <c r="AA31" s="6">
        <f t="shared" si="2"/>
        <v>25</v>
      </c>
      <c r="AB31" s="17" t="str">
        <f>IF(P31&lt;&gt;"Pass","Parked (gate)",IF(AND('Selection Criteria'!$C$65="Yes",Q31="Non-Hero"),"Tier 3",IF(Z31&gt;='Selection Criteria'!$C$25,"Tier 1",IF(Z31&gt;='Selection Criteria'!$C$26,"Tier 2","Tier 3"))))</f>
        <v>Tier 2</v>
      </c>
      <c r="AC31" s="6" t="str">
        <f>INDEX('Hero Segmentation'!$R$5:$R$71,MATCH($A31,'Hero Segmentation'!$A$5:$A$71,0))</f>
        <v>EXTEND</v>
      </c>
      <c r="AD31" s="6" t="str">
        <f>IF(AND(AB31="Tier 1",J31&gt;='Selection Criteria'!$C$28),"Yes","")</f>
        <v/>
      </c>
      <c r="AE31" s="10" t="str">
        <f>IFERROR(INDEX('Competitor Fit'!$C$5:$C$103,MATCH($A31&amp;"|Primary",'Competitor Fit'!$L$5:$L$103,0)),"-")</f>
        <v>Amazon</v>
      </c>
      <c r="AF31" s="10" t="str">
        <f>IFERROR(INDEX('Competitor Fit'!$C$5:$C$103,MATCH($A31&amp;"|Secondary",'Competitor Fit'!$L$5:$L$103,0)),"-")</f>
        <v>Best Buy</v>
      </c>
      <c r="AG31" s="10" t="s">
        <v>866</v>
      </c>
    </row>
    <row r="32" spans="1:33" ht="26.4" x14ac:dyDescent="0.3">
      <c r="A32" s="6" t="s">
        <v>193</v>
      </c>
      <c r="B32" s="10" t="s">
        <v>194</v>
      </c>
      <c r="C32" s="10" t="s">
        <v>775</v>
      </c>
      <c r="D32" s="10" t="s">
        <v>109</v>
      </c>
      <c r="E32" s="10" t="s">
        <v>867</v>
      </c>
      <c r="F32" s="10"/>
      <c r="G32" s="6">
        <v>3</v>
      </c>
      <c r="H32" s="6" t="s">
        <v>195</v>
      </c>
      <c r="I32" s="16">
        <v>75</v>
      </c>
      <c r="J32" s="16">
        <v>40</v>
      </c>
      <c r="K32" s="10" t="s">
        <v>777</v>
      </c>
      <c r="L32" s="6" t="str">
        <f t="shared" si="0"/>
        <v>Pass</v>
      </c>
      <c r="M32" s="18" t="s">
        <v>763</v>
      </c>
      <c r="N32" s="6" t="str">
        <f>IF(I32&gt;='Selection Criteria'!$C$27,"Pass","Fail")</f>
        <v>Pass</v>
      </c>
      <c r="O32" s="18" t="s">
        <v>763</v>
      </c>
      <c r="P32" s="17" t="str">
        <f t="shared" si="1"/>
        <v>Pass</v>
      </c>
      <c r="Q32" s="17" t="str">
        <f>INDEX('Hero Segmentation'!$Q$5:$Q$71,MATCH($A32,'Hero Segmentation'!$A$5:$A$71,0))</f>
        <v>Probable Hero</v>
      </c>
      <c r="R32" s="18">
        <v>4</v>
      </c>
      <c r="S32" s="18">
        <v>5</v>
      </c>
      <c r="T32" s="18">
        <v>3</v>
      </c>
      <c r="U32" s="18">
        <v>4</v>
      </c>
      <c r="V32" s="18">
        <v>2</v>
      </c>
      <c r="W32" s="18">
        <v>3</v>
      </c>
      <c r="X32" s="18">
        <v>2</v>
      </c>
      <c r="Y32" s="18">
        <v>5</v>
      </c>
      <c r="Z32" s="22">
        <f>IF(P32="Pass",(R32*'Selection Criteria'!$F$13+S32*'Selection Criteria'!$F$14+T32*'Selection Criteria'!$F$15+U32*'Selection Criteria'!$F$16+V32*'Selection Criteria'!$F$17+W32*'Selection Criteria'!$F$18+X32*'Selection Criteria'!$F$19+Y32*'Selection Criteria'!$F$20)/(5*'Selection Criteria'!$F$21)*100,"-")</f>
        <v>74</v>
      </c>
      <c r="AA32" s="6">
        <f t="shared" si="2"/>
        <v>28</v>
      </c>
      <c r="AB32" s="17" t="str">
        <f>IF(P32&lt;&gt;"Pass","Parked (gate)",IF(AND('Selection Criteria'!$C$65="Yes",Q32="Non-Hero"),"Tier 3",IF(Z32&gt;='Selection Criteria'!$C$25,"Tier 1",IF(Z32&gt;='Selection Criteria'!$C$26,"Tier 2","Tier 3"))))</f>
        <v>Tier 2</v>
      </c>
      <c r="AC32" s="6" t="str">
        <f>INDEX('Hero Segmentation'!$R$5:$R$71,MATCH($A32,'Hero Segmentation'!$A$5:$A$71,0))</f>
        <v>BUILD</v>
      </c>
      <c r="AD32" s="6" t="str">
        <f>IF(AND(AB32="Tier 1",J32&gt;='Selection Criteria'!$C$28),"Yes","")</f>
        <v/>
      </c>
      <c r="AE32" s="10" t="str">
        <f>IFERROR(INDEX('Competitor Fit'!$C$5:$C$103,MATCH($A32&amp;"|Primary",'Competitor Fit'!$L$5:$L$103,0)),"-")</f>
        <v>Wayfair</v>
      </c>
      <c r="AF32" s="10" t="str">
        <f>IFERROR(INDEX('Competitor Fit'!$C$5:$C$103,MATCH($A32&amp;"|Secondary",'Competitor Fit'!$L$5:$L$103,0)),"-")</f>
        <v>Amazon</v>
      </c>
      <c r="AG32" s="10" t="s">
        <v>868</v>
      </c>
    </row>
    <row r="33" spans="1:33" ht="26.4" x14ac:dyDescent="0.3">
      <c r="A33" s="6" t="s">
        <v>285</v>
      </c>
      <c r="B33" s="10" t="s">
        <v>286</v>
      </c>
      <c r="C33" s="10" t="s">
        <v>759</v>
      </c>
      <c r="D33" s="10" t="s">
        <v>760</v>
      </c>
      <c r="E33" s="10" t="s">
        <v>869</v>
      </c>
      <c r="F33" s="10"/>
      <c r="G33" s="6">
        <v>3</v>
      </c>
      <c r="H33" s="6" t="s">
        <v>287</v>
      </c>
      <c r="I33" s="16">
        <v>1234</v>
      </c>
      <c r="J33" s="16">
        <v>0</v>
      </c>
      <c r="K33" s="10" t="s">
        <v>762</v>
      </c>
      <c r="L33" s="6" t="str">
        <f t="shared" si="0"/>
        <v>Pass</v>
      </c>
      <c r="M33" s="18" t="s">
        <v>763</v>
      </c>
      <c r="N33" s="6" t="str">
        <f>IF(I33&gt;='Selection Criteria'!$C$27,"Pass","Fail")</f>
        <v>Pass</v>
      </c>
      <c r="O33" s="18" t="s">
        <v>763</v>
      </c>
      <c r="P33" s="17" t="str">
        <f t="shared" si="1"/>
        <v>Pass</v>
      </c>
      <c r="Q33" s="17" t="str">
        <f>INDEX('Hero Segmentation'!$Q$5:$Q$71,MATCH($A33,'Hero Segmentation'!$A$5:$A$71,0))</f>
        <v>Hero</v>
      </c>
      <c r="R33" s="18">
        <v>4</v>
      </c>
      <c r="S33" s="18">
        <v>3</v>
      </c>
      <c r="T33" s="18">
        <v>3</v>
      </c>
      <c r="U33" s="18">
        <v>5</v>
      </c>
      <c r="V33" s="18">
        <v>5</v>
      </c>
      <c r="W33" s="18">
        <v>3</v>
      </c>
      <c r="X33" s="18">
        <v>5</v>
      </c>
      <c r="Y33" s="18">
        <v>2</v>
      </c>
      <c r="Z33" s="22">
        <f>IF(P33="Pass",(R33*'Selection Criteria'!$F$13+S33*'Selection Criteria'!$F$14+T33*'Selection Criteria'!$F$15+U33*'Selection Criteria'!$F$16+V33*'Selection Criteria'!$F$17+W33*'Selection Criteria'!$F$18+X33*'Selection Criteria'!$F$19+Y33*'Selection Criteria'!$F$20)/(5*'Selection Criteria'!$F$21)*100,"-")</f>
        <v>74</v>
      </c>
      <c r="AA33" s="6">
        <f t="shared" si="2"/>
        <v>28</v>
      </c>
      <c r="AB33" s="17" t="str">
        <f>IF(P33&lt;&gt;"Pass","Parked (gate)",IF(AND('Selection Criteria'!$C$65="Yes",Q33="Non-Hero"),"Tier 3",IF(Z33&gt;='Selection Criteria'!$C$25,"Tier 1",IF(Z33&gt;='Selection Criteria'!$C$26,"Tier 2","Tier 3"))))</f>
        <v>Tier 2</v>
      </c>
      <c r="AC33" s="6" t="str">
        <f>INDEX('Hero Segmentation'!$R$5:$R$71,MATCH($A33,'Hero Segmentation'!$A$5:$A$71,0))</f>
        <v>EXTEND</v>
      </c>
      <c r="AD33" s="6" t="str">
        <f>IF(AND(AB33="Tier 1",J33&gt;='Selection Criteria'!$C$28),"Yes","")</f>
        <v/>
      </c>
      <c r="AE33" s="10" t="str">
        <f>IFERROR(INDEX('Competitor Fit'!$C$5:$C$103,MATCH($A33&amp;"|Primary",'Competitor Fit'!$L$5:$L$103,0)),"-")</f>
        <v>Amazon</v>
      </c>
      <c r="AF33" s="10" t="str">
        <f>IFERROR(INDEX('Competitor Fit'!$C$5:$C$103,MATCH($A33&amp;"|Secondary",'Competitor Fit'!$L$5:$L$103,0)),"-")</f>
        <v>Target</v>
      </c>
      <c r="AG33" s="10" t="s">
        <v>870</v>
      </c>
    </row>
    <row r="34" spans="1:33" ht="26.4" x14ac:dyDescent="0.3">
      <c r="A34" s="6" t="s">
        <v>190</v>
      </c>
      <c r="B34" s="10" t="s">
        <v>191</v>
      </c>
      <c r="C34" s="10" t="s">
        <v>775</v>
      </c>
      <c r="D34" s="10" t="s">
        <v>109</v>
      </c>
      <c r="E34" s="10" t="s">
        <v>871</v>
      </c>
      <c r="F34" s="10" t="s">
        <v>872</v>
      </c>
      <c r="G34" s="6">
        <v>4</v>
      </c>
      <c r="H34" s="6" t="s">
        <v>192</v>
      </c>
      <c r="I34" s="16">
        <v>617</v>
      </c>
      <c r="J34" s="16">
        <v>601</v>
      </c>
      <c r="K34" s="10" t="s">
        <v>777</v>
      </c>
      <c r="L34" s="6" t="str">
        <f t="shared" si="0"/>
        <v>Pass</v>
      </c>
      <c r="M34" s="18" t="s">
        <v>763</v>
      </c>
      <c r="N34" s="6" t="str">
        <f>IF(I34&gt;='Selection Criteria'!$C$27,"Pass","Fail")</f>
        <v>Pass</v>
      </c>
      <c r="O34" s="18" t="s">
        <v>763</v>
      </c>
      <c r="P34" s="17" t="str">
        <f t="shared" si="1"/>
        <v>Pass</v>
      </c>
      <c r="Q34" s="17" t="str">
        <f>INDEX('Hero Segmentation'!$Q$5:$Q$71,MATCH($A34,'Hero Segmentation'!$A$5:$A$71,0))</f>
        <v>Probable Hero</v>
      </c>
      <c r="R34" s="18">
        <v>4</v>
      </c>
      <c r="S34" s="18">
        <v>4</v>
      </c>
      <c r="T34" s="18">
        <v>4</v>
      </c>
      <c r="U34" s="18">
        <v>3</v>
      </c>
      <c r="V34" s="18">
        <v>2</v>
      </c>
      <c r="W34" s="18">
        <v>4</v>
      </c>
      <c r="X34" s="18">
        <v>2</v>
      </c>
      <c r="Y34" s="18">
        <v>5</v>
      </c>
      <c r="Z34" s="22">
        <f>IF(P34="Pass",(R34*'Selection Criteria'!$F$13+S34*'Selection Criteria'!$F$14+T34*'Selection Criteria'!$F$15+U34*'Selection Criteria'!$F$16+V34*'Selection Criteria'!$F$17+W34*'Selection Criteria'!$F$18+X34*'Selection Criteria'!$F$19+Y34*'Selection Criteria'!$F$20)/(5*'Selection Criteria'!$F$21)*100,"-")</f>
        <v>73</v>
      </c>
      <c r="AA34" s="6">
        <f t="shared" si="2"/>
        <v>30</v>
      </c>
      <c r="AB34" s="17" t="str">
        <f>IF(P34&lt;&gt;"Pass","Parked (gate)",IF(AND('Selection Criteria'!$C$65="Yes",Q34="Non-Hero"),"Tier 3",IF(Z34&gt;='Selection Criteria'!$C$25,"Tier 1",IF(Z34&gt;='Selection Criteria'!$C$26,"Tier 2","Tier 3"))))</f>
        <v>Tier 2</v>
      </c>
      <c r="AC34" s="6" t="str">
        <f>INDEX('Hero Segmentation'!$R$5:$R$71,MATCH($A34,'Hero Segmentation'!$A$5:$A$71,0))</f>
        <v>BUILD</v>
      </c>
      <c r="AD34" s="6" t="str">
        <f>IF(AND(AB34="Tier 1",J34&gt;='Selection Criteria'!$C$28),"Yes","")</f>
        <v/>
      </c>
      <c r="AE34" s="10" t="str">
        <f>IFERROR(INDEX('Competitor Fit'!$C$5:$C$103,MATCH($A34&amp;"|Primary",'Competitor Fit'!$L$5:$L$103,0)),"-")</f>
        <v>Wayfair</v>
      </c>
      <c r="AF34" s="10" t="str">
        <f>IFERROR(INDEX('Competitor Fit'!$C$5:$C$103,MATCH($A34&amp;"|Secondary",'Competitor Fit'!$L$5:$L$103,0)),"-")</f>
        <v>Amazon</v>
      </c>
      <c r="AG34" s="10" t="s">
        <v>873</v>
      </c>
    </row>
    <row r="35" spans="1:33" ht="26.4" x14ac:dyDescent="0.3">
      <c r="A35" s="6" t="s">
        <v>224</v>
      </c>
      <c r="B35" s="10" t="s">
        <v>225</v>
      </c>
      <c r="C35" s="10" t="s">
        <v>775</v>
      </c>
      <c r="D35" s="10" t="s">
        <v>123</v>
      </c>
      <c r="E35" s="10" t="s">
        <v>874</v>
      </c>
      <c r="F35" s="10"/>
      <c r="G35" s="6">
        <v>3</v>
      </c>
      <c r="H35" s="6" t="s">
        <v>226</v>
      </c>
      <c r="I35" s="16">
        <v>132</v>
      </c>
      <c r="J35" s="16">
        <v>120</v>
      </c>
      <c r="K35" s="10" t="s">
        <v>780</v>
      </c>
      <c r="L35" s="6" t="str">
        <f t="shared" si="0"/>
        <v>Pass</v>
      </c>
      <c r="M35" s="18" t="s">
        <v>763</v>
      </c>
      <c r="N35" s="6" t="str">
        <f>IF(I35&gt;='Selection Criteria'!$C$27,"Pass","Fail")</f>
        <v>Pass</v>
      </c>
      <c r="O35" s="18" t="s">
        <v>763</v>
      </c>
      <c r="P35" s="17" t="str">
        <f t="shared" si="1"/>
        <v>Pass</v>
      </c>
      <c r="Q35" s="17" t="str">
        <f>INDEX('Hero Segmentation'!$Q$5:$Q$71,MATCH($A35,'Hero Segmentation'!$A$5:$A$71,0))</f>
        <v>Probable Hero</v>
      </c>
      <c r="R35" s="18">
        <v>5</v>
      </c>
      <c r="S35" s="18">
        <v>4</v>
      </c>
      <c r="T35" s="18">
        <v>4</v>
      </c>
      <c r="U35" s="18">
        <v>3</v>
      </c>
      <c r="V35" s="18">
        <v>2</v>
      </c>
      <c r="W35" s="18">
        <v>3</v>
      </c>
      <c r="X35" s="18">
        <v>2</v>
      </c>
      <c r="Y35" s="18">
        <v>4</v>
      </c>
      <c r="Z35" s="22">
        <f>IF(P35="Pass",(R35*'Selection Criteria'!$F$13+S35*'Selection Criteria'!$F$14+T35*'Selection Criteria'!$F$15+U35*'Selection Criteria'!$F$16+V35*'Selection Criteria'!$F$17+W35*'Selection Criteria'!$F$18+X35*'Selection Criteria'!$F$19+Y35*'Selection Criteria'!$F$20)/(5*'Selection Criteria'!$F$21)*100,"-")</f>
        <v>73</v>
      </c>
      <c r="AA35" s="6">
        <f t="shared" si="2"/>
        <v>30</v>
      </c>
      <c r="AB35" s="17" t="str">
        <f>IF(P35&lt;&gt;"Pass","Parked (gate)",IF(AND('Selection Criteria'!$C$65="Yes",Q35="Non-Hero"),"Tier 3",IF(Z35&gt;='Selection Criteria'!$C$25,"Tier 1",IF(Z35&gt;='Selection Criteria'!$C$26,"Tier 2","Tier 3"))))</f>
        <v>Tier 2</v>
      </c>
      <c r="AC35" s="6" t="str">
        <f>INDEX('Hero Segmentation'!$R$5:$R$71,MATCH($A35,'Hero Segmentation'!$A$5:$A$71,0))</f>
        <v>BUILD</v>
      </c>
      <c r="AD35" s="6" t="str">
        <f>IF(AND(AB35="Tier 1",J35&gt;='Selection Criteria'!$C$28),"Yes","")</f>
        <v/>
      </c>
      <c r="AE35" s="10" t="str">
        <f>IFERROR(INDEX('Competitor Fit'!$C$5:$C$103,MATCH($A35&amp;"|Primary",'Competitor Fit'!$L$5:$L$103,0)),"-")</f>
        <v>Wayfair</v>
      </c>
      <c r="AF35" s="10" t="str">
        <f>IFERROR(INDEX('Competitor Fit'!$C$5:$C$103,MATCH($A35&amp;"|Secondary",'Competitor Fit'!$L$5:$L$103,0)),"-")</f>
        <v>Target</v>
      </c>
      <c r="AG35" s="10" t="s">
        <v>875</v>
      </c>
    </row>
    <row r="36" spans="1:33" ht="26.4" x14ac:dyDescent="0.3">
      <c r="A36" s="6" t="s">
        <v>257</v>
      </c>
      <c r="B36" s="10" t="s">
        <v>258</v>
      </c>
      <c r="C36" s="10" t="s">
        <v>759</v>
      </c>
      <c r="D36" s="10" t="s">
        <v>876</v>
      </c>
      <c r="E36" s="10" t="s">
        <v>877</v>
      </c>
      <c r="F36" s="10"/>
      <c r="G36" s="6">
        <v>3</v>
      </c>
      <c r="H36" s="6" t="s">
        <v>259</v>
      </c>
      <c r="I36" s="16">
        <v>148</v>
      </c>
      <c r="J36" s="16">
        <v>103</v>
      </c>
      <c r="K36" s="10" t="s">
        <v>848</v>
      </c>
      <c r="L36" s="6" t="str">
        <f t="shared" si="0"/>
        <v>Pass</v>
      </c>
      <c r="M36" s="18" t="s">
        <v>763</v>
      </c>
      <c r="N36" s="6" t="str">
        <f>IF(I36&gt;='Selection Criteria'!$C$27,"Pass","Fail")</f>
        <v>Pass</v>
      </c>
      <c r="O36" s="18" t="s">
        <v>763</v>
      </c>
      <c r="P36" s="17" t="str">
        <f t="shared" si="1"/>
        <v>Pass</v>
      </c>
      <c r="Q36" s="17" t="str">
        <f>INDEX('Hero Segmentation'!$Q$5:$Q$71,MATCH($A36,'Hero Segmentation'!$A$5:$A$71,0))</f>
        <v>Hero</v>
      </c>
      <c r="R36" s="18">
        <v>3</v>
      </c>
      <c r="S36" s="18">
        <v>4</v>
      </c>
      <c r="T36" s="18">
        <v>3</v>
      </c>
      <c r="U36" s="18">
        <v>5</v>
      </c>
      <c r="V36" s="18">
        <v>4</v>
      </c>
      <c r="W36" s="18">
        <v>3</v>
      </c>
      <c r="X36" s="18">
        <v>3</v>
      </c>
      <c r="Y36" s="18">
        <v>4</v>
      </c>
      <c r="Z36" s="22">
        <f>IF(P36="Pass",(R36*'Selection Criteria'!$F$13+S36*'Selection Criteria'!$F$14+T36*'Selection Criteria'!$F$15+U36*'Selection Criteria'!$F$16+V36*'Selection Criteria'!$F$17+W36*'Selection Criteria'!$F$18+X36*'Selection Criteria'!$F$19+Y36*'Selection Criteria'!$F$20)/(5*'Selection Criteria'!$F$21)*100,"-")</f>
        <v>73</v>
      </c>
      <c r="AA36" s="6">
        <f t="shared" si="2"/>
        <v>30</v>
      </c>
      <c r="AB36" s="17" t="str">
        <f>IF(P36&lt;&gt;"Pass","Parked (gate)",IF(AND('Selection Criteria'!$C$65="Yes",Q36="Non-Hero"),"Tier 3",IF(Z36&gt;='Selection Criteria'!$C$25,"Tier 1",IF(Z36&gt;='Selection Criteria'!$C$26,"Tier 2","Tier 3"))))</f>
        <v>Tier 2</v>
      </c>
      <c r="AC36" s="6" t="str">
        <f>INDEX('Hero Segmentation'!$R$5:$R$71,MATCH($A36,'Hero Segmentation'!$A$5:$A$71,0))</f>
        <v>EXTEND</v>
      </c>
      <c r="AD36" s="6" t="str">
        <f>IF(AND(AB36="Tier 1",J36&gt;='Selection Criteria'!$C$28),"Yes","")</f>
        <v/>
      </c>
      <c r="AE36" s="10" t="str">
        <f>IFERROR(INDEX('Competitor Fit'!$C$5:$C$103,MATCH($A36&amp;"|Primary",'Competitor Fit'!$L$5:$L$103,0)),"-")</f>
        <v>Amazon</v>
      </c>
      <c r="AF36" s="10" t="str">
        <f>IFERROR(INDEX('Competitor Fit'!$C$5:$C$103,MATCH($A36&amp;"|Secondary",'Competitor Fit'!$L$5:$L$103,0)),"-")</f>
        <v>Michaels</v>
      </c>
      <c r="AG36" s="10" t="s">
        <v>878</v>
      </c>
    </row>
    <row r="37" spans="1:33" ht="26.4" x14ac:dyDescent="0.3">
      <c r="A37" s="6" t="s">
        <v>260</v>
      </c>
      <c r="B37" s="10" t="s">
        <v>261</v>
      </c>
      <c r="C37" s="10" t="s">
        <v>879</v>
      </c>
      <c r="D37" s="10" t="s">
        <v>880</v>
      </c>
      <c r="E37" s="10" t="s">
        <v>881</v>
      </c>
      <c r="F37" s="10"/>
      <c r="G37" s="6">
        <v>3</v>
      </c>
      <c r="H37" s="6" t="s">
        <v>262</v>
      </c>
      <c r="I37" s="16">
        <v>396</v>
      </c>
      <c r="J37" s="16">
        <v>387</v>
      </c>
      <c r="K37" s="10" t="s">
        <v>848</v>
      </c>
      <c r="L37" s="6" t="str">
        <f t="shared" ref="L37:L71" si="3">IF(OR(G37=3,G37=4),"Pass","Fail")</f>
        <v>Pass</v>
      </c>
      <c r="M37" s="18" t="s">
        <v>763</v>
      </c>
      <c r="N37" s="6" t="str">
        <f>IF(I37&gt;='Selection Criteria'!$C$27,"Pass","Fail")</f>
        <v>Pass</v>
      </c>
      <c r="O37" s="18" t="s">
        <v>763</v>
      </c>
      <c r="P37" s="17" t="str">
        <f t="shared" ref="P37:P68" si="4">IF(AND(L37="Pass",M37="Pass",N37="Pass",O37="Pass"),"Pass","Fail")</f>
        <v>Pass</v>
      </c>
      <c r="Q37" s="17" t="str">
        <f>INDEX('Hero Segmentation'!$Q$5:$Q$71,MATCH($A37,'Hero Segmentation'!$A$5:$A$71,0))</f>
        <v>Hero</v>
      </c>
      <c r="R37" s="18">
        <v>3</v>
      </c>
      <c r="S37" s="18">
        <v>4</v>
      </c>
      <c r="T37" s="18">
        <v>3</v>
      </c>
      <c r="U37" s="18">
        <v>5</v>
      </c>
      <c r="V37" s="18">
        <v>4</v>
      </c>
      <c r="W37" s="18">
        <v>3</v>
      </c>
      <c r="X37" s="18">
        <v>3</v>
      </c>
      <c r="Y37" s="18">
        <v>4</v>
      </c>
      <c r="Z37" s="22">
        <f>IF(P37="Pass",(R37*'Selection Criteria'!$F$13+S37*'Selection Criteria'!$F$14+T37*'Selection Criteria'!$F$15+U37*'Selection Criteria'!$F$16+V37*'Selection Criteria'!$F$17+W37*'Selection Criteria'!$F$18+X37*'Selection Criteria'!$F$19+Y37*'Selection Criteria'!$F$20)/(5*'Selection Criteria'!$F$21)*100,"-")</f>
        <v>73</v>
      </c>
      <c r="AA37" s="6">
        <f t="shared" ref="AA37:AA68" si="5">IF(P37="Pass",COUNTIFS($P$5:$P$71,"Pass",$Z$5:$Z$71,"&gt;"&amp;Z37)+1,"-")</f>
        <v>30</v>
      </c>
      <c r="AB37" s="17" t="str">
        <f>IF(P37&lt;&gt;"Pass","Parked (gate)",IF(AND('Selection Criteria'!$C$65="Yes",Q37="Non-Hero"),"Tier 3",IF(Z37&gt;='Selection Criteria'!$C$25,"Tier 1",IF(Z37&gt;='Selection Criteria'!$C$26,"Tier 2","Tier 3"))))</f>
        <v>Tier 2</v>
      </c>
      <c r="AC37" s="6" t="str">
        <f>INDEX('Hero Segmentation'!$R$5:$R$71,MATCH($A37,'Hero Segmentation'!$A$5:$A$71,0))</f>
        <v>EXTEND</v>
      </c>
      <c r="AD37" s="6" t="str">
        <f>IF(AND(AB37="Tier 1",J37&gt;='Selection Criteria'!$C$28),"Yes","")</f>
        <v/>
      </c>
      <c r="AE37" s="10" t="str">
        <f>IFERROR(INDEX('Competitor Fit'!$C$5:$C$103,MATCH($A37&amp;"|Primary",'Competitor Fit'!$L$5:$L$103,0)),"-")</f>
        <v>Amazon</v>
      </c>
      <c r="AF37" s="10" t="str">
        <f>IFERROR(INDEX('Competitor Fit'!$C$5:$C$103,MATCH($A37&amp;"|Secondary",'Competitor Fit'!$L$5:$L$103,0)),"-")</f>
        <v>Uline</v>
      </c>
      <c r="AG37" s="10" t="s">
        <v>882</v>
      </c>
    </row>
    <row r="38" spans="1:33" ht="26.4" x14ac:dyDescent="0.3">
      <c r="A38" s="6" t="s">
        <v>294</v>
      </c>
      <c r="B38" s="10" t="s">
        <v>295</v>
      </c>
      <c r="C38" s="10" t="s">
        <v>759</v>
      </c>
      <c r="D38" s="10" t="s">
        <v>802</v>
      </c>
      <c r="E38" s="10" t="s">
        <v>883</v>
      </c>
      <c r="F38" s="10"/>
      <c r="G38" s="6">
        <v>3</v>
      </c>
      <c r="H38" s="6" t="s">
        <v>296</v>
      </c>
      <c r="I38" s="16">
        <v>660</v>
      </c>
      <c r="J38" s="16">
        <v>0</v>
      </c>
      <c r="K38" s="10" t="s">
        <v>762</v>
      </c>
      <c r="L38" s="6" t="str">
        <f t="shared" si="3"/>
        <v>Pass</v>
      </c>
      <c r="M38" s="18" t="s">
        <v>763</v>
      </c>
      <c r="N38" s="6" t="str">
        <f>IF(I38&gt;='Selection Criteria'!$C$27,"Pass","Fail")</f>
        <v>Pass</v>
      </c>
      <c r="O38" s="18" t="s">
        <v>763</v>
      </c>
      <c r="P38" s="17" t="str">
        <f t="shared" si="4"/>
        <v>Pass</v>
      </c>
      <c r="Q38" s="17" t="str">
        <f>INDEX('Hero Segmentation'!$Q$5:$Q$71,MATCH($A38,'Hero Segmentation'!$A$5:$A$71,0))</f>
        <v>Hero</v>
      </c>
      <c r="R38" s="18">
        <v>4</v>
      </c>
      <c r="S38" s="18">
        <v>4</v>
      </c>
      <c r="T38" s="18">
        <v>3</v>
      </c>
      <c r="U38" s="18">
        <v>4</v>
      </c>
      <c r="V38" s="18">
        <v>4</v>
      </c>
      <c r="W38" s="18">
        <v>3</v>
      </c>
      <c r="X38" s="18">
        <v>5</v>
      </c>
      <c r="Y38" s="18">
        <v>2</v>
      </c>
      <c r="Z38" s="22">
        <f>IF(P38="Pass",(R38*'Selection Criteria'!$F$13+S38*'Selection Criteria'!$F$14+T38*'Selection Criteria'!$F$15+U38*'Selection Criteria'!$F$16+V38*'Selection Criteria'!$F$17+W38*'Selection Criteria'!$F$18+X38*'Selection Criteria'!$F$19+Y38*'Selection Criteria'!$F$20)/(5*'Selection Criteria'!$F$21)*100,"-")</f>
        <v>72</v>
      </c>
      <c r="AA38" s="6">
        <f t="shared" si="5"/>
        <v>34</v>
      </c>
      <c r="AB38" s="17" t="str">
        <f>IF(P38&lt;&gt;"Pass","Parked (gate)",IF(AND('Selection Criteria'!$C$65="Yes",Q38="Non-Hero"),"Tier 3",IF(Z38&gt;='Selection Criteria'!$C$25,"Tier 1",IF(Z38&gt;='Selection Criteria'!$C$26,"Tier 2","Tier 3"))))</f>
        <v>Tier 2</v>
      </c>
      <c r="AC38" s="6" t="str">
        <f>INDEX('Hero Segmentation'!$R$5:$R$71,MATCH($A38,'Hero Segmentation'!$A$5:$A$71,0))</f>
        <v>EXTEND</v>
      </c>
      <c r="AD38" s="6" t="str">
        <f>IF(AND(AB38="Tier 1",J38&gt;='Selection Criteria'!$C$28),"Yes","")</f>
        <v/>
      </c>
      <c r="AE38" s="10" t="str">
        <f>IFERROR(INDEX('Competitor Fit'!$C$5:$C$103,MATCH($A38&amp;"|Primary",'Competitor Fit'!$L$5:$L$103,0)),"-")</f>
        <v>Target</v>
      </c>
      <c r="AF38" s="10" t="str">
        <f>IFERROR(INDEX('Competitor Fit'!$C$5:$C$103,MATCH($A38&amp;"|Secondary",'Competitor Fit'!$L$5:$L$103,0)),"-")</f>
        <v>Amazon</v>
      </c>
      <c r="AG38" s="10" t="s">
        <v>884</v>
      </c>
    </row>
    <row r="39" spans="1:33" ht="26.4" x14ac:dyDescent="0.3">
      <c r="A39" s="6" t="s">
        <v>288</v>
      </c>
      <c r="B39" s="10" t="s">
        <v>289</v>
      </c>
      <c r="C39" s="10" t="s">
        <v>775</v>
      </c>
      <c r="D39" s="10" t="s">
        <v>834</v>
      </c>
      <c r="E39" s="10" t="s">
        <v>885</v>
      </c>
      <c r="F39" s="10"/>
      <c r="G39" s="6">
        <v>3</v>
      </c>
      <c r="H39" s="6" t="s">
        <v>290</v>
      </c>
      <c r="I39" s="16">
        <v>63</v>
      </c>
      <c r="J39" s="16">
        <v>0</v>
      </c>
      <c r="K39" s="10" t="s">
        <v>768</v>
      </c>
      <c r="L39" s="6" t="str">
        <f t="shared" si="3"/>
        <v>Pass</v>
      </c>
      <c r="M39" s="18" t="s">
        <v>763</v>
      </c>
      <c r="N39" s="6" t="str">
        <f>IF(I39&gt;='Selection Criteria'!$C$27,"Pass","Fail")</f>
        <v>Pass</v>
      </c>
      <c r="O39" s="18" t="s">
        <v>763</v>
      </c>
      <c r="P39" s="17" t="str">
        <f t="shared" si="4"/>
        <v>Pass</v>
      </c>
      <c r="Q39" s="17" t="str">
        <f>INDEX('Hero Segmentation'!$Q$5:$Q$71,MATCH($A39,'Hero Segmentation'!$A$5:$A$71,0))</f>
        <v>Probable Hero</v>
      </c>
      <c r="R39" s="18">
        <v>4</v>
      </c>
      <c r="S39" s="18">
        <v>3</v>
      </c>
      <c r="T39" s="18">
        <v>4</v>
      </c>
      <c r="U39" s="18">
        <v>5</v>
      </c>
      <c r="V39" s="18">
        <v>4</v>
      </c>
      <c r="W39" s="18">
        <v>2</v>
      </c>
      <c r="X39" s="18">
        <v>4</v>
      </c>
      <c r="Y39" s="18">
        <v>2</v>
      </c>
      <c r="Z39" s="22">
        <f>IF(P39="Pass",(R39*'Selection Criteria'!$F$13+S39*'Selection Criteria'!$F$14+T39*'Selection Criteria'!$F$15+U39*'Selection Criteria'!$F$16+V39*'Selection Criteria'!$F$17+W39*'Selection Criteria'!$F$18+X39*'Selection Criteria'!$F$19+Y39*'Selection Criteria'!$F$20)/(5*'Selection Criteria'!$F$21)*100,"-")</f>
        <v>72</v>
      </c>
      <c r="AA39" s="6">
        <f t="shared" si="5"/>
        <v>34</v>
      </c>
      <c r="AB39" s="17" t="str">
        <f>IF(P39&lt;&gt;"Pass","Parked (gate)",IF(AND('Selection Criteria'!$C$65="Yes",Q39="Non-Hero"),"Tier 3",IF(Z39&gt;='Selection Criteria'!$C$25,"Tier 1",IF(Z39&gt;='Selection Criteria'!$C$26,"Tier 2","Tier 3"))))</f>
        <v>Tier 2</v>
      </c>
      <c r="AC39" s="6" t="str">
        <f>INDEX('Hero Segmentation'!$R$5:$R$71,MATCH($A39,'Hero Segmentation'!$A$5:$A$71,0))</f>
        <v>BUILD</v>
      </c>
      <c r="AD39" s="6" t="str">
        <f>IF(AND(AB39="Tier 1",J39&gt;='Selection Criteria'!$C$28),"Yes","")</f>
        <v/>
      </c>
      <c r="AE39" s="10" t="str">
        <f>IFERROR(INDEX('Competitor Fit'!$C$5:$C$103,MATCH($A39&amp;"|Primary",'Competitor Fit'!$L$5:$L$103,0)),"-")</f>
        <v>Amazon</v>
      </c>
      <c r="AF39" s="10" t="str">
        <f>IFERROR(INDEX('Competitor Fit'!$C$5:$C$103,MATCH($A39&amp;"|Secondary",'Competitor Fit'!$L$5:$L$103,0)),"-")</f>
        <v>Wayfair</v>
      </c>
      <c r="AG39" s="10" t="s">
        <v>886</v>
      </c>
    </row>
    <row r="40" spans="1:33" ht="26.4" x14ac:dyDescent="0.3">
      <c r="A40" s="6" t="s">
        <v>196</v>
      </c>
      <c r="B40" s="10" t="s">
        <v>197</v>
      </c>
      <c r="C40" s="10" t="s">
        <v>775</v>
      </c>
      <c r="D40" s="10" t="s">
        <v>109</v>
      </c>
      <c r="E40" s="10" t="s">
        <v>871</v>
      </c>
      <c r="F40" s="10" t="s">
        <v>887</v>
      </c>
      <c r="G40" s="6">
        <v>4</v>
      </c>
      <c r="H40" s="6" t="s">
        <v>198</v>
      </c>
      <c r="I40" s="16">
        <v>64</v>
      </c>
      <c r="J40" s="16">
        <v>39</v>
      </c>
      <c r="K40" s="10" t="s">
        <v>777</v>
      </c>
      <c r="L40" s="6" t="str">
        <f t="shared" si="3"/>
        <v>Pass</v>
      </c>
      <c r="M40" s="18" t="s">
        <v>763</v>
      </c>
      <c r="N40" s="6" t="str">
        <f>IF(I40&gt;='Selection Criteria'!$C$27,"Pass","Fail")</f>
        <v>Pass</v>
      </c>
      <c r="O40" s="18" t="s">
        <v>763</v>
      </c>
      <c r="P40" s="17" t="str">
        <f t="shared" si="4"/>
        <v>Pass</v>
      </c>
      <c r="Q40" s="17" t="str">
        <f>INDEX('Hero Segmentation'!$Q$5:$Q$71,MATCH($A40,'Hero Segmentation'!$A$5:$A$71,0))</f>
        <v>Probable Hero</v>
      </c>
      <c r="R40" s="18">
        <v>4</v>
      </c>
      <c r="S40" s="18">
        <v>5</v>
      </c>
      <c r="T40" s="18">
        <v>4</v>
      </c>
      <c r="U40" s="18">
        <v>2</v>
      </c>
      <c r="V40" s="18">
        <v>3</v>
      </c>
      <c r="W40" s="18">
        <v>2</v>
      </c>
      <c r="X40" s="18">
        <v>2</v>
      </c>
      <c r="Y40" s="18">
        <v>4</v>
      </c>
      <c r="Z40" s="22">
        <f>IF(P40="Pass",(R40*'Selection Criteria'!$F$13+S40*'Selection Criteria'!$F$14+T40*'Selection Criteria'!$F$15+U40*'Selection Criteria'!$F$16+V40*'Selection Criteria'!$F$17+W40*'Selection Criteria'!$F$18+X40*'Selection Criteria'!$F$19+Y40*'Selection Criteria'!$F$20)/(5*'Selection Criteria'!$F$21)*100,"-")</f>
        <v>69</v>
      </c>
      <c r="AA40" s="6">
        <f t="shared" si="5"/>
        <v>36</v>
      </c>
      <c r="AB40" s="17" t="str">
        <f>IF(P40&lt;&gt;"Pass","Parked (gate)",IF(AND('Selection Criteria'!$C$65="Yes",Q40="Non-Hero"),"Tier 3",IF(Z40&gt;='Selection Criteria'!$C$25,"Tier 1",IF(Z40&gt;='Selection Criteria'!$C$26,"Tier 2","Tier 3"))))</f>
        <v>Tier 3</v>
      </c>
      <c r="AC40" s="6" t="str">
        <f>INDEX('Hero Segmentation'!$R$5:$R$71,MATCH($A40,'Hero Segmentation'!$A$5:$A$71,0))</f>
        <v>BUILD</v>
      </c>
      <c r="AD40" s="6" t="str">
        <f>IF(AND(AB40="Tier 1",J40&gt;='Selection Criteria'!$C$28),"Yes","")</f>
        <v/>
      </c>
      <c r="AE40" s="10" t="str">
        <f>IFERROR(INDEX('Competitor Fit'!$C$5:$C$103,MATCH($A40&amp;"|Primary",'Competitor Fit'!$L$5:$L$103,0)),"Wayfair")</f>
        <v>Wayfair</v>
      </c>
      <c r="AF40" s="10" t="str">
        <f>IFERROR(INDEX('Competitor Fit'!$C$5:$C$103,MATCH($A40&amp;"|Secondary",'Competitor Fit'!$L$5:$L$103,0)),"Amazon")</f>
        <v>Amazon</v>
      </c>
      <c r="AG40" s="10" t="s">
        <v>888</v>
      </c>
    </row>
    <row r="41" spans="1:33" ht="26.4" x14ac:dyDescent="0.3">
      <c r="A41" s="6" t="s">
        <v>889</v>
      </c>
      <c r="B41" s="10" t="s">
        <v>890</v>
      </c>
      <c r="C41" s="10" t="s">
        <v>775</v>
      </c>
      <c r="D41" s="10" t="s">
        <v>891</v>
      </c>
      <c r="E41" s="10" t="s">
        <v>892</v>
      </c>
      <c r="F41" s="10"/>
      <c r="G41" s="6">
        <v>3</v>
      </c>
      <c r="H41" s="6" t="s">
        <v>893</v>
      </c>
      <c r="I41" s="16">
        <v>136</v>
      </c>
      <c r="J41" s="16">
        <v>0</v>
      </c>
      <c r="K41" s="10" t="s">
        <v>768</v>
      </c>
      <c r="L41" s="6" t="str">
        <f t="shared" si="3"/>
        <v>Pass</v>
      </c>
      <c r="M41" s="18" t="s">
        <v>763</v>
      </c>
      <c r="N41" s="6" t="str">
        <f>IF(I41&gt;='Selection Criteria'!$C$27,"Pass","Fail")</f>
        <v>Pass</v>
      </c>
      <c r="O41" s="18" t="s">
        <v>763</v>
      </c>
      <c r="P41" s="17" t="str">
        <f t="shared" si="4"/>
        <v>Pass</v>
      </c>
      <c r="Q41" s="17" t="str">
        <f>INDEX('Hero Segmentation'!$Q$5:$Q$71,MATCH($A41,'Hero Segmentation'!$A$5:$A$71,0))</f>
        <v>Non-Hero</v>
      </c>
      <c r="R41" s="18">
        <v>4</v>
      </c>
      <c r="S41" s="18">
        <v>3</v>
      </c>
      <c r="T41" s="18">
        <v>4</v>
      </c>
      <c r="U41" s="18">
        <v>5</v>
      </c>
      <c r="V41" s="18">
        <v>3</v>
      </c>
      <c r="W41" s="18">
        <v>2</v>
      </c>
      <c r="X41" s="18">
        <v>3</v>
      </c>
      <c r="Y41" s="18">
        <v>2</v>
      </c>
      <c r="Z41" s="22">
        <f>IF(P41="Pass",(R41*'Selection Criteria'!$F$13+S41*'Selection Criteria'!$F$14+T41*'Selection Criteria'!$F$15+U41*'Selection Criteria'!$F$16+V41*'Selection Criteria'!$F$17+W41*'Selection Criteria'!$F$18+X41*'Selection Criteria'!$F$19+Y41*'Selection Criteria'!$F$20)/(5*'Selection Criteria'!$F$21)*100,"-")</f>
        <v>69</v>
      </c>
      <c r="AA41" s="6">
        <f t="shared" si="5"/>
        <v>36</v>
      </c>
      <c r="AB41" s="17" t="str">
        <f>IF(P41&lt;&gt;"Pass","Parked (gate)",IF(AND('Selection Criteria'!$C$65="Yes",Q41="Non-Hero"),"Tier 3",IF(Z41&gt;='Selection Criteria'!$C$25,"Tier 1",IF(Z41&gt;='Selection Criteria'!$C$26,"Tier 2","Tier 3"))))</f>
        <v>Tier 3</v>
      </c>
      <c r="AC41" s="6" t="str">
        <f>INDEX('Hero Segmentation'!$R$5:$R$71,MATCH($A41,'Hero Segmentation'!$A$5:$A$71,0))</f>
        <v>HOLD</v>
      </c>
      <c r="AD41" s="6" t="str">
        <f>IF(AND(AB41="Tier 1",J41&gt;='Selection Criteria'!$C$28),"Yes","")</f>
        <v/>
      </c>
      <c r="AE41" s="10" t="str">
        <f>IFERROR(INDEX('Competitor Fit'!$C$5:$C$103,MATCH($A41&amp;"|Primary",'Competitor Fit'!$L$5:$L$103,0)),"Amazon")</f>
        <v>Amazon</v>
      </c>
      <c r="AF41" s="10" t="str">
        <f>IFERROR(INDEX('Competitor Fit'!$C$5:$C$103,MATCH($A41&amp;"|Secondary",'Competitor Fit'!$L$5:$L$103,0)),"Wayfair")</f>
        <v>Wayfair</v>
      </c>
      <c r="AG41" s="10" t="s">
        <v>894</v>
      </c>
    </row>
    <row r="42" spans="1:33" ht="26.4" x14ac:dyDescent="0.3">
      <c r="A42" s="6" t="s">
        <v>895</v>
      </c>
      <c r="B42" s="10" t="s">
        <v>896</v>
      </c>
      <c r="C42" s="10" t="s">
        <v>759</v>
      </c>
      <c r="D42" s="10" t="s">
        <v>783</v>
      </c>
      <c r="E42" s="10" t="s">
        <v>897</v>
      </c>
      <c r="F42" s="10"/>
      <c r="G42" s="6">
        <v>3</v>
      </c>
      <c r="H42" s="6" t="s">
        <v>898</v>
      </c>
      <c r="I42" s="16">
        <v>1504</v>
      </c>
      <c r="J42" s="16">
        <v>0</v>
      </c>
      <c r="K42" s="10" t="s">
        <v>768</v>
      </c>
      <c r="L42" s="6" t="str">
        <f t="shared" si="3"/>
        <v>Pass</v>
      </c>
      <c r="M42" s="18" t="s">
        <v>763</v>
      </c>
      <c r="N42" s="6" t="str">
        <f>IF(I42&gt;='Selection Criteria'!$C$27,"Pass","Fail")</f>
        <v>Pass</v>
      </c>
      <c r="O42" s="18" t="s">
        <v>763</v>
      </c>
      <c r="P42" s="17" t="str">
        <f t="shared" si="4"/>
        <v>Pass</v>
      </c>
      <c r="Q42" s="17" t="str">
        <f>INDEX('Hero Segmentation'!$Q$5:$Q$71,MATCH($A42,'Hero Segmentation'!$A$5:$A$71,0))</f>
        <v>Hero</v>
      </c>
      <c r="R42" s="18">
        <v>3</v>
      </c>
      <c r="S42" s="18">
        <v>4</v>
      </c>
      <c r="T42" s="18">
        <v>1</v>
      </c>
      <c r="U42" s="18">
        <v>5</v>
      </c>
      <c r="V42" s="18">
        <v>5</v>
      </c>
      <c r="W42" s="18">
        <v>4</v>
      </c>
      <c r="X42" s="18">
        <v>4</v>
      </c>
      <c r="Y42" s="18">
        <v>2</v>
      </c>
      <c r="Z42" s="22">
        <f>IF(P42="Pass",(R42*'Selection Criteria'!$F$13+S42*'Selection Criteria'!$F$14+T42*'Selection Criteria'!$F$15+U42*'Selection Criteria'!$F$16+V42*'Selection Criteria'!$F$17+W42*'Selection Criteria'!$F$18+X42*'Selection Criteria'!$F$19+Y42*'Selection Criteria'!$F$20)/(5*'Selection Criteria'!$F$21)*100,"-")</f>
        <v>68</v>
      </c>
      <c r="AA42" s="6">
        <f t="shared" si="5"/>
        <v>38</v>
      </c>
      <c r="AB42" s="17" t="str">
        <f>IF(P42&lt;&gt;"Pass","Parked (gate)",IF(AND('Selection Criteria'!$C$65="Yes",Q42="Non-Hero"),"Tier 3",IF(Z42&gt;='Selection Criteria'!$C$25,"Tier 1",IF(Z42&gt;='Selection Criteria'!$C$26,"Tier 2","Tier 3"))))</f>
        <v>Tier 3</v>
      </c>
      <c r="AC42" s="6" t="str">
        <f>INDEX('Hero Segmentation'!$R$5:$R$71,MATCH($A42,'Hero Segmentation'!$A$5:$A$71,0))</f>
        <v>PROTECT</v>
      </c>
      <c r="AD42" s="6" t="str">
        <f>IF(AND(AB42="Tier 1",J42&gt;='Selection Criteria'!$C$28),"Yes","")</f>
        <v/>
      </c>
      <c r="AE42" s="10" t="str">
        <f>IFERROR(INDEX('Competitor Fit'!$C$5:$C$103,MATCH($A42&amp;"|Primary",'Competitor Fit'!$L$5:$L$103,0)),"JetPens")</f>
        <v>JetPens</v>
      </c>
      <c r="AF42" s="10" t="str">
        <f>IFERROR(INDEX('Competitor Fit'!$C$5:$C$103,MATCH($A42&amp;"|Secondary",'Competitor Fit'!$L$5:$L$103,0)),"Amazon")</f>
        <v>Amazon</v>
      </c>
      <c r="AG42" s="10" t="s">
        <v>899</v>
      </c>
    </row>
    <row r="43" spans="1:33" ht="26.4" x14ac:dyDescent="0.3">
      <c r="A43" s="6" t="s">
        <v>900</v>
      </c>
      <c r="B43" s="10" t="s">
        <v>901</v>
      </c>
      <c r="C43" s="10" t="s">
        <v>902</v>
      </c>
      <c r="D43" s="10" t="s">
        <v>903</v>
      </c>
      <c r="E43" s="10" t="s">
        <v>903</v>
      </c>
      <c r="F43" s="10"/>
      <c r="G43" s="6">
        <v>3</v>
      </c>
      <c r="H43" s="6" t="s">
        <v>904</v>
      </c>
      <c r="I43" s="16">
        <v>782</v>
      </c>
      <c r="J43" s="16">
        <v>0</v>
      </c>
      <c r="K43" s="10" t="s">
        <v>768</v>
      </c>
      <c r="L43" s="6" t="str">
        <f t="shared" si="3"/>
        <v>Pass</v>
      </c>
      <c r="M43" s="18" t="s">
        <v>763</v>
      </c>
      <c r="N43" s="6" t="str">
        <f>IF(I43&gt;='Selection Criteria'!$C$27,"Pass","Fail")</f>
        <v>Pass</v>
      </c>
      <c r="O43" s="18" t="s">
        <v>763</v>
      </c>
      <c r="P43" s="17" t="str">
        <f t="shared" si="4"/>
        <v>Pass</v>
      </c>
      <c r="Q43" s="17" t="str">
        <f>INDEX('Hero Segmentation'!$Q$5:$Q$71,MATCH($A43,'Hero Segmentation'!$A$5:$A$71,0))</f>
        <v>Probable Hero</v>
      </c>
      <c r="R43" s="18">
        <v>4</v>
      </c>
      <c r="S43" s="18">
        <v>4</v>
      </c>
      <c r="T43" s="18">
        <v>2</v>
      </c>
      <c r="U43" s="18">
        <v>4</v>
      </c>
      <c r="V43" s="18">
        <v>4</v>
      </c>
      <c r="W43" s="18">
        <v>3</v>
      </c>
      <c r="X43" s="18">
        <v>4</v>
      </c>
      <c r="Y43" s="18">
        <v>2</v>
      </c>
      <c r="Z43" s="22">
        <f>IF(P43="Pass",(R43*'Selection Criteria'!$F$13+S43*'Selection Criteria'!$F$14+T43*'Selection Criteria'!$F$15+U43*'Selection Criteria'!$F$16+V43*'Selection Criteria'!$F$17+W43*'Selection Criteria'!$F$18+X43*'Selection Criteria'!$F$19+Y43*'Selection Criteria'!$F$20)/(5*'Selection Criteria'!$F$21)*100,"-")</f>
        <v>68</v>
      </c>
      <c r="AA43" s="6">
        <f t="shared" si="5"/>
        <v>38</v>
      </c>
      <c r="AB43" s="17" t="str">
        <f>IF(P43&lt;&gt;"Pass","Parked (gate)",IF(AND('Selection Criteria'!$C$65="Yes",Q43="Non-Hero"),"Tier 3",IF(Z43&gt;='Selection Criteria'!$C$25,"Tier 1",IF(Z43&gt;='Selection Criteria'!$C$26,"Tier 2","Tier 3"))))</f>
        <v>Tier 3</v>
      </c>
      <c r="AC43" s="6" t="str">
        <f>INDEX('Hero Segmentation'!$R$5:$R$71,MATCH($A43,'Hero Segmentation'!$A$5:$A$71,0))</f>
        <v>BUILD</v>
      </c>
      <c r="AD43" s="6" t="str">
        <f>IF(AND(AB43="Tier 1",J43&gt;='Selection Criteria'!$C$28),"Yes","")</f>
        <v/>
      </c>
      <c r="AE43" s="10" t="str">
        <f>IFERROR(INDEX('Competitor Fit'!$C$5:$C$103,MATCH($A43&amp;"|Primary",'Competitor Fit'!$L$5:$L$103,0)),"Best Buy")</f>
        <v>Best Buy</v>
      </c>
      <c r="AF43" s="10" t="str">
        <f>IFERROR(INDEX('Competitor Fit'!$C$5:$C$103,MATCH($A43&amp;"|Secondary",'Competitor Fit'!$L$5:$L$103,0)),"Target")</f>
        <v>Target</v>
      </c>
      <c r="AG43" s="10" t="s">
        <v>905</v>
      </c>
    </row>
    <row r="44" spans="1:33" ht="26.4" x14ac:dyDescent="0.3">
      <c r="A44" s="6" t="s">
        <v>906</v>
      </c>
      <c r="B44" s="10" t="s">
        <v>907</v>
      </c>
      <c r="C44" s="10" t="s">
        <v>829</v>
      </c>
      <c r="D44" s="10" t="s">
        <v>908</v>
      </c>
      <c r="E44" s="10" t="s">
        <v>909</v>
      </c>
      <c r="F44" s="10"/>
      <c r="G44" s="6">
        <v>3</v>
      </c>
      <c r="H44" s="6" t="s">
        <v>910</v>
      </c>
      <c r="I44" s="16">
        <v>661</v>
      </c>
      <c r="J44" s="16">
        <v>0</v>
      </c>
      <c r="K44" s="10" t="s">
        <v>768</v>
      </c>
      <c r="L44" s="6" t="str">
        <f t="shared" si="3"/>
        <v>Pass</v>
      </c>
      <c r="M44" s="18" t="s">
        <v>763</v>
      </c>
      <c r="N44" s="6" t="str">
        <f>IF(I44&gt;='Selection Criteria'!$C$27,"Pass","Fail")</f>
        <v>Pass</v>
      </c>
      <c r="O44" s="18" t="s">
        <v>763</v>
      </c>
      <c r="P44" s="17" t="str">
        <f t="shared" si="4"/>
        <v>Pass</v>
      </c>
      <c r="Q44" s="17" t="str">
        <f>INDEX('Hero Segmentation'!$Q$5:$Q$71,MATCH($A44,'Hero Segmentation'!$A$5:$A$71,0))</f>
        <v>Hero</v>
      </c>
      <c r="R44" s="18">
        <v>3</v>
      </c>
      <c r="S44" s="18">
        <v>4</v>
      </c>
      <c r="T44" s="18">
        <v>3</v>
      </c>
      <c r="U44" s="18">
        <v>5</v>
      </c>
      <c r="V44" s="18">
        <v>3</v>
      </c>
      <c r="W44" s="18">
        <v>3</v>
      </c>
      <c r="X44" s="18">
        <v>3</v>
      </c>
      <c r="Y44" s="18">
        <v>2</v>
      </c>
      <c r="Z44" s="22">
        <f>IF(P44="Pass",(R44*'Selection Criteria'!$F$13+S44*'Selection Criteria'!$F$14+T44*'Selection Criteria'!$F$15+U44*'Selection Criteria'!$F$16+V44*'Selection Criteria'!$F$17+W44*'Selection Criteria'!$F$18+X44*'Selection Criteria'!$F$19+Y44*'Selection Criteria'!$F$20)/(5*'Selection Criteria'!$F$21)*100,"-")</f>
        <v>67</v>
      </c>
      <c r="AA44" s="6">
        <f t="shared" si="5"/>
        <v>40</v>
      </c>
      <c r="AB44" s="17" t="str">
        <f>IF(P44&lt;&gt;"Pass","Parked (gate)",IF(AND('Selection Criteria'!$C$65="Yes",Q44="Non-Hero"),"Tier 3",IF(Z44&gt;='Selection Criteria'!$C$25,"Tier 1",IF(Z44&gt;='Selection Criteria'!$C$26,"Tier 2","Tier 3"))))</f>
        <v>Tier 3</v>
      </c>
      <c r="AC44" s="6" t="str">
        <f>INDEX('Hero Segmentation'!$R$5:$R$71,MATCH($A44,'Hero Segmentation'!$A$5:$A$71,0))</f>
        <v>EXTEND</v>
      </c>
      <c r="AD44" s="6" t="str">
        <f>IF(AND(AB44="Tier 1",J44&gt;='Selection Criteria'!$C$28),"Yes","")</f>
        <v/>
      </c>
      <c r="AE44" s="10" t="str">
        <f>IFERROR(INDEX('Competitor Fit'!$C$5:$C$103,MATCH($A44&amp;"|Primary",'Competitor Fit'!$L$5:$L$103,0)),"Amazon")</f>
        <v>Amazon</v>
      </c>
      <c r="AF44" s="10" t="str">
        <f>IFERROR(INDEX('Competitor Fit'!$C$5:$C$103,MATCH($A44&amp;"|Secondary",'Competitor Fit'!$L$5:$L$103,0)),"Wayfair")</f>
        <v>Wayfair</v>
      </c>
      <c r="AG44" s="10" t="s">
        <v>911</v>
      </c>
    </row>
    <row r="45" spans="1:33" ht="26.4" x14ac:dyDescent="0.3">
      <c r="A45" s="6" t="s">
        <v>912</v>
      </c>
      <c r="B45" s="10" t="s">
        <v>913</v>
      </c>
      <c r="C45" s="10" t="s">
        <v>775</v>
      </c>
      <c r="D45" s="10" t="s">
        <v>891</v>
      </c>
      <c r="E45" s="10" t="s">
        <v>914</v>
      </c>
      <c r="F45" s="10"/>
      <c r="G45" s="6">
        <v>3</v>
      </c>
      <c r="H45" s="6" t="s">
        <v>915</v>
      </c>
      <c r="I45" s="16">
        <v>152</v>
      </c>
      <c r="J45" s="16">
        <v>0</v>
      </c>
      <c r="K45" s="10" t="s">
        <v>768</v>
      </c>
      <c r="L45" s="6" t="str">
        <f t="shared" si="3"/>
        <v>Pass</v>
      </c>
      <c r="M45" s="18" t="s">
        <v>763</v>
      </c>
      <c r="N45" s="6" t="str">
        <f>IF(I45&gt;='Selection Criteria'!$C$27,"Pass","Fail")</f>
        <v>Pass</v>
      </c>
      <c r="O45" s="18" t="s">
        <v>763</v>
      </c>
      <c r="P45" s="17" t="str">
        <f t="shared" si="4"/>
        <v>Pass</v>
      </c>
      <c r="Q45" s="17" t="str">
        <f>INDEX('Hero Segmentation'!$Q$5:$Q$71,MATCH($A45,'Hero Segmentation'!$A$5:$A$71,0))</f>
        <v>Non-Hero</v>
      </c>
      <c r="R45" s="18">
        <v>4</v>
      </c>
      <c r="S45" s="18">
        <v>4</v>
      </c>
      <c r="T45" s="18">
        <v>4</v>
      </c>
      <c r="U45" s="18">
        <v>4</v>
      </c>
      <c r="V45" s="18">
        <v>1</v>
      </c>
      <c r="W45" s="18">
        <v>3</v>
      </c>
      <c r="X45" s="18">
        <v>3</v>
      </c>
      <c r="Y45" s="18">
        <v>2</v>
      </c>
      <c r="Z45" s="22">
        <f>IF(P45="Pass",(R45*'Selection Criteria'!$F$13+S45*'Selection Criteria'!$F$14+T45*'Selection Criteria'!$F$15+U45*'Selection Criteria'!$F$16+V45*'Selection Criteria'!$F$17+W45*'Selection Criteria'!$F$18+X45*'Selection Criteria'!$F$19+Y45*'Selection Criteria'!$F$20)/(5*'Selection Criteria'!$F$21)*100,"-")</f>
        <v>67</v>
      </c>
      <c r="AA45" s="6">
        <f t="shared" si="5"/>
        <v>40</v>
      </c>
      <c r="AB45" s="17" t="str">
        <f>IF(P45&lt;&gt;"Pass","Parked (gate)",IF(AND('Selection Criteria'!$C$65="Yes",Q45="Non-Hero"),"Tier 3",IF(Z45&gt;='Selection Criteria'!$C$25,"Tier 1",IF(Z45&gt;='Selection Criteria'!$C$26,"Tier 2","Tier 3"))))</f>
        <v>Tier 3</v>
      </c>
      <c r="AC45" s="6" t="str">
        <f>INDEX('Hero Segmentation'!$R$5:$R$71,MATCH($A45,'Hero Segmentation'!$A$5:$A$71,0))</f>
        <v>HOLD</v>
      </c>
      <c r="AD45" s="6" t="str">
        <f>IF(AND(AB45="Tier 1",J45&gt;='Selection Criteria'!$C$28),"Yes","")</f>
        <v/>
      </c>
      <c r="AE45" s="10" t="str">
        <f>IFERROR(INDEX('Competitor Fit'!$C$5:$C$103,MATCH($A45&amp;"|Primary",'Competitor Fit'!$L$5:$L$103,0)),"Wayfair")</f>
        <v>Wayfair</v>
      </c>
      <c r="AF45" s="10" t="str">
        <f>IFERROR(INDEX('Competitor Fit'!$C$5:$C$103,MATCH($A45&amp;"|Secondary",'Competitor Fit'!$L$5:$L$103,0)),"Amazon")</f>
        <v>Amazon</v>
      </c>
      <c r="AG45" s="10" t="s">
        <v>916</v>
      </c>
    </row>
    <row r="46" spans="1:33" ht="26.4" x14ac:dyDescent="0.3">
      <c r="A46" s="6" t="s">
        <v>917</v>
      </c>
      <c r="B46" s="10" t="s">
        <v>918</v>
      </c>
      <c r="C46" s="10" t="s">
        <v>919</v>
      </c>
      <c r="D46" s="10" t="s">
        <v>920</v>
      </c>
      <c r="E46" s="10" t="s">
        <v>921</v>
      </c>
      <c r="F46" s="10"/>
      <c r="G46" s="6">
        <v>3</v>
      </c>
      <c r="H46" s="6" t="s">
        <v>922</v>
      </c>
      <c r="I46" s="16">
        <v>798</v>
      </c>
      <c r="J46" s="16">
        <v>0</v>
      </c>
      <c r="K46" s="10" t="s">
        <v>768</v>
      </c>
      <c r="L46" s="6" t="str">
        <f t="shared" si="3"/>
        <v>Pass</v>
      </c>
      <c r="M46" s="18" t="s">
        <v>763</v>
      </c>
      <c r="N46" s="6" t="str">
        <f>IF(I46&gt;='Selection Criteria'!$C$27,"Pass","Fail")</f>
        <v>Pass</v>
      </c>
      <c r="O46" s="18" t="s">
        <v>763</v>
      </c>
      <c r="P46" s="17" t="str">
        <f t="shared" si="4"/>
        <v>Pass</v>
      </c>
      <c r="Q46" s="17" t="str">
        <f>INDEX('Hero Segmentation'!$Q$5:$Q$71,MATCH($A46,'Hero Segmentation'!$A$5:$A$71,0))</f>
        <v>Hero</v>
      </c>
      <c r="R46" s="18">
        <v>4</v>
      </c>
      <c r="S46" s="18">
        <v>4</v>
      </c>
      <c r="T46" s="18">
        <v>3</v>
      </c>
      <c r="U46" s="18">
        <v>4</v>
      </c>
      <c r="V46" s="18">
        <v>3</v>
      </c>
      <c r="W46" s="18">
        <v>3</v>
      </c>
      <c r="X46" s="18">
        <v>2</v>
      </c>
      <c r="Y46" s="18">
        <v>2</v>
      </c>
      <c r="Z46" s="22">
        <f>IF(P46="Pass",(R46*'Selection Criteria'!$F$13+S46*'Selection Criteria'!$F$14+T46*'Selection Criteria'!$F$15+U46*'Selection Criteria'!$F$16+V46*'Selection Criteria'!$F$17+W46*'Selection Criteria'!$F$18+X46*'Selection Criteria'!$F$19+Y46*'Selection Criteria'!$F$20)/(5*'Selection Criteria'!$F$21)*100,"-")</f>
        <v>67</v>
      </c>
      <c r="AA46" s="6">
        <f t="shared" si="5"/>
        <v>40</v>
      </c>
      <c r="AB46" s="17" t="str">
        <f>IF(P46&lt;&gt;"Pass","Parked (gate)",IF(AND('Selection Criteria'!$C$65="Yes",Q46="Non-Hero"),"Tier 3",IF(Z46&gt;='Selection Criteria'!$C$25,"Tier 1",IF(Z46&gt;='Selection Criteria'!$C$26,"Tier 2","Tier 3"))))</f>
        <v>Tier 3</v>
      </c>
      <c r="AC46" s="6" t="str">
        <f>INDEX('Hero Segmentation'!$R$5:$R$71,MATCH($A46,'Hero Segmentation'!$A$5:$A$71,0))</f>
        <v>EXTEND</v>
      </c>
      <c r="AD46" s="6" t="str">
        <f>IF(AND(AB46="Tier 1",J46&gt;='Selection Criteria'!$C$28),"Yes","")</f>
        <v/>
      </c>
      <c r="AE46" s="10" t="str">
        <f>IFERROR(INDEX('Competitor Fit'!$C$5:$C$103,MATCH($A46&amp;"|Primary",'Competitor Fit'!$L$5:$L$103,0)),"Wayfair")</f>
        <v>Wayfair</v>
      </c>
      <c r="AF46" s="10" t="str">
        <f>IFERROR(INDEX('Competitor Fit'!$C$5:$C$103,MATCH($A46&amp;"|Secondary",'Competitor Fit'!$L$5:$L$103,0)),"Target")</f>
        <v>Target</v>
      </c>
      <c r="AG46" s="10" t="s">
        <v>923</v>
      </c>
    </row>
    <row r="47" spans="1:33" ht="26.4" x14ac:dyDescent="0.3">
      <c r="A47" s="6" t="s">
        <v>924</v>
      </c>
      <c r="B47" s="10" t="s">
        <v>925</v>
      </c>
      <c r="C47" s="10" t="s">
        <v>796</v>
      </c>
      <c r="D47" s="10" t="s">
        <v>797</v>
      </c>
      <c r="E47" s="10" t="s">
        <v>926</v>
      </c>
      <c r="F47" s="10"/>
      <c r="G47" s="6">
        <v>3</v>
      </c>
      <c r="H47" s="6" t="s">
        <v>927</v>
      </c>
      <c r="I47" s="16">
        <v>284</v>
      </c>
      <c r="J47" s="16">
        <v>0</v>
      </c>
      <c r="K47" s="10" t="s">
        <v>768</v>
      </c>
      <c r="L47" s="6" t="str">
        <f t="shared" si="3"/>
        <v>Pass</v>
      </c>
      <c r="M47" s="18" t="s">
        <v>763</v>
      </c>
      <c r="N47" s="6" t="str">
        <f>IF(I47&gt;='Selection Criteria'!$C$27,"Pass","Fail")</f>
        <v>Pass</v>
      </c>
      <c r="O47" s="18" t="s">
        <v>763</v>
      </c>
      <c r="P47" s="17" t="str">
        <f t="shared" si="4"/>
        <v>Pass</v>
      </c>
      <c r="Q47" s="17" t="str">
        <f>INDEX('Hero Segmentation'!$Q$5:$Q$71,MATCH($A47,'Hero Segmentation'!$A$5:$A$71,0))</f>
        <v>Hero</v>
      </c>
      <c r="R47" s="18">
        <v>3</v>
      </c>
      <c r="S47" s="18">
        <v>3</v>
      </c>
      <c r="T47" s="18">
        <v>3</v>
      </c>
      <c r="U47" s="18">
        <v>5</v>
      </c>
      <c r="V47" s="18">
        <v>4</v>
      </c>
      <c r="W47" s="18">
        <v>3</v>
      </c>
      <c r="X47" s="18">
        <v>4</v>
      </c>
      <c r="Y47" s="18">
        <v>2</v>
      </c>
      <c r="Z47" s="22">
        <f>IF(P47="Pass",(R47*'Selection Criteria'!$F$13+S47*'Selection Criteria'!$F$14+T47*'Selection Criteria'!$F$15+U47*'Selection Criteria'!$F$16+V47*'Selection Criteria'!$F$17+W47*'Selection Criteria'!$F$18+X47*'Selection Criteria'!$F$19+Y47*'Selection Criteria'!$F$20)/(5*'Selection Criteria'!$F$21)*100,"-")</f>
        <v>67</v>
      </c>
      <c r="AA47" s="6">
        <f t="shared" si="5"/>
        <v>40</v>
      </c>
      <c r="AB47" s="17" t="str">
        <f>IF(P47&lt;&gt;"Pass","Parked (gate)",IF(AND('Selection Criteria'!$C$65="Yes",Q47="Non-Hero"),"Tier 3",IF(Z47&gt;='Selection Criteria'!$C$25,"Tier 1",IF(Z47&gt;='Selection Criteria'!$C$26,"Tier 2","Tier 3"))))</f>
        <v>Tier 3</v>
      </c>
      <c r="AC47" s="6" t="str">
        <f>INDEX('Hero Segmentation'!$R$5:$R$71,MATCH($A47,'Hero Segmentation'!$A$5:$A$71,0))</f>
        <v>EXTEND</v>
      </c>
      <c r="AD47" s="6" t="str">
        <f>IF(AND(AB47="Tier 1",J47&gt;='Selection Criteria'!$C$28),"Yes","")</f>
        <v/>
      </c>
      <c r="AE47" s="10" t="str">
        <f>IFERROR(INDEX('Competitor Fit'!$C$5:$C$103,MATCH($A47&amp;"|Primary",'Competitor Fit'!$L$5:$L$103,0)),"Amazon")</f>
        <v>Amazon</v>
      </c>
      <c r="AF47" s="10" t="str">
        <f>IFERROR(INDEX('Competitor Fit'!$C$5:$C$103,MATCH($A47&amp;"|Secondary",'Competitor Fit'!$L$5:$L$103,0)),"Oriental Trading")</f>
        <v>Oriental Trading</v>
      </c>
      <c r="AG47" s="10" t="s">
        <v>928</v>
      </c>
    </row>
    <row r="48" spans="1:33" ht="26.4" x14ac:dyDescent="0.3">
      <c r="A48" s="6" t="s">
        <v>231</v>
      </c>
      <c r="B48" s="10" t="s">
        <v>232</v>
      </c>
      <c r="C48" s="10" t="s">
        <v>929</v>
      </c>
      <c r="D48" s="10" t="s">
        <v>137</v>
      </c>
      <c r="E48" s="10" t="s">
        <v>930</v>
      </c>
      <c r="F48" s="10" t="s">
        <v>930</v>
      </c>
      <c r="G48" s="6">
        <v>4</v>
      </c>
      <c r="H48" s="6" t="s">
        <v>233</v>
      </c>
      <c r="I48" s="16">
        <v>43</v>
      </c>
      <c r="J48" s="16">
        <v>40</v>
      </c>
      <c r="K48" s="10" t="s">
        <v>931</v>
      </c>
      <c r="L48" s="6" t="str">
        <f t="shared" si="3"/>
        <v>Pass</v>
      </c>
      <c r="M48" s="18" t="s">
        <v>763</v>
      </c>
      <c r="N48" s="6" t="str">
        <f>IF(I48&gt;='Selection Criteria'!$C$27,"Pass","Fail")</f>
        <v>Pass</v>
      </c>
      <c r="O48" s="18" t="s">
        <v>763</v>
      </c>
      <c r="P48" s="17" t="str">
        <f t="shared" si="4"/>
        <v>Pass</v>
      </c>
      <c r="Q48" s="17" t="str">
        <f>INDEX('Hero Segmentation'!$Q$5:$Q$71,MATCH($A48,'Hero Segmentation'!$A$5:$A$71,0))</f>
        <v>Probable Hero</v>
      </c>
      <c r="R48" s="18">
        <v>3</v>
      </c>
      <c r="S48" s="18">
        <v>5</v>
      </c>
      <c r="T48" s="18">
        <v>5</v>
      </c>
      <c r="U48" s="18">
        <v>3</v>
      </c>
      <c r="V48" s="18">
        <v>1</v>
      </c>
      <c r="W48" s="18">
        <v>3</v>
      </c>
      <c r="X48" s="18">
        <v>4</v>
      </c>
      <c r="Y48" s="18">
        <v>2</v>
      </c>
      <c r="Z48" s="22">
        <f>IF(P48="Pass",(R48*'Selection Criteria'!$F$13+S48*'Selection Criteria'!$F$14+T48*'Selection Criteria'!$F$15+U48*'Selection Criteria'!$F$16+V48*'Selection Criteria'!$F$17+W48*'Selection Criteria'!$F$18+X48*'Selection Criteria'!$F$19+Y48*'Selection Criteria'!$F$20)/(5*'Selection Criteria'!$F$21)*100,"-")</f>
        <v>67</v>
      </c>
      <c r="AA48" s="6">
        <f t="shared" si="5"/>
        <v>40</v>
      </c>
      <c r="AB48" s="17" t="str">
        <f>IF(P48&lt;&gt;"Pass","Parked (gate)",IF(AND('Selection Criteria'!$C$65="Yes",Q48="Non-Hero"),"Tier 3",IF(Z48&gt;='Selection Criteria'!$C$25,"Tier 1",IF(Z48&gt;='Selection Criteria'!$C$26,"Tier 2","Tier 3"))))</f>
        <v>Tier 3</v>
      </c>
      <c r="AC48" s="6" t="str">
        <f>INDEX('Hero Segmentation'!$R$5:$R$71,MATCH($A48,'Hero Segmentation'!$A$5:$A$71,0))</f>
        <v>BUILD</v>
      </c>
      <c r="AD48" s="6" t="str">
        <f>IF(AND(AB48="Tier 1",J48&gt;='Selection Criteria'!$C$28),"Yes","")</f>
        <v/>
      </c>
      <c r="AE48" s="10" t="str">
        <f>IFERROR(INDEX('Competitor Fit'!$C$5:$C$103,MATCH($A48&amp;"|Primary",'Competitor Fit'!$L$5:$L$103,0)),"Amazon")</f>
        <v>Amazon</v>
      </c>
      <c r="AF48" s="10" t="str">
        <f>IFERROR(INDEX('Competitor Fit'!$C$5:$C$103,MATCH($A48&amp;"|Secondary",'Competitor Fit'!$L$5:$L$103,0)),"Dick's Sporting Goods")</f>
        <v>Dick's Sporting Goods</v>
      </c>
      <c r="AG48" s="10" t="s">
        <v>932</v>
      </c>
    </row>
    <row r="49" spans="1:33" ht="26.4" x14ac:dyDescent="0.3">
      <c r="A49" s="6" t="s">
        <v>933</v>
      </c>
      <c r="B49" s="10" t="s">
        <v>934</v>
      </c>
      <c r="C49" s="10" t="s">
        <v>770</v>
      </c>
      <c r="D49" s="10" t="s">
        <v>935</v>
      </c>
      <c r="E49" s="10" t="s">
        <v>936</v>
      </c>
      <c r="F49" s="10"/>
      <c r="G49" s="6">
        <v>3</v>
      </c>
      <c r="H49" s="6" t="s">
        <v>937</v>
      </c>
      <c r="I49" s="16">
        <v>55</v>
      </c>
      <c r="J49" s="16">
        <v>0</v>
      </c>
      <c r="K49" s="10" t="s">
        <v>768</v>
      </c>
      <c r="L49" s="6" t="str">
        <f t="shared" si="3"/>
        <v>Pass</v>
      </c>
      <c r="M49" s="18" t="s">
        <v>763</v>
      </c>
      <c r="N49" s="6" t="str">
        <f>IF(I49&gt;='Selection Criteria'!$C$27,"Pass","Fail")</f>
        <v>Pass</v>
      </c>
      <c r="O49" s="18" t="s">
        <v>763</v>
      </c>
      <c r="P49" s="17" t="str">
        <f t="shared" si="4"/>
        <v>Pass</v>
      </c>
      <c r="Q49" s="17" t="str">
        <f>INDEX('Hero Segmentation'!$Q$5:$Q$71,MATCH($A49,'Hero Segmentation'!$A$5:$A$71,0))</f>
        <v>Non-Hero</v>
      </c>
      <c r="R49" s="18">
        <v>4</v>
      </c>
      <c r="S49" s="18">
        <v>4</v>
      </c>
      <c r="T49" s="18">
        <v>4</v>
      </c>
      <c r="U49" s="18">
        <v>3</v>
      </c>
      <c r="V49" s="18">
        <v>4</v>
      </c>
      <c r="W49" s="18">
        <v>2</v>
      </c>
      <c r="X49" s="18">
        <v>2</v>
      </c>
      <c r="Y49" s="18">
        <v>2</v>
      </c>
      <c r="Z49" s="22">
        <f>IF(P49="Pass",(R49*'Selection Criteria'!$F$13+S49*'Selection Criteria'!$F$14+T49*'Selection Criteria'!$F$15+U49*'Selection Criteria'!$F$16+V49*'Selection Criteria'!$F$17+W49*'Selection Criteria'!$F$18+X49*'Selection Criteria'!$F$19+Y49*'Selection Criteria'!$F$20)/(5*'Selection Criteria'!$F$21)*100,"-")</f>
        <v>67</v>
      </c>
      <c r="AA49" s="6">
        <f t="shared" si="5"/>
        <v>40</v>
      </c>
      <c r="AB49" s="17" t="str">
        <f>IF(P49&lt;&gt;"Pass","Parked (gate)",IF(AND('Selection Criteria'!$C$65="Yes",Q49="Non-Hero"),"Tier 3",IF(Z49&gt;='Selection Criteria'!$C$25,"Tier 1",IF(Z49&gt;='Selection Criteria'!$C$26,"Tier 2","Tier 3"))))</f>
        <v>Tier 3</v>
      </c>
      <c r="AC49" s="6" t="str">
        <f>INDEX('Hero Segmentation'!$R$5:$R$71,MATCH($A49,'Hero Segmentation'!$A$5:$A$71,0))</f>
        <v>HOLD</v>
      </c>
      <c r="AD49" s="6" t="str">
        <f>IF(AND(AB49="Tier 1",J49&gt;='Selection Criteria'!$C$28),"Yes","")</f>
        <v/>
      </c>
      <c r="AE49" s="10" t="str">
        <f>IFERROR(INDEX('Competitor Fit'!$C$5:$C$103,MATCH($A49&amp;"|Primary",'Competitor Fit'!$L$5:$L$103,0)),"Target")</f>
        <v>Target</v>
      </c>
      <c r="AF49" s="10" t="str">
        <f>IFERROR(INDEX('Competitor Fit'!$C$5:$C$103,MATCH($A49&amp;"|Secondary",'Competitor Fit'!$L$5:$L$103,0)),"Amazon")</f>
        <v>Amazon</v>
      </c>
      <c r="AG49" s="10" t="s">
        <v>938</v>
      </c>
    </row>
    <row r="50" spans="1:33" x14ac:dyDescent="0.3">
      <c r="A50" s="6" t="s">
        <v>939</v>
      </c>
      <c r="B50" s="10" t="s">
        <v>940</v>
      </c>
      <c r="C50" s="10" t="s">
        <v>775</v>
      </c>
      <c r="D50" s="10" t="s">
        <v>816</v>
      </c>
      <c r="E50" s="10" t="s">
        <v>941</v>
      </c>
      <c r="F50" s="10"/>
      <c r="G50" s="6">
        <v>3</v>
      </c>
      <c r="H50" s="6" t="s">
        <v>942</v>
      </c>
      <c r="I50" s="16">
        <v>46</v>
      </c>
      <c r="J50" s="16">
        <v>0</v>
      </c>
      <c r="K50" s="10" t="s">
        <v>768</v>
      </c>
      <c r="L50" s="6" t="str">
        <f t="shared" si="3"/>
        <v>Pass</v>
      </c>
      <c r="M50" s="18" t="s">
        <v>763</v>
      </c>
      <c r="N50" s="6" t="str">
        <f>IF(I50&gt;='Selection Criteria'!$C$27,"Pass","Fail")</f>
        <v>Pass</v>
      </c>
      <c r="O50" s="18" t="s">
        <v>763</v>
      </c>
      <c r="P50" s="17" t="str">
        <f t="shared" si="4"/>
        <v>Pass</v>
      </c>
      <c r="Q50" s="17" t="str">
        <f>INDEX('Hero Segmentation'!$Q$5:$Q$71,MATCH($A50,'Hero Segmentation'!$A$5:$A$71,0))</f>
        <v>Non-Hero</v>
      </c>
      <c r="R50" s="18">
        <v>4</v>
      </c>
      <c r="S50" s="18">
        <v>4</v>
      </c>
      <c r="T50" s="18">
        <v>5</v>
      </c>
      <c r="U50" s="18">
        <v>2</v>
      </c>
      <c r="V50" s="18">
        <v>5</v>
      </c>
      <c r="W50" s="18">
        <v>1</v>
      </c>
      <c r="X50" s="18">
        <v>2</v>
      </c>
      <c r="Y50" s="18">
        <v>2</v>
      </c>
      <c r="Z50" s="22">
        <f>IF(P50="Pass",(R50*'Selection Criteria'!$F$13+S50*'Selection Criteria'!$F$14+T50*'Selection Criteria'!$F$15+U50*'Selection Criteria'!$F$16+V50*'Selection Criteria'!$F$17+W50*'Selection Criteria'!$F$18+X50*'Selection Criteria'!$F$19+Y50*'Selection Criteria'!$F$20)/(5*'Selection Criteria'!$F$21)*100,"-")</f>
        <v>67</v>
      </c>
      <c r="AA50" s="6">
        <f t="shared" si="5"/>
        <v>40</v>
      </c>
      <c r="AB50" s="17" t="str">
        <f>IF(P50&lt;&gt;"Pass","Parked (gate)",IF(AND('Selection Criteria'!$C$65="Yes",Q50="Non-Hero"),"Tier 3",IF(Z50&gt;='Selection Criteria'!$C$25,"Tier 1",IF(Z50&gt;='Selection Criteria'!$C$26,"Tier 2","Tier 3"))))</f>
        <v>Tier 3</v>
      </c>
      <c r="AC50" s="6" t="str">
        <f>INDEX('Hero Segmentation'!$R$5:$R$71,MATCH($A50,'Hero Segmentation'!$A$5:$A$71,0))</f>
        <v>HOLD</v>
      </c>
      <c r="AD50" s="6" t="str">
        <f>IF(AND(AB50="Tier 1",J50&gt;='Selection Criteria'!$C$28),"Yes","")</f>
        <v/>
      </c>
      <c r="AE50" s="10" t="str">
        <f>IFERROR(INDEX('Competitor Fit'!$C$5:$C$103,MATCH($A50&amp;"|Primary",'Competitor Fit'!$L$5:$L$103,0)),"Target")</f>
        <v>Target</v>
      </c>
      <c r="AF50" s="10" t="str">
        <f>IFERROR(INDEX('Competitor Fit'!$C$5:$C$103,MATCH($A50&amp;"|Secondary",'Competitor Fit'!$L$5:$L$103,0)),"Amazon")</f>
        <v>Amazon</v>
      </c>
      <c r="AG50" s="10" t="s">
        <v>943</v>
      </c>
    </row>
    <row r="51" spans="1:33" x14ac:dyDescent="0.3">
      <c r="A51" s="6" t="s">
        <v>213</v>
      </c>
      <c r="B51" s="10" t="s">
        <v>214</v>
      </c>
      <c r="C51" s="10" t="s">
        <v>775</v>
      </c>
      <c r="D51" s="10" t="s">
        <v>117</v>
      </c>
      <c r="E51" s="10" t="s">
        <v>944</v>
      </c>
      <c r="F51" s="10"/>
      <c r="G51" s="6">
        <v>3</v>
      </c>
      <c r="H51" s="6" t="s">
        <v>215</v>
      </c>
      <c r="I51" s="16">
        <v>576</v>
      </c>
      <c r="J51" s="16">
        <v>395</v>
      </c>
      <c r="K51" s="10" t="s">
        <v>810</v>
      </c>
      <c r="L51" s="6" t="str">
        <f t="shared" si="3"/>
        <v>Pass</v>
      </c>
      <c r="M51" s="18" t="s">
        <v>763</v>
      </c>
      <c r="N51" s="6" t="str">
        <f>IF(I51&gt;='Selection Criteria'!$C$27,"Pass","Fail")</f>
        <v>Pass</v>
      </c>
      <c r="O51" s="18" t="s">
        <v>763</v>
      </c>
      <c r="P51" s="17" t="str">
        <f t="shared" si="4"/>
        <v>Pass</v>
      </c>
      <c r="Q51" s="17" t="str">
        <f>INDEX('Hero Segmentation'!$Q$5:$Q$71,MATCH($A51,'Hero Segmentation'!$A$5:$A$71,0))</f>
        <v>Hero</v>
      </c>
      <c r="R51" s="18">
        <v>3</v>
      </c>
      <c r="S51" s="18">
        <v>4</v>
      </c>
      <c r="T51" s="18">
        <v>2</v>
      </c>
      <c r="U51" s="18">
        <v>5</v>
      </c>
      <c r="V51" s="18">
        <v>1</v>
      </c>
      <c r="W51" s="18">
        <v>4</v>
      </c>
      <c r="X51" s="18">
        <v>3</v>
      </c>
      <c r="Y51" s="18">
        <v>4</v>
      </c>
      <c r="Z51" s="22">
        <f>IF(P51="Pass",(R51*'Selection Criteria'!$F$13+S51*'Selection Criteria'!$F$14+T51*'Selection Criteria'!$F$15+U51*'Selection Criteria'!$F$16+V51*'Selection Criteria'!$F$17+W51*'Selection Criteria'!$F$18+X51*'Selection Criteria'!$F$19+Y51*'Selection Criteria'!$F$20)/(5*'Selection Criteria'!$F$21)*100,"-")</f>
        <v>66</v>
      </c>
      <c r="AA51" s="6">
        <f t="shared" si="5"/>
        <v>47</v>
      </c>
      <c r="AB51" s="17" t="str">
        <f>IF(P51&lt;&gt;"Pass","Parked (gate)",IF(AND('Selection Criteria'!$C$65="Yes",Q51="Non-Hero"),"Tier 3",IF(Z51&gt;='Selection Criteria'!$C$25,"Tier 1",IF(Z51&gt;='Selection Criteria'!$C$26,"Tier 2","Tier 3"))))</f>
        <v>Tier 3</v>
      </c>
      <c r="AC51" s="6" t="str">
        <f>INDEX('Hero Segmentation'!$R$5:$R$71,MATCH($A51,'Hero Segmentation'!$A$5:$A$71,0))</f>
        <v>PROTECT</v>
      </c>
      <c r="AD51" s="6" t="str">
        <f>IF(AND(AB51="Tier 1",J51&gt;='Selection Criteria'!$C$28),"Yes","")</f>
        <v/>
      </c>
      <c r="AE51" s="10" t="str">
        <f>IFERROR(INDEX('Competitor Fit'!$C$5:$C$103,MATCH($A51&amp;"|Primary",'Competitor Fit'!$L$5:$L$103,0)),"Amazon")</f>
        <v>Amazon</v>
      </c>
      <c r="AF51" s="10" t="str">
        <f>IFERROR(INDEX('Competitor Fit'!$C$5:$C$103,MATCH($A51&amp;"|Secondary",'Competitor Fit'!$L$5:$L$103,0)),"Wayfair")</f>
        <v>Wayfair</v>
      </c>
      <c r="AG51" s="10" t="s">
        <v>945</v>
      </c>
    </row>
    <row r="52" spans="1:33" ht="26.4" x14ac:dyDescent="0.3">
      <c r="A52" s="6" t="s">
        <v>200</v>
      </c>
      <c r="B52" s="10" t="s">
        <v>201</v>
      </c>
      <c r="C52" s="10" t="s">
        <v>775</v>
      </c>
      <c r="D52" s="10" t="s">
        <v>109</v>
      </c>
      <c r="E52" s="10" t="s">
        <v>946</v>
      </c>
      <c r="F52" s="10"/>
      <c r="G52" s="6">
        <v>3</v>
      </c>
      <c r="H52" s="6" t="s">
        <v>202</v>
      </c>
      <c r="I52" s="16">
        <v>1008</v>
      </c>
      <c r="J52" s="16">
        <v>897</v>
      </c>
      <c r="K52" s="10" t="s">
        <v>777</v>
      </c>
      <c r="L52" s="6" t="str">
        <f t="shared" si="3"/>
        <v>Pass</v>
      </c>
      <c r="M52" s="18" t="s">
        <v>763</v>
      </c>
      <c r="N52" s="6" t="str">
        <f>IF(I52&gt;='Selection Criteria'!$C$27,"Pass","Fail")</f>
        <v>Pass</v>
      </c>
      <c r="O52" s="18" t="s">
        <v>763</v>
      </c>
      <c r="P52" s="17" t="str">
        <f t="shared" si="4"/>
        <v>Pass</v>
      </c>
      <c r="Q52" s="17" t="str">
        <f>INDEX('Hero Segmentation'!$Q$5:$Q$71,MATCH($A52,'Hero Segmentation'!$A$5:$A$71,0))</f>
        <v>Hero</v>
      </c>
      <c r="R52" s="18">
        <v>3</v>
      </c>
      <c r="S52" s="18">
        <v>3</v>
      </c>
      <c r="T52" s="18">
        <v>1</v>
      </c>
      <c r="U52" s="18">
        <v>5</v>
      </c>
      <c r="V52" s="18">
        <v>1</v>
      </c>
      <c r="W52" s="18">
        <v>5</v>
      </c>
      <c r="X52" s="18">
        <v>4</v>
      </c>
      <c r="Y52" s="18">
        <v>5</v>
      </c>
      <c r="Z52" s="22">
        <f>IF(P52="Pass",(R52*'Selection Criteria'!$F$13+S52*'Selection Criteria'!$F$14+T52*'Selection Criteria'!$F$15+U52*'Selection Criteria'!$F$16+V52*'Selection Criteria'!$F$17+W52*'Selection Criteria'!$F$18+X52*'Selection Criteria'!$F$19+Y52*'Selection Criteria'!$F$20)/(5*'Selection Criteria'!$F$21)*100,"-")</f>
        <v>65</v>
      </c>
      <c r="AA52" s="6">
        <f t="shared" si="5"/>
        <v>48</v>
      </c>
      <c r="AB52" s="17" t="str">
        <f>IF(P52&lt;&gt;"Pass","Parked (gate)",IF(AND('Selection Criteria'!$C$65="Yes",Q52="Non-Hero"),"Tier 3",IF(Z52&gt;='Selection Criteria'!$C$25,"Tier 1",IF(Z52&gt;='Selection Criteria'!$C$26,"Tier 2","Tier 3"))))</f>
        <v>Tier 3</v>
      </c>
      <c r="AC52" s="6" t="str">
        <f>INDEX('Hero Segmentation'!$R$5:$R$71,MATCH($A52,'Hero Segmentation'!$A$5:$A$71,0))</f>
        <v>PROTECT</v>
      </c>
      <c r="AD52" s="6" t="str">
        <f>IF(AND(AB52="Tier 1",J52&gt;='Selection Criteria'!$C$28),"Yes","")</f>
        <v/>
      </c>
      <c r="AE52" s="10" t="str">
        <f>IFERROR(INDEX('Competitor Fit'!$C$5:$C$103,MATCH($A52&amp;"|Primary",'Competitor Fit'!$L$5:$L$103,0)),"Wayfair")</f>
        <v>Wayfair</v>
      </c>
      <c r="AF52" s="10" t="str">
        <f>IFERROR(INDEX('Competitor Fit'!$C$5:$C$103,MATCH($A52&amp;"|Secondary",'Competitor Fit'!$L$5:$L$103,0)),"Amazon (control shelf)")</f>
        <v>Amazon (control shelf)</v>
      </c>
      <c r="AG52" s="10" t="s">
        <v>947</v>
      </c>
    </row>
    <row r="53" spans="1:33" x14ac:dyDescent="0.3">
      <c r="A53" s="6" t="s">
        <v>948</v>
      </c>
      <c r="B53" s="10" t="s">
        <v>949</v>
      </c>
      <c r="C53" s="10" t="s">
        <v>775</v>
      </c>
      <c r="D53" s="10" t="s">
        <v>950</v>
      </c>
      <c r="E53" s="10" t="s">
        <v>951</v>
      </c>
      <c r="F53" s="10"/>
      <c r="G53" s="6">
        <v>3</v>
      </c>
      <c r="H53" s="6" t="s">
        <v>952</v>
      </c>
      <c r="I53" s="16">
        <v>203</v>
      </c>
      <c r="J53" s="16">
        <v>0</v>
      </c>
      <c r="K53" s="10" t="s">
        <v>768</v>
      </c>
      <c r="L53" s="6" t="str">
        <f t="shared" si="3"/>
        <v>Pass</v>
      </c>
      <c r="M53" s="18" t="s">
        <v>763</v>
      </c>
      <c r="N53" s="6" t="str">
        <f>IF(I53&gt;='Selection Criteria'!$C$27,"Pass","Fail")</f>
        <v>Pass</v>
      </c>
      <c r="O53" s="18" t="s">
        <v>763</v>
      </c>
      <c r="P53" s="17" t="str">
        <f t="shared" si="4"/>
        <v>Pass</v>
      </c>
      <c r="Q53" s="17" t="str">
        <f>INDEX('Hero Segmentation'!$Q$5:$Q$71,MATCH($A53,'Hero Segmentation'!$A$5:$A$71,0))</f>
        <v>Non-Hero</v>
      </c>
      <c r="R53" s="18">
        <v>4</v>
      </c>
      <c r="S53" s="18">
        <v>5</v>
      </c>
      <c r="T53" s="18">
        <v>4</v>
      </c>
      <c r="U53" s="18">
        <v>3</v>
      </c>
      <c r="V53" s="18">
        <v>1</v>
      </c>
      <c r="W53" s="18">
        <v>2</v>
      </c>
      <c r="X53" s="18">
        <v>2</v>
      </c>
      <c r="Y53" s="18">
        <v>2</v>
      </c>
      <c r="Z53" s="22">
        <f>IF(P53="Pass",(R53*'Selection Criteria'!$F$13+S53*'Selection Criteria'!$F$14+T53*'Selection Criteria'!$F$15+U53*'Selection Criteria'!$F$16+V53*'Selection Criteria'!$F$17+W53*'Selection Criteria'!$F$18+X53*'Selection Criteria'!$F$19+Y53*'Selection Criteria'!$F$20)/(5*'Selection Criteria'!$F$21)*100,"-")</f>
        <v>64</v>
      </c>
      <c r="AA53" s="6">
        <f t="shared" si="5"/>
        <v>49</v>
      </c>
      <c r="AB53" s="17" t="str">
        <f>IF(P53&lt;&gt;"Pass","Parked (gate)",IF(AND('Selection Criteria'!$C$65="Yes",Q53="Non-Hero"),"Tier 3",IF(Z53&gt;='Selection Criteria'!$C$25,"Tier 1",IF(Z53&gt;='Selection Criteria'!$C$26,"Tier 2","Tier 3"))))</f>
        <v>Tier 3</v>
      </c>
      <c r="AC53" s="6" t="str">
        <f>INDEX('Hero Segmentation'!$R$5:$R$71,MATCH($A53,'Hero Segmentation'!$A$5:$A$71,0))</f>
        <v>HOLD</v>
      </c>
      <c r="AD53" s="6" t="str">
        <f>IF(AND(AB53="Tier 1",J53&gt;='Selection Criteria'!$C$28),"Yes","")</f>
        <v/>
      </c>
      <c r="AE53" s="10" t="str">
        <f>IFERROR(INDEX('Competitor Fit'!$C$5:$C$103,MATCH($A53&amp;"|Primary",'Competitor Fit'!$L$5:$L$103,0)),"Wayfair")</f>
        <v>Wayfair</v>
      </c>
      <c r="AF53" s="10" t="str">
        <f>IFERROR(INDEX('Competitor Fit'!$C$5:$C$103,MATCH($A53&amp;"|Secondary",'Competitor Fit'!$L$5:$L$103,0)),"Target")</f>
        <v>Target</v>
      </c>
      <c r="AG53" s="10" t="s">
        <v>953</v>
      </c>
    </row>
    <row r="54" spans="1:33" ht="26.4" x14ac:dyDescent="0.3">
      <c r="A54" s="6" t="s">
        <v>291</v>
      </c>
      <c r="B54" s="10" t="s">
        <v>292</v>
      </c>
      <c r="C54" s="10" t="s">
        <v>824</v>
      </c>
      <c r="D54" s="10" t="s">
        <v>954</v>
      </c>
      <c r="E54" s="10" t="s">
        <v>955</v>
      </c>
      <c r="F54" s="10"/>
      <c r="G54" s="6">
        <v>3</v>
      </c>
      <c r="H54" s="6" t="s">
        <v>293</v>
      </c>
      <c r="I54" s="16">
        <v>66</v>
      </c>
      <c r="J54" s="16">
        <v>63</v>
      </c>
      <c r="K54" s="10" t="s">
        <v>762</v>
      </c>
      <c r="L54" s="6" t="str">
        <f t="shared" si="3"/>
        <v>Pass</v>
      </c>
      <c r="M54" s="18" t="s">
        <v>763</v>
      </c>
      <c r="N54" s="6" t="str">
        <f>IF(I54&gt;='Selection Criteria'!$C$27,"Pass","Fail")</f>
        <v>Pass</v>
      </c>
      <c r="O54" s="18" t="s">
        <v>763</v>
      </c>
      <c r="P54" s="17" t="str">
        <f t="shared" si="4"/>
        <v>Pass</v>
      </c>
      <c r="Q54" s="17" t="str">
        <f>INDEX('Hero Segmentation'!$Q$5:$Q$71,MATCH($A54,'Hero Segmentation'!$A$5:$A$71,0))</f>
        <v>Non-Hero</v>
      </c>
      <c r="R54" s="18">
        <v>3</v>
      </c>
      <c r="S54" s="18">
        <v>4</v>
      </c>
      <c r="T54" s="18">
        <v>4</v>
      </c>
      <c r="U54" s="18">
        <v>3</v>
      </c>
      <c r="V54" s="18">
        <v>3</v>
      </c>
      <c r="W54" s="18">
        <v>2</v>
      </c>
      <c r="X54" s="18">
        <v>2</v>
      </c>
      <c r="Y54" s="18">
        <v>3</v>
      </c>
      <c r="Z54" s="22">
        <f>IF(P54="Pass",(R54*'Selection Criteria'!$F$13+S54*'Selection Criteria'!$F$14+T54*'Selection Criteria'!$F$15+U54*'Selection Criteria'!$F$16+V54*'Selection Criteria'!$F$17+W54*'Selection Criteria'!$F$18+X54*'Selection Criteria'!$F$19+Y54*'Selection Criteria'!$F$20)/(5*'Selection Criteria'!$F$21)*100,"-")</f>
        <v>63</v>
      </c>
      <c r="AA54" s="6">
        <f t="shared" si="5"/>
        <v>50</v>
      </c>
      <c r="AB54" s="17" t="str">
        <f>IF(P54&lt;&gt;"Pass","Parked (gate)",IF(AND('Selection Criteria'!$C$65="Yes",Q54="Non-Hero"),"Tier 3",IF(Z54&gt;='Selection Criteria'!$C$25,"Tier 1",IF(Z54&gt;='Selection Criteria'!$C$26,"Tier 2","Tier 3"))))</f>
        <v>Tier 3</v>
      </c>
      <c r="AC54" s="6" t="str">
        <f>INDEX('Hero Segmentation'!$R$5:$R$71,MATCH($A54,'Hero Segmentation'!$A$5:$A$71,0))</f>
        <v>HOLD</v>
      </c>
      <c r="AD54" s="6" t="str">
        <f>IF(AND(AB54="Tier 1",J54&gt;='Selection Criteria'!$C$28),"Yes","")</f>
        <v/>
      </c>
      <c r="AE54" s="10" t="str">
        <f>IFERROR(INDEX('Competitor Fit'!$C$5:$C$103,MATCH($A54&amp;"|Primary",'Competitor Fit'!$L$5:$L$103,0)),"Michaels")</f>
        <v>Michaels</v>
      </c>
      <c r="AF54" s="10" t="str">
        <f>IFERROR(INDEX('Competitor Fit'!$C$5:$C$103,MATCH($A54&amp;"|Secondary",'Competitor Fit'!$L$5:$L$103,0)),"Container Store")</f>
        <v>Container Store</v>
      </c>
      <c r="AG54" s="10" t="s">
        <v>956</v>
      </c>
    </row>
    <row r="55" spans="1:33" ht="26.4" x14ac:dyDescent="0.3">
      <c r="A55" s="6" t="s">
        <v>957</v>
      </c>
      <c r="B55" s="10" t="s">
        <v>958</v>
      </c>
      <c r="C55" s="10" t="s">
        <v>775</v>
      </c>
      <c r="D55" s="10" t="s">
        <v>959</v>
      </c>
      <c r="E55" s="10" t="s">
        <v>960</v>
      </c>
      <c r="F55" s="10"/>
      <c r="G55" s="6">
        <v>3</v>
      </c>
      <c r="H55" s="6" t="s">
        <v>961</v>
      </c>
      <c r="I55" s="16">
        <v>126</v>
      </c>
      <c r="J55" s="16">
        <v>0</v>
      </c>
      <c r="K55" s="10" t="s">
        <v>768</v>
      </c>
      <c r="L55" s="6" t="str">
        <f t="shared" si="3"/>
        <v>Pass</v>
      </c>
      <c r="M55" s="18" t="s">
        <v>763</v>
      </c>
      <c r="N55" s="6" t="str">
        <f>IF(I55&gt;='Selection Criteria'!$C$27,"Pass","Fail")</f>
        <v>Pass</v>
      </c>
      <c r="O55" s="18" t="s">
        <v>763</v>
      </c>
      <c r="P55" s="17" t="str">
        <f t="shared" si="4"/>
        <v>Pass</v>
      </c>
      <c r="Q55" s="17" t="str">
        <f>INDEX('Hero Segmentation'!$Q$5:$Q$71,MATCH($A55,'Hero Segmentation'!$A$5:$A$71,0))</f>
        <v>Non-Hero</v>
      </c>
      <c r="R55" s="18">
        <v>4</v>
      </c>
      <c r="S55" s="18">
        <v>4</v>
      </c>
      <c r="T55" s="18">
        <v>4</v>
      </c>
      <c r="U55" s="18">
        <v>3</v>
      </c>
      <c r="V55" s="18">
        <v>2</v>
      </c>
      <c r="W55" s="18">
        <v>2</v>
      </c>
      <c r="X55" s="18">
        <v>2</v>
      </c>
      <c r="Y55" s="18">
        <v>2</v>
      </c>
      <c r="Z55" s="22">
        <f>IF(P55="Pass",(R55*'Selection Criteria'!$F$13+S55*'Selection Criteria'!$F$14+T55*'Selection Criteria'!$F$15+U55*'Selection Criteria'!$F$16+V55*'Selection Criteria'!$F$17+W55*'Selection Criteria'!$F$18+X55*'Selection Criteria'!$F$19+Y55*'Selection Criteria'!$F$20)/(5*'Selection Criteria'!$F$21)*100,"-")</f>
        <v>63</v>
      </c>
      <c r="AA55" s="6">
        <f t="shared" si="5"/>
        <v>50</v>
      </c>
      <c r="AB55" s="17" t="str">
        <f>IF(P55&lt;&gt;"Pass","Parked (gate)",IF(AND('Selection Criteria'!$C$65="Yes",Q55="Non-Hero"),"Tier 3",IF(Z55&gt;='Selection Criteria'!$C$25,"Tier 1",IF(Z55&gt;='Selection Criteria'!$C$26,"Tier 2","Tier 3"))))</f>
        <v>Tier 3</v>
      </c>
      <c r="AC55" s="6" t="str">
        <f>INDEX('Hero Segmentation'!$R$5:$R$71,MATCH($A55,'Hero Segmentation'!$A$5:$A$71,0))</f>
        <v>HOLD</v>
      </c>
      <c r="AD55" s="6" t="str">
        <f>IF(AND(AB55="Tier 1",J55&gt;='Selection Criteria'!$C$28),"Yes","")</f>
        <v/>
      </c>
      <c r="AE55" s="10" t="str">
        <f>IFERROR(INDEX('Competitor Fit'!$C$5:$C$103,MATCH($A55&amp;"|Primary",'Competitor Fit'!$L$5:$L$103,0)),"Wayfair")</f>
        <v>Wayfair</v>
      </c>
      <c r="AF55" s="10" t="str">
        <f>IFERROR(INDEX('Competitor Fit'!$C$5:$C$103,MATCH($A55&amp;"|Secondary",'Competitor Fit'!$L$5:$L$103,0)),"Amazon")</f>
        <v>Amazon</v>
      </c>
      <c r="AG55" s="10" t="s">
        <v>962</v>
      </c>
    </row>
    <row r="56" spans="1:33" x14ac:dyDescent="0.3">
      <c r="A56" s="6" t="s">
        <v>963</v>
      </c>
      <c r="B56" s="10" t="s">
        <v>964</v>
      </c>
      <c r="C56" s="10" t="s">
        <v>965</v>
      </c>
      <c r="D56" s="10" t="s">
        <v>966</v>
      </c>
      <c r="E56" s="10" t="s">
        <v>967</v>
      </c>
      <c r="F56" s="10"/>
      <c r="G56" s="6">
        <v>3</v>
      </c>
      <c r="H56" s="6" t="s">
        <v>968</v>
      </c>
      <c r="I56" s="16">
        <v>639</v>
      </c>
      <c r="J56" s="16">
        <v>0</v>
      </c>
      <c r="K56" s="10" t="s">
        <v>768</v>
      </c>
      <c r="L56" s="6" t="str">
        <f t="shared" si="3"/>
        <v>Pass</v>
      </c>
      <c r="M56" s="18" t="s">
        <v>763</v>
      </c>
      <c r="N56" s="6" t="str">
        <f>IF(I56&gt;='Selection Criteria'!$C$27,"Pass","Fail")</f>
        <v>Pass</v>
      </c>
      <c r="O56" s="18" t="s">
        <v>763</v>
      </c>
      <c r="P56" s="17" t="str">
        <f t="shared" si="4"/>
        <v>Pass</v>
      </c>
      <c r="Q56" s="17" t="str">
        <f>INDEX('Hero Segmentation'!$Q$5:$Q$71,MATCH($A56,'Hero Segmentation'!$A$5:$A$71,0))</f>
        <v>Hero</v>
      </c>
      <c r="R56" s="18">
        <v>3</v>
      </c>
      <c r="S56" s="18">
        <v>4</v>
      </c>
      <c r="T56" s="18">
        <v>3</v>
      </c>
      <c r="U56" s="18">
        <v>4</v>
      </c>
      <c r="V56" s="18">
        <v>3</v>
      </c>
      <c r="W56" s="18">
        <v>2</v>
      </c>
      <c r="X56" s="18">
        <v>2</v>
      </c>
      <c r="Y56" s="18">
        <v>3</v>
      </c>
      <c r="Z56" s="22">
        <f>IF(P56="Pass",(R56*'Selection Criteria'!$F$13+S56*'Selection Criteria'!$F$14+T56*'Selection Criteria'!$F$15+U56*'Selection Criteria'!$F$16+V56*'Selection Criteria'!$F$17+W56*'Selection Criteria'!$F$18+X56*'Selection Criteria'!$F$19+Y56*'Selection Criteria'!$F$20)/(5*'Selection Criteria'!$F$21)*100,"-")</f>
        <v>63</v>
      </c>
      <c r="AA56" s="6">
        <f t="shared" si="5"/>
        <v>50</v>
      </c>
      <c r="AB56" s="17" t="str">
        <f>IF(P56&lt;&gt;"Pass","Parked (gate)",IF(AND('Selection Criteria'!$C$65="Yes",Q56="Non-Hero"),"Tier 3",IF(Z56&gt;='Selection Criteria'!$C$25,"Tier 1",IF(Z56&gt;='Selection Criteria'!$C$26,"Tier 2","Tier 3"))))</f>
        <v>Tier 3</v>
      </c>
      <c r="AC56" s="6" t="str">
        <f>INDEX('Hero Segmentation'!$R$5:$R$71,MATCH($A56,'Hero Segmentation'!$A$5:$A$71,0))</f>
        <v>EXTEND</v>
      </c>
      <c r="AD56" s="6" t="str">
        <f>IF(AND(AB56="Tier 1",J56&gt;='Selection Criteria'!$C$28),"Yes","")</f>
        <v/>
      </c>
      <c r="AE56" s="10" t="str">
        <f>IFERROR(INDEX('Competitor Fit'!$C$5:$C$103,MATCH($A56&amp;"|Primary",'Competitor Fit'!$L$5:$L$103,0)),"Wayfair")</f>
        <v>Wayfair</v>
      </c>
      <c r="AF56" s="10" t="str">
        <f>IFERROR(INDEX('Competitor Fit'!$C$5:$C$103,MATCH($A56&amp;"|Secondary",'Competitor Fit'!$L$5:$L$103,0)),"Amazon")</f>
        <v>Amazon</v>
      </c>
      <c r="AG56" s="10" t="s">
        <v>969</v>
      </c>
    </row>
    <row r="57" spans="1:33" ht="26.4" x14ac:dyDescent="0.3">
      <c r="A57" s="6" t="s">
        <v>970</v>
      </c>
      <c r="B57" s="10" t="s">
        <v>971</v>
      </c>
      <c r="C57" s="10" t="s">
        <v>770</v>
      </c>
      <c r="D57" s="10" t="s">
        <v>935</v>
      </c>
      <c r="E57" s="10" t="s">
        <v>972</v>
      </c>
      <c r="F57" s="10"/>
      <c r="G57" s="6">
        <v>3</v>
      </c>
      <c r="H57" s="6" t="s">
        <v>973</v>
      </c>
      <c r="I57" s="16">
        <v>139</v>
      </c>
      <c r="J57" s="16">
        <v>0</v>
      </c>
      <c r="K57" s="10" t="s">
        <v>768</v>
      </c>
      <c r="L57" s="6" t="str">
        <f t="shared" si="3"/>
        <v>Pass</v>
      </c>
      <c r="M57" s="18" t="s">
        <v>763</v>
      </c>
      <c r="N57" s="6" t="str">
        <f>IF(I57&gt;='Selection Criteria'!$C$27,"Pass","Fail")</f>
        <v>Pass</v>
      </c>
      <c r="O57" s="18" t="s">
        <v>763</v>
      </c>
      <c r="P57" s="17" t="str">
        <f t="shared" si="4"/>
        <v>Pass</v>
      </c>
      <c r="Q57" s="17" t="str">
        <f>INDEX('Hero Segmentation'!$Q$5:$Q$71,MATCH($A57,'Hero Segmentation'!$A$5:$A$71,0))</f>
        <v>Probable Hero</v>
      </c>
      <c r="R57" s="18">
        <v>4</v>
      </c>
      <c r="S57" s="18">
        <v>4</v>
      </c>
      <c r="T57" s="18">
        <v>3</v>
      </c>
      <c r="U57" s="18">
        <v>3</v>
      </c>
      <c r="V57" s="18">
        <v>3</v>
      </c>
      <c r="W57" s="18">
        <v>2</v>
      </c>
      <c r="X57" s="18">
        <v>2</v>
      </c>
      <c r="Y57" s="18">
        <v>2</v>
      </c>
      <c r="Z57" s="22">
        <f>IF(P57="Pass",(R57*'Selection Criteria'!$F$13+S57*'Selection Criteria'!$F$14+T57*'Selection Criteria'!$F$15+U57*'Selection Criteria'!$F$16+V57*'Selection Criteria'!$F$17+W57*'Selection Criteria'!$F$18+X57*'Selection Criteria'!$F$19+Y57*'Selection Criteria'!$F$20)/(5*'Selection Criteria'!$F$21)*100,"-")</f>
        <v>62</v>
      </c>
      <c r="AA57" s="6">
        <f t="shared" si="5"/>
        <v>53</v>
      </c>
      <c r="AB57" s="17" t="str">
        <f>IF(P57&lt;&gt;"Pass","Parked (gate)",IF(AND('Selection Criteria'!$C$65="Yes",Q57="Non-Hero"),"Tier 3",IF(Z57&gt;='Selection Criteria'!$C$25,"Tier 1",IF(Z57&gt;='Selection Criteria'!$C$26,"Tier 2","Tier 3"))))</f>
        <v>Tier 3</v>
      </c>
      <c r="AC57" s="6" t="str">
        <f>INDEX('Hero Segmentation'!$R$5:$R$71,MATCH($A57,'Hero Segmentation'!$A$5:$A$71,0))</f>
        <v>BUILD</v>
      </c>
      <c r="AD57" s="6" t="str">
        <f>IF(AND(AB57="Tier 1",J57&gt;='Selection Criteria'!$C$28),"Yes","")</f>
        <v/>
      </c>
      <c r="AE57" s="10" t="str">
        <f>IFERROR(INDEX('Competitor Fit'!$C$5:$C$103,MATCH($A57&amp;"|Primary",'Competitor Fit'!$L$5:$L$103,0)),"Target")</f>
        <v>Target</v>
      </c>
      <c r="AF57" s="10" t="str">
        <f>IFERROR(INDEX('Competitor Fit'!$C$5:$C$103,MATCH($A57&amp;"|Secondary",'Competitor Fit'!$L$5:$L$103,0)),"Best Buy")</f>
        <v>Best Buy</v>
      </c>
      <c r="AG57" s="10" t="s">
        <v>974</v>
      </c>
    </row>
    <row r="58" spans="1:33" x14ac:dyDescent="0.3">
      <c r="A58" s="6" t="s">
        <v>975</v>
      </c>
      <c r="B58" s="10" t="s">
        <v>976</v>
      </c>
      <c r="C58" s="10" t="s">
        <v>775</v>
      </c>
      <c r="D58" s="10" t="s">
        <v>834</v>
      </c>
      <c r="E58" s="10" t="s">
        <v>977</v>
      </c>
      <c r="F58" s="10"/>
      <c r="G58" s="6">
        <v>3</v>
      </c>
      <c r="H58" s="6" t="s">
        <v>978</v>
      </c>
      <c r="I58" s="16">
        <v>745</v>
      </c>
      <c r="J58" s="16">
        <v>0</v>
      </c>
      <c r="K58" s="10" t="s">
        <v>768</v>
      </c>
      <c r="L58" s="6" t="str">
        <f t="shared" si="3"/>
        <v>Pass</v>
      </c>
      <c r="M58" s="18" t="s">
        <v>763</v>
      </c>
      <c r="N58" s="6" t="str">
        <f>IF(I58&gt;='Selection Criteria'!$C$27,"Pass","Fail")</f>
        <v>Pass</v>
      </c>
      <c r="O58" s="18" t="s">
        <v>763</v>
      </c>
      <c r="P58" s="17" t="str">
        <f t="shared" si="4"/>
        <v>Pass</v>
      </c>
      <c r="Q58" s="17" t="str">
        <f>INDEX('Hero Segmentation'!$Q$5:$Q$71,MATCH($A58,'Hero Segmentation'!$A$5:$A$71,0))</f>
        <v>Hero</v>
      </c>
      <c r="R58" s="18">
        <v>3</v>
      </c>
      <c r="S58" s="18">
        <v>3</v>
      </c>
      <c r="T58" s="18">
        <v>2</v>
      </c>
      <c r="U58" s="18">
        <v>5</v>
      </c>
      <c r="V58" s="18">
        <v>3</v>
      </c>
      <c r="W58" s="18">
        <v>3</v>
      </c>
      <c r="X58" s="18">
        <v>3</v>
      </c>
      <c r="Y58" s="18">
        <v>2</v>
      </c>
      <c r="Z58" s="22">
        <f>IF(P58="Pass",(R58*'Selection Criteria'!$F$13+S58*'Selection Criteria'!$F$14+T58*'Selection Criteria'!$F$15+U58*'Selection Criteria'!$F$16+V58*'Selection Criteria'!$F$17+W58*'Selection Criteria'!$F$18+X58*'Selection Criteria'!$F$19+Y58*'Selection Criteria'!$F$20)/(5*'Selection Criteria'!$F$21)*100,"-")</f>
        <v>61</v>
      </c>
      <c r="AA58" s="6">
        <f t="shared" si="5"/>
        <v>54</v>
      </c>
      <c r="AB58" s="17" t="str">
        <f>IF(P58&lt;&gt;"Pass","Parked (gate)",IF(AND('Selection Criteria'!$C$65="Yes",Q58="Non-Hero"),"Tier 3",IF(Z58&gt;='Selection Criteria'!$C$25,"Tier 1",IF(Z58&gt;='Selection Criteria'!$C$26,"Tier 2","Tier 3"))))</f>
        <v>Tier 3</v>
      </c>
      <c r="AC58" s="6" t="str">
        <f>INDEX('Hero Segmentation'!$R$5:$R$71,MATCH($A58,'Hero Segmentation'!$A$5:$A$71,0))</f>
        <v>PROTECT</v>
      </c>
      <c r="AD58" s="6" t="str">
        <f>IF(AND(AB58="Tier 1",J58&gt;='Selection Criteria'!$C$28),"Yes","")</f>
        <v/>
      </c>
      <c r="AE58" s="10" t="str">
        <f>IFERROR(INDEX('Competitor Fit'!$C$5:$C$103,MATCH($A58&amp;"|Primary",'Competitor Fit'!$L$5:$L$103,0)),"Amazon")</f>
        <v>Amazon</v>
      </c>
      <c r="AF58" s="10" t="str">
        <f>IFERROR(INDEX('Competitor Fit'!$C$5:$C$103,MATCH($A58&amp;"|Secondary",'Competitor Fit'!$L$5:$L$103,0)),"Wayfair")</f>
        <v>Wayfair</v>
      </c>
      <c r="AG58" s="10" t="s">
        <v>979</v>
      </c>
    </row>
    <row r="59" spans="1:33" x14ac:dyDescent="0.3">
      <c r="A59" s="6" t="s">
        <v>204</v>
      </c>
      <c r="B59" s="10" t="s">
        <v>205</v>
      </c>
      <c r="C59" s="10" t="s">
        <v>775</v>
      </c>
      <c r="D59" s="10" t="s">
        <v>109</v>
      </c>
      <c r="E59" s="10" t="s">
        <v>980</v>
      </c>
      <c r="F59" s="10"/>
      <c r="G59" s="6">
        <v>3</v>
      </c>
      <c r="H59" s="6" t="s">
        <v>206</v>
      </c>
      <c r="I59" s="16">
        <v>147</v>
      </c>
      <c r="J59" s="16">
        <v>120</v>
      </c>
      <c r="K59" s="10" t="s">
        <v>777</v>
      </c>
      <c r="L59" s="6" t="str">
        <f t="shared" si="3"/>
        <v>Pass</v>
      </c>
      <c r="M59" s="18" t="s">
        <v>763</v>
      </c>
      <c r="N59" s="6" t="str">
        <f>IF(I59&gt;='Selection Criteria'!$C$27,"Pass","Fail")</f>
        <v>Pass</v>
      </c>
      <c r="O59" s="18" t="s">
        <v>763</v>
      </c>
      <c r="P59" s="17" t="str">
        <f t="shared" si="4"/>
        <v>Pass</v>
      </c>
      <c r="Q59" s="17" t="str">
        <f>INDEX('Hero Segmentation'!$Q$5:$Q$71,MATCH($A59,'Hero Segmentation'!$A$5:$A$71,0))</f>
        <v>Non-Hero</v>
      </c>
      <c r="R59" s="18">
        <v>3</v>
      </c>
      <c r="S59" s="18">
        <v>3</v>
      </c>
      <c r="T59" s="18">
        <v>3</v>
      </c>
      <c r="U59" s="18">
        <v>3</v>
      </c>
      <c r="V59" s="18">
        <v>2</v>
      </c>
      <c r="W59" s="18">
        <v>2</v>
      </c>
      <c r="X59" s="18">
        <v>4</v>
      </c>
      <c r="Y59" s="18">
        <v>4</v>
      </c>
      <c r="Z59" s="22">
        <f>IF(P59="Pass",(R59*'Selection Criteria'!$F$13+S59*'Selection Criteria'!$F$14+T59*'Selection Criteria'!$F$15+U59*'Selection Criteria'!$F$16+V59*'Selection Criteria'!$F$17+W59*'Selection Criteria'!$F$18+X59*'Selection Criteria'!$F$19+Y59*'Selection Criteria'!$F$20)/(5*'Selection Criteria'!$F$21)*100,"-")</f>
        <v>59</v>
      </c>
      <c r="AA59" s="6">
        <f t="shared" si="5"/>
        <v>55</v>
      </c>
      <c r="AB59" s="17" t="str">
        <f>IF(P59&lt;&gt;"Pass","Parked (gate)",IF(AND('Selection Criteria'!$C$65="Yes",Q59="Non-Hero"),"Tier 3",IF(Z59&gt;='Selection Criteria'!$C$25,"Tier 1",IF(Z59&gt;='Selection Criteria'!$C$26,"Tier 2","Tier 3"))))</f>
        <v>Tier 3</v>
      </c>
      <c r="AC59" s="6" t="str">
        <f>INDEX('Hero Segmentation'!$R$5:$R$71,MATCH($A59,'Hero Segmentation'!$A$5:$A$71,0))</f>
        <v>HOLD</v>
      </c>
      <c r="AD59" s="6" t="str">
        <f>IF(AND(AB59="Tier 1",J59&gt;='Selection Criteria'!$C$28),"Yes","")</f>
        <v/>
      </c>
      <c r="AE59" s="10" t="str">
        <f>IFERROR(INDEX('Competitor Fit'!$C$5:$C$103,MATCH($A59&amp;"|Primary",'Competitor Fit'!$L$5:$L$103,0)),"Wayfair")</f>
        <v>Wayfair</v>
      </c>
      <c r="AF59" s="10" t="str">
        <f>IFERROR(INDEX('Competitor Fit'!$C$5:$C$103,MATCH($A59&amp;"|Secondary",'Competitor Fit'!$L$5:$L$103,0)),"Target")</f>
        <v>Target</v>
      </c>
      <c r="AG59" s="10" t="s">
        <v>981</v>
      </c>
    </row>
    <row r="60" spans="1:33" x14ac:dyDescent="0.3">
      <c r="A60" s="6" t="s">
        <v>982</v>
      </c>
      <c r="B60" s="10" t="s">
        <v>983</v>
      </c>
      <c r="C60" s="10" t="s">
        <v>965</v>
      </c>
      <c r="D60" s="10" t="s">
        <v>984</v>
      </c>
      <c r="E60" s="10" t="s">
        <v>985</v>
      </c>
      <c r="F60" s="10"/>
      <c r="G60" s="6">
        <v>3</v>
      </c>
      <c r="H60" s="6" t="s">
        <v>986</v>
      </c>
      <c r="I60" s="16">
        <v>91</v>
      </c>
      <c r="J60" s="16">
        <v>0</v>
      </c>
      <c r="K60" s="10" t="s">
        <v>768</v>
      </c>
      <c r="L60" s="6" t="str">
        <f t="shared" si="3"/>
        <v>Pass</v>
      </c>
      <c r="M60" s="18" t="s">
        <v>763</v>
      </c>
      <c r="N60" s="6" t="str">
        <f>IF(I60&gt;='Selection Criteria'!$C$27,"Pass","Fail")</f>
        <v>Pass</v>
      </c>
      <c r="O60" s="18" t="s">
        <v>763</v>
      </c>
      <c r="P60" s="17" t="str">
        <f t="shared" si="4"/>
        <v>Pass</v>
      </c>
      <c r="Q60" s="17" t="str">
        <f>INDEX('Hero Segmentation'!$Q$5:$Q$71,MATCH($A60,'Hero Segmentation'!$A$5:$A$71,0))</f>
        <v>Non-Hero</v>
      </c>
      <c r="R60" s="18">
        <v>3</v>
      </c>
      <c r="S60" s="18">
        <v>3</v>
      </c>
      <c r="T60" s="18">
        <v>3</v>
      </c>
      <c r="U60" s="18">
        <v>3</v>
      </c>
      <c r="V60" s="18">
        <v>2</v>
      </c>
      <c r="W60" s="18">
        <v>2</v>
      </c>
      <c r="X60" s="18">
        <v>2</v>
      </c>
      <c r="Y60" s="18">
        <v>2</v>
      </c>
      <c r="Z60" s="22">
        <f>IF(P60="Pass",(R60*'Selection Criteria'!$F$13+S60*'Selection Criteria'!$F$14+T60*'Selection Criteria'!$F$15+U60*'Selection Criteria'!$F$16+V60*'Selection Criteria'!$F$17+W60*'Selection Criteria'!$F$18+X60*'Selection Criteria'!$F$19+Y60*'Selection Criteria'!$F$20)/(5*'Selection Criteria'!$F$21)*100,"-")</f>
        <v>53</v>
      </c>
      <c r="AA60" s="6">
        <f t="shared" si="5"/>
        <v>56</v>
      </c>
      <c r="AB60" s="17" t="str">
        <f>IF(P60&lt;&gt;"Pass","Parked (gate)",IF(AND('Selection Criteria'!$C$65="Yes",Q60="Non-Hero"),"Tier 3",IF(Z60&gt;='Selection Criteria'!$C$25,"Tier 1",IF(Z60&gt;='Selection Criteria'!$C$26,"Tier 2","Tier 3"))))</f>
        <v>Tier 3</v>
      </c>
      <c r="AC60" s="6" t="str">
        <f>INDEX('Hero Segmentation'!$R$5:$R$71,MATCH($A60,'Hero Segmentation'!$A$5:$A$71,0))</f>
        <v>HOLD</v>
      </c>
      <c r="AD60" s="6" t="str">
        <f>IF(AND(AB60="Tier 1",J60&gt;='Selection Criteria'!$C$28),"Yes","")</f>
        <v/>
      </c>
      <c r="AE60" s="10" t="str">
        <f>IFERROR(INDEX('Competitor Fit'!$C$5:$C$103,MATCH($A60&amp;"|Primary",'Competitor Fit'!$L$5:$L$103,0)),"Best Buy")</f>
        <v>Best Buy</v>
      </c>
      <c r="AF60" s="10" t="str">
        <f>IFERROR(INDEX('Competitor Fit'!$C$5:$C$103,MATCH($A60&amp;"|Secondary",'Competitor Fit'!$L$5:$L$103,0)),"Target")</f>
        <v>Target</v>
      </c>
      <c r="AG60" s="10" t="s">
        <v>987</v>
      </c>
    </row>
    <row r="61" spans="1:33" ht="26.4" x14ac:dyDescent="0.3">
      <c r="A61" s="6" t="s">
        <v>216</v>
      </c>
      <c r="B61" s="10" t="s">
        <v>217</v>
      </c>
      <c r="C61" s="10" t="s">
        <v>775</v>
      </c>
      <c r="D61" s="10" t="s">
        <v>117</v>
      </c>
      <c r="E61" s="10" t="s">
        <v>988</v>
      </c>
      <c r="F61" s="10" t="s">
        <v>989</v>
      </c>
      <c r="G61" s="6">
        <v>4</v>
      </c>
      <c r="H61" s="6" t="s">
        <v>218</v>
      </c>
      <c r="I61" s="16">
        <v>77</v>
      </c>
      <c r="J61" s="16">
        <v>40</v>
      </c>
      <c r="K61" s="10" t="s">
        <v>810</v>
      </c>
      <c r="L61" s="6" t="str">
        <f t="shared" si="3"/>
        <v>Pass</v>
      </c>
      <c r="M61" s="18" t="s">
        <v>763</v>
      </c>
      <c r="N61" s="6" t="str">
        <f>IF(I61&gt;='Selection Criteria'!$C$27,"Pass","Fail")</f>
        <v>Pass</v>
      </c>
      <c r="O61" s="18" t="s">
        <v>763</v>
      </c>
      <c r="P61" s="17" t="str">
        <f t="shared" si="4"/>
        <v>Pass</v>
      </c>
      <c r="Q61" s="17" t="str">
        <f>INDEX('Hero Segmentation'!$Q$5:$Q$71,MATCH($A61,'Hero Segmentation'!$A$5:$A$71,0))</f>
        <v>Non-Hero</v>
      </c>
      <c r="R61" s="18">
        <v>2</v>
      </c>
      <c r="S61" s="18">
        <v>3</v>
      </c>
      <c r="T61" s="18">
        <v>3</v>
      </c>
      <c r="U61" s="18">
        <v>4</v>
      </c>
      <c r="V61" s="18">
        <v>1</v>
      </c>
      <c r="W61" s="18">
        <v>2</v>
      </c>
      <c r="X61" s="18">
        <v>2</v>
      </c>
      <c r="Y61" s="18">
        <v>3</v>
      </c>
      <c r="Z61" s="22">
        <f>IF(P61="Pass",(R61*'Selection Criteria'!$F$13+S61*'Selection Criteria'!$F$14+T61*'Selection Criteria'!$F$15+U61*'Selection Criteria'!$F$16+V61*'Selection Criteria'!$F$17+W61*'Selection Criteria'!$F$18+X61*'Selection Criteria'!$F$19+Y61*'Selection Criteria'!$F$20)/(5*'Selection Criteria'!$F$21)*100,"-")</f>
        <v>52</v>
      </c>
      <c r="AA61" s="6">
        <f t="shared" si="5"/>
        <v>57</v>
      </c>
      <c r="AB61" s="17" t="str">
        <f>IF(P61&lt;&gt;"Pass","Parked (gate)",IF(AND('Selection Criteria'!$C$65="Yes",Q61="Non-Hero"),"Tier 3",IF(Z61&gt;='Selection Criteria'!$C$25,"Tier 1",IF(Z61&gt;='Selection Criteria'!$C$26,"Tier 2","Tier 3"))))</f>
        <v>Tier 3</v>
      </c>
      <c r="AC61" s="6" t="str">
        <f>INDEX('Hero Segmentation'!$R$5:$R$71,MATCH($A61,'Hero Segmentation'!$A$5:$A$71,0))</f>
        <v>HOLD</v>
      </c>
      <c r="AD61" s="6" t="str">
        <f>IF(AND(AB61="Tier 1",J61&gt;='Selection Criteria'!$C$28),"Yes","")</f>
        <v/>
      </c>
      <c r="AE61" s="10" t="str">
        <f>IFERROR(INDEX('Competitor Fit'!$C$5:$C$103,MATCH($A61&amp;"|Primary",'Competitor Fit'!$L$5:$L$103,0)),"Wayfair")</f>
        <v>Wayfair</v>
      </c>
      <c r="AF61" s="10" t="str">
        <f>IFERROR(INDEX('Competitor Fit'!$C$5:$C$103,MATCH($A61&amp;"|Secondary",'Competitor Fit'!$L$5:$L$103,0)),"Amazon")</f>
        <v>Amazon</v>
      </c>
      <c r="AG61" s="10" t="s">
        <v>990</v>
      </c>
    </row>
    <row r="62" spans="1:33" x14ac:dyDescent="0.3">
      <c r="A62" s="6" t="s">
        <v>207</v>
      </c>
      <c r="B62" s="10" t="s">
        <v>208</v>
      </c>
      <c r="C62" s="10" t="s">
        <v>775</v>
      </c>
      <c r="D62" s="10" t="s">
        <v>109</v>
      </c>
      <c r="E62" s="10" t="s">
        <v>991</v>
      </c>
      <c r="F62" s="10"/>
      <c r="G62" s="6">
        <v>3</v>
      </c>
      <c r="H62" s="6" t="s">
        <v>209</v>
      </c>
      <c r="I62" s="16">
        <v>87</v>
      </c>
      <c r="J62" s="16">
        <v>40</v>
      </c>
      <c r="K62" s="10" t="s">
        <v>777</v>
      </c>
      <c r="L62" s="6" t="str">
        <f t="shared" si="3"/>
        <v>Pass</v>
      </c>
      <c r="M62" s="18" t="s">
        <v>763</v>
      </c>
      <c r="N62" s="6" t="str">
        <f>IF(I62&gt;='Selection Criteria'!$C$27,"Pass","Fail")</f>
        <v>Pass</v>
      </c>
      <c r="O62" s="18" t="s">
        <v>763</v>
      </c>
      <c r="P62" s="17" t="str">
        <f t="shared" si="4"/>
        <v>Pass</v>
      </c>
      <c r="Q62" s="17" t="str">
        <f>INDEX('Hero Segmentation'!$Q$5:$Q$71,MATCH($A62,'Hero Segmentation'!$A$5:$A$71,0))</f>
        <v>Non-Hero</v>
      </c>
      <c r="R62" s="18">
        <v>3</v>
      </c>
      <c r="S62" s="18">
        <v>3</v>
      </c>
      <c r="T62" s="18">
        <v>2</v>
      </c>
      <c r="U62" s="18">
        <v>3</v>
      </c>
      <c r="V62" s="18">
        <v>1</v>
      </c>
      <c r="W62" s="18">
        <v>2</v>
      </c>
      <c r="X62" s="18">
        <v>2</v>
      </c>
      <c r="Y62" s="18">
        <v>3</v>
      </c>
      <c r="Z62" s="22">
        <f>IF(P62="Pass",(R62*'Selection Criteria'!$F$13+S62*'Selection Criteria'!$F$14+T62*'Selection Criteria'!$F$15+U62*'Selection Criteria'!$F$16+V62*'Selection Criteria'!$F$17+W62*'Selection Criteria'!$F$18+X62*'Selection Criteria'!$F$19+Y62*'Selection Criteria'!$F$20)/(5*'Selection Criteria'!$F$21)*100,"-")</f>
        <v>50</v>
      </c>
      <c r="AA62" s="6">
        <f t="shared" si="5"/>
        <v>58</v>
      </c>
      <c r="AB62" s="17" t="str">
        <f>IF(P62&lt;&gt;"Pass","Parked (gate)",IF(AND('Selection Criteria'!$C$65="Yes",Q62="Non-Hero"),"Tier 3",IF(Z62&gt;='Selection Criteria'!$C$25,"Tier 1",IF(Z62&gt;='Selection Criteria'!$C$26,"Tier 2","Tier 3"))))</f>
        <v>Tier 3</v>
      </c>
      <c r="AC62" s="6" t="str">
        <f>INDEX('Hero Segmentation'!$R$5:$R$71,MATCH($A62,'Hero Segmentation'!$A$5:$A$71,0))</f>
        <v>HOLD</v>
      </c>
      <c r="AD62" s="6" t="str">
        <f>IF(AND(AB62="Tier 1",J62&gt;='Selection Criteria'!$C$28),"Yes","")</f>
        <v/>
      </c>
      <c r="AE62" s="10" t="str">
        <f>IFERROR(INDEX('Competitor Fit'!$C$5:$C$103,MATCH($A62&amp;"|Primary",'Competitor Fit'!$L$5:$L$103,0)),"Best Buy")</f>
        <v>Best Buy</v>
      </c>
      <c r="AF62" s="10" t="str">
        <f>IFERROR(INDEX('Competitor Fit'!$C$5:$C$103,MATCH($A62&amp;"|Secondary",'Competitor Fit'!$L$5:$L$103,0)),"Amazon")</f>
        <v>Amazon</v>
      </c>
      <c r="AG62" s="10" t="s">
        <v>992</v>
      </c>
    </row>
    <row r="63" spans="1:33" ht="26.4" x14ac:dyDescent="0.3">
      <c r="A63" s="6" t="s">
        <v>227</v>
      </c>
      <c r="B63" s="10" t="s">
        <v>228</v>
      </c>
      <c r="C63" s="10" t="s">
        <v>816</v>
      </c>
      <c r="D63" s="10" t="s">
        <v>130</v>
      </c>
      <c r="E63" s="10"/>
      <c r="F63" s="10"/>
      <c r="G63" s="6">
        <v>2</v>
      </c>
      <c r="H63" s="6" t="s">
        <v>229</v>
      </c>
      <c r="I63" s="16">
        <v>804</v>
      </c>
      <c r="J63" s="16">
        <v>746</v>
      </c>
      <c r="K63" s="10" t="s">
        <v>993</v>
      </c>
      <c r="L63" s="6" t="str">
        <f t="shared" si="3"/>
        <v>Fail</v>
      </c>
      <c r="M63" s="18" t="s">
        <v>763</v>
      </c>
      <c r="N63" s="6" t="str">
        <f>IF(I63&gt;='Selection Criteria'!$C$27,"Pass","Fail")</f>
        <v>Pass</v>
      </c>
      <c r="O63" s="18" t="s">
        <v>763</v>
      </c>
      <c r="P63" s="17" t="str">
        <f t="shared" si="4"/>
        <v>Fail</v>
      </c>
      <c r="Q63" s="17" t="str">
        <f>INDEX('Hero Segmentation'!$Q$5:$Q$71,MATCH($A63,'Hero Segmentation'!$A$5:$A$71,0))</f>
        <v>Probable Hero</v>
      </c>
      <c r="R63" s="18"/>
      <c r="S63" s="18"/>
      <c r="T63" s="18"/>
      <c r="U63" s="18"/>
      <c r="V63" s="18"/>
      <c r="W63" s="18"/>
      <c r="X63" s="18"/>
      <c r="Y63" s="18"/>
      <c r="Z63" s="22" t="str">
        <f>IF(P63="Pass",(R63*'Selection Criteria'!$F$13+S63*'Selection Criteria'!$F$14+T63*'Selection Criteria'!$F$15+U63*'Selection Criteria'!$F$16+V63*'Selection Criteria'!$F$17+W63*'Selection Criteria'!$F$18+X63*'Selection Criteria'!$F$19+Y63*'Selection Criteria'!$F$20)/(5*'Selection Criteria'!$F$21)*100,"-")</f>
        <v>-</v>
      </c>
      <c r="AA63" s="6" t="str">
        <f t="shared" si="5"/>
        <v>-</v>
      </c>
      <c r="AB63" s="17" t="str">
        <f>IF(P63&lt;&gt;"Pass","Parked (gate)",IF(AND('Selection Criteria'!$C$65="Yes",Q63="Non-Hero"),"Tier 3",IF(Z63&gt;='Selection Criteria'!$C$25,"Tier 1",IF(Z63&gt;='Selection Criteria'!$C$26,"Tier 2","Tier 3"))))</f>
        <v>Parked (gate)</v>
      </c>
      <c r="AC63" s="6" t="str">
        <f>INDEX('Hero Segmentation'!$R$5:$R$71,MATCH($A63,'Hero Segmentation'!$A$5:$A$71,0))</f>
        <v>BUILD</v>
      </c>
      <c r="AD63" s="6" t="str">
        <f>IF(AND(AB63="Tier 1",J63&gt;='Selection Criteria'!$C$28),"Yes","")</f>
        <v/>
      </c>
      <c r="AE63" s="10" t="str">
        <f>IFERROR(INDEX('Competitor Fit'!$C$5:$C$103,MATCH($A63&amp;"|Primary",'Competitor Fit'!$L$5:$L$103,0)),"-")</f>
        <v>-</v>
      </c>
      <c r="AF63" s="10" t="str">
        <f>IFERROR(INDEX('Competitor Fit'!$C$5:$C$103,MATCH($A63&amp;"|Secondary",'Competitor Fit'!$L$5:$L$103,0)),"-")</f>
        <v>-</v>
      </c>
      <c r="AG63" s="10" t="s">
        <v>994</v>
      </c>
    </row>
    <row r="64" spans="1:33" ht="26.4" x14ac:dyDescent="0.3">
      <c r="A64" s="6" t="s">
        <v>995</v>
      </c>
      <c r="B64" s="10" t="s">
        <v>996</v>
      </c>
      <c r="C64" s="10" t="s">
        <v>775</v>
      </c>
      <c r="D64" s="10" t="s">
        <v>997</v>
      </c>
      <c r="E64" s="10"/>
      <c r="F64" s="10"/>
      <c r="G64" s="6">
        <v>2</v>
      </c>
      <c r="H64" s="6" t="s">
        <v>998</v>
      </c>
      <c r="I64" s="16">
        <v>308</v>
      </c>
      <c r="J64" s="16">
        <v>0</v>
      </c>
      <c r="K64" s="10" t="s">
        <v>768</v>
      </c>
      <c r="L64" s="6" t="str">
        <f t="shared" si="3"/>
        <v>Fail</v>
      </c>
      <c r="M64" s="18" t="s">
        <v>763</v>
      </c>
      <c r="N64" s="6" t="str">
        <f>IF(I64&gt;='Selection Criteria'!$C$27,"Pass","Fail")</f>
        <v>Pass</v>
      </c>
      <c r="O64" s="18" t="s">
        <v>763</v>
      </c>
      <c r="P64" s="17" t="str">
        <f t="shared" si="4"/>
        <v>Fail</v>
      </c>
      <c r="Q64" s="17" t="str">
        <f>INDEX('Hero Segmentation'!$Q$5:$Q$71,MATCH($A64,'Hero Segmentation'!$A$5:$A$71,0))</f>
        <v>Hero</v>
      </c>
      <c r="R64" s="18"/>
      <c r="S64" s="18"/>
      <c r="T64" s="18"/>
      <c r="U64" s="18"/>
      <c r="V64" s="18"/>
      <c r="W64" s="18"/>
      <c r="X64" s="18"/>
      <c r="Y64" s="18"/>
      <c r="Z64" s="22" t="str">
        <f>IF(P64="Pass",(R64*'Selection Criteria'!$F$13+S64*'Selection Criteria'!$F$14+T64*'Selection Criteria'!$F$15+U64*'Selection Criteria'!$F$16+V64*'Selection Criteria'!$F$17+W64*'Selection Criteria'!$F$18+X64*'Selection Criteria'!$F$19+Y64*'Selection Criteria'!$F$20)/(5*'Selection Criteria'!$F$21)*100,"-")</f>
        <v>-</v>
      </c>
      <c r="AA64" s="6" t="str">
        <f t="shared" si="5"/>
        <v>-</v>
      </c>
      <c r="AB64" s="17" t="str">
        <f>IF(P64&lt;&gt;"Pass","Parked (gate)",IF(AND('Selection Criteria'!$C$65="Yes",Q64="Non-Hero"),"Tier 3",IF(Z64&gt;='Selection Criteria'!$C$25,"Tier 1",IF(Z64&gt;='Selection Criteria'!$C$26,"Tier 2","Tier 3"))))</f>
        <v>Parked (gate)</v>
      </c>
      <c r="AC64" s="6" t="str">
        <f>INDEX('Hero Segmentation'!$R$5:$R$71,MATCH($A64,'Hero Segmentation'!$A$5:$A$71,0))</f>
        <v>PROTECT</v>
      </c>
      <c r="AD64" s="6" t="str">
        <f>IF(AND(AB64="Tier 1",J64&gt;='Selection Criteria'!$C$28),"Yes","")</f>
        <v/>
      </c>
      <c r="AE64" s="10" t="str">
        <f>IFERROR(INDEX('Competitor Fit'!$C$5:$C$103,MATCH($A64&amp;"|Primary",'Competitor Fit'!$L$5:$L$103,0)),"-")</f>
        <v>-</v>
      </c>
      <c r="AF64" s="10" t="str">
        <f>IFERROR(INDEX('Competitor Fit'!$C$5:$C$103,MATCH($A64&amp;"|Secondary",'Competitor Fit'!$L$5:$L$103,0)),"-")</f>
        <v>-</v>
      </c>
      <c r="AG64" s="10" t="s">
        <v>999</v>
      </c>
    </row>
    <row r="65" spans="1:33" ht="26.4" x14ac:dyDescent="0.3">
      <c r="A65" s="6" t="s">
        <v>263</v>
      </c>
      <c r="B65" s="10" t="s">
        <v>264</v>
      </c>
      <c r="C65" s="10" t="s">
        <v>759</v>
      </c>
      <c r="D65" s="10" t="s">
        <v>1000</v>
      </c>
      <c r="E65" s="10"/>
      <c r="F65" s="10"/>
      <c r="G65" s="6">
        <v>2</v>
      </c>
      <c r="H65" s="6" t="s">
        <v>265</v>
      </c>
      <c r="I65" s="16">
        <v>11493</v>
      </c>
      <c r="J65" s="16">
        <v>9862</v>
      </c>
      <c r="K65" s="10" t="s">
        <v>848</v>
      </c>
      <c r="L65" s="6" t="str">
        <f t="shared" si="3"/>
        <v>Fail</v>
      </c>
      <c r="M65" s="18" t="s">
        <v>763</v>
      </c>
      <c r="N65" s="6" t="str">
        <f>IF(I65&gt;='Selection Criteria'!$C$27,"Pass","Fail")</f>
        <v>Pass</v>
      </c>
      <c r="O65" s="18" t="s">
        <v>763</v>
      </c>
      <c r="P65" s="17" t="str">
        <f t="shared" si="4"/>
        <v>Fail</v>
      </c>
      <c r="Q65" s="17" t="str">
        <f>INDEX('Hero Segmentation'!$Q$5:$Q$71,MATCH($A65,'Hero Segmentation'!$A$5:$A$71,0))</f>
        <v>Hero</v>
      </c>
      <c r="R65" s="18"/>
      <c r="S65" s="18"/>
      <c r="T65" s="18"/>
      <c r="U65" s="18"/>
      <c r="V65" s="18"/>
      <c r="W65" s="18"/>
      <c r="X65" s="18"/>
      <c r="Y65" s="18"/>
      <c r="Z65" s="22" t="str">
        <f>IF(P65="Pass",(R65*'Selection Criteria'!$F$13+S65*'Selection Criteria'!$F$14+T65*'Selection Criteria'!$F$15+U65*'Selection Criteria'!$F$16+V65*'Selection Criteria'!$F$17+W65*'Selection Criteria'!$F$18+X65*'Selection Criteria'!$F$19+Y65*'Selection Criteria'!$F$20)/(5*'Selection Criteria'!$F$21)*100,"-")</f>
        <v>-</v>
      </c>
      <c r="AA65" s="6" t="str">
        <f t="shared" si="5"/>
        <v>-</v>
      </c>
      <c r="AB65" s="17" t="str">
        <f>IF(P65&lt;&gt;"Pass","Parked (gate)",IF(AND('Selection Criteria'!$C$65="Yes",Q65="Non-Hero"),"Tier 3",IF(Z65&gt;='Selection Criteria'!$C$25,"Tier 1",IF(Z65&gt;='Selection Criteria'!$C$26,"Tier 2","Tier 3"))))</f>
        <v>Parked (gate)</v>
      </c>
      <c r="AC65" s="6" t="str">
        <f>INDEX('Hero Segmentation'!$R$5:$R$71,MATCH($A65,'Hero Segmentation'!$A$5:$A$71,0))</f>
        <v>PROTECT</v>
      </c>
      <c r="AD65" s="6" t="str">
        <f>IF(AND(AB65="Tier 1",J65&gt;='Selection Criteria'!$C$28),"Yes","")</f>
        <v/>
      </c>
      <c r="AE65" s="10" t="str">
        <f>IFERROR(INDEX('Competitor Fit'!$C$5:$C$103,MATCH($A65&amp;"|Primary",'Competitor Fit'!$L$5:$L$103,0)),"-")</f>
        <v>-</v>
      </c>
      <c r="AF65" s="10" t="str">
        <f>IFERROR(INDEX('Competitor Fit'!$C$5:$C$103,MATCH($A65&amp;"|Secondary",'Competitor Fit'!$L$5:$L$103,0)),"-")</f>
        <v>-</v>
      </c>
      <c r="AG65" s="10" t="s">
        <v>1001</v>
      </c>
    </row>
    <row r="66" spans="1:33" ht="26.4" x14ac:dyDescent="0.3">
      <c r="A66" s="6" t="s">
        <v>267</v>
      </c>
      <c r="B66" s="10" t="s">
        <v>268</v>
      </c>
      <c r="C66" s="10" t="s">
        <v>1002</v>
      </c>
      <c r="D66" s="10" t="s">
        <v>1003</v>
      </c>
      <c r="E66" s="10" t="s">
        <v>1004</v>
      </c>
      <c r="F66" s="10"/>
      <c r="G66" s="6">
        <v>3</v>
      </c>
      <c r="H66" s="6" t="s">
        <v>269</v>
      </c>
      <c r="I66" s="16">
        <v>123</v>
      </c>
      <c r="J66" s="16">
        <v>0</v>
      </c>
      <c r="K66" s="10" t="s">
        <v>848</v>
      </c>
      <c r="L66" s="6" t="str">
        <f t="shared" si="3"/>
        <v>Pass</v>
      </c>
      <c r="M66" s="18" t="s">
        <v>763</v>
      </c>
      <c r="N66" s="6" t="str">
        <f>IF(I66&gt;='Selection Criteria'!$C$27,"Pass","Fail")</f>
        <v>Pass</v>
      </c>
      <c r="O66" s="18" t="s">
        <v>1005</v>
      </c>
      <c r="P66" s="17" t="str">
        <f t="shared" si="4"/>
        <v>Fail</v>
      </c>
      <c r="Q66" s="17" t="str">
        <f>INDEX('Hero Segmentation'!$Q$5:$Q$71,MATCH($A66,'Hero Segmentation'!$A$5:$A$71,0))</f>
        <v>Hero</v>
      </c>
      <c r="R66" s="18"/>
      <c r="S66" s="18"/>
      <c r="T66" s="18"/>
      <c r="U66" s="18"/>
      <c r="V66" s="18"/>
      <c r="W66" s="18"/>
      <c r="X66" s="18"/>
      <c r="Y66" s="18"/>
      <c r="Z66" s="22" t="str">
        <f>IF(P66="Pass",(R66*'Selection Criteria'!$F$13+S66*'Selection Criteria'!$F$14+T66*'Selection Criteria'!$F$15+U66*'Selection Criteria'!$F$16+V66*'Selection Criteria'!$F$17+W66*'Selection Criteria'!$F$18+X66*'Selection Criteria'!$F$19+Y66*'Selection Criteria'!$F$20)/(5*'Selection Criteria'!$F$21)*100,"-")</f>
        <v>-</v>
      </c>
      <c r="AA66" s="6" t="str">
        <f t="shared" si="5"/>
        <v>-</v>
      </c>
      <c r="AB66" s="17" t="str">
        <f>IF(P66&lt;&gt;"Pass","Parked (gate)",IF(AND('Selection Criteria'!$C$65="Yes",Q66="Non-Hero"),"Tier 3",IF(Z66&gt;='Selection Criteria'!$C$25,"Tier 1",IF(Z66&gt;='Selection Criteria'!$C$26,"Tier 2","Tier 3"))))</f>
        <v>Parked (gate)</v>
      </c>
      <c r="AC66" s="6" t="str">
        <f>INDEX('Hero Segmentation'!$R$5:$R$71,MATCH($A66,'Hero Segmentation'!$A$5:$A$71,0))</f>
        <v>PROTECT</v>
      </c>
      <c r="AD66" s="6" t="str">
        <f>IF(AND(AB66="Tier 1",J66&gt;='Selection Criteria'!$C$28),"Yes","")</f>
        <v/>
      </c>
      <c r="AE66" s="10" t="str">
        <f>IFERROR(INDEX('Competitor Fit'!$C$5:$C$103,MATCH($A66&amp;"|Primary",'Competitor Fit'!$L$5:$L$103,0)),"-")</f>
        <v>-</v>
      </c>
      <c r="AF66" s="10" t="str">
        <f>IFERROR(INDEX('Competitor Fit'!$C$5:$C$103,MATCH($A66&amp;"|Secondary",'Competitor Fit'!$L$5:$L$103,0)),"-")</f>
        <v>-</v>
      </c>
      <c r="AG66" s="10" t="s">
        <v>1006</v>
      </c>
    </row>
    <row r="67" spans="1:33" ht="26.4" x14ac:dyDescent="0.3">
      <c r="A67" s="6" t="s">
        <v>271</v>
      </c>
      <c r="B67" s="10" t="s">
        <v>272</v>
      </c>
      <c r="C67" s="10" t="s">
        <v>1002</v>
      </c>
      <c r="D67" s="10" t="s">
        <v>1003</v>
      </c>
      <c r="E67" s="10" t="s">
        <v>1007</v>
      </c>
      <c r="F67" s="10"/>
      <c r="G67" s="6">
        <v>3</v>
      </c>
      <c r="H67" s="6" t="s">
        <v>273</v>
      </c>
      <c r="I67" s="16">
        <v>149</v>
      </c>
      <c r="J67" s="16">
        <v>0</v>
      </c>
      <c r="K67" s="10" t="s">
        <v>848</v>
      </c>
      <c r="L67" s="6" t="str">
        <f t="shared" si="3"/>
        <v>Pass</v>
      </c>
      <c r="M67" s="18" t="s">
        <v>763</v>
      </c>
      <c r="N67" s="6" t="str">
        <f>IF(I67&gt;='Selection Criteria'!$C$27,"Pass","Fail")</f>
        <v>Pass</v>
      </c>
      <c r="O67" s="18" t="s">
        <v>1005</v>
      </c>
      <c r="P67" s="17" t="str">
        <f t="shared" si="4"/>
        <v>Fail</v>
      </c>
      <c r="Q67" s="17" t="str">
        <f>INDEX('Hero Segmentation'!$Q$5:$Q$71,MATCH($A67,'Hero Segmentation'!$A$5:$A$71,0))</f>
        <v>Hero</v>
      </c>
      <c r="R67" s="18"/>
      <c r="S67" s="18"/>
      <c r="T67" s="18"/>
      <c r="U67" s="18"/>
      <c r="V67" s="18"/>
      <c r="W67" s="18"/>
      <c r="X67" s="18"/>
      <c r="Y67" s="18"/>
      <c r="Z67" s="22" t="str">
        <f>IF(P67="Pass",(R67*'Selection Criteria'!$F$13+S67*'Selection Criteria'!$F$14+T67*'Selection Criteria'!$F$15+U67*'Selection Criteria'!$F$16+V67*'Selection Criteria'!$F$17+W67*'Selection Criteria'!$F$18+X67*'Selection Criteria'!$F$19+Y67*'Selection Criteria'!$F$20)/(5*'Selection Criteria'!$F$21)*100,"-")</f>
        <v>-</v>
      </c>
      <c r="AA67" s="6" t="str">
        <f t="shared" si="5"/>
        <v>-</v>
      </c>
      <c r="AB67" s="17" t="str">
        <f>IF(P67&lt;&gt;"Pass","Parked (gate)",IF(AND('Selection Criteria'!$C$65="Yes",Q67="Non-Hero"),"Tier 3",IF(Z67&gt;='Selection Criteria'!$C$25,"Tier 1",IF(Z67&gt;='Selection Criteria'!$C$26,"Tier 2","Tier 3"))))</f>
        <v>Parked (gate)</v>
      </c>
      <c r="AC67" s="6" t="str">
        <f>INDEX('Hero Segmentation'!$R$5:$R$71,MATCH($A67,'Hero Segmentation'!$A$5:$A$71,0))</f>
        <v>PROTECT</v>
      </c>
      <c r="AD67" s="6" t="str">
        <f>IF(AND(AB67="Tier 1",J67&gt;='Selection Criteria'!$C$28),"Yes","")</f>
        <v/>
      </c>
      <c r="AE67" s="10" t="str">
        <f>IFERROR(INDEX('Competitor Fit'!$C$5:$C$103,MATCH($A67&amp;"|Primary",'Competitor Fit'!$L$5:$L$103,0)),"-")</f>
        <v>-</v>
      </c>
      <c r="AF67" s="10" t="str">
        <f>IFERROR(INDEX('Competitor Fit'!$C$5:$C$103,MATCH($A67&amp;"|Secondary",'Competitor Fit'!$L$5:$L$103,0)),"-")</f>
        <v>-</v>
      </c>
      <c r="AG67" s="10" t="s">
        <v>1006</v>
      </c>
    </row>
    <row r="68" spans="1:33" ht="26.4" x14ac:dyDescent="0.3">
      <c r="A68" s="6" t="s">
        <v>250</v>
      </c>
      <c r="B68" s="10" t="s">
        <v>251</v>
      </c>
      <c r="C68" s="10" t="s">
        <v>1008</v>
      </c>
      <c r="D68" s="10" t="s">
        <v>1009</v>
      </c>
      <c r="E68" s="10" t="s">
        <v>1010</v>
      </c>
      <c r="F68" s="10" t="s">
        <v>1011</v>
      </c>
      <c r="G68" s="6">
        <v>4</v>
      </c>
      <c r="H68" s="6" t="s">
        <v>252</v>
      </c>
      <c r="I68" s="16">
        <v>15</v>
      </c>
      <c r="J68" s="16">
        <v>15</v>
      </c>
      <c r="K68" s="10" t="s">
        <v>773</v>
      </c>
      <c r="L68" s="6" t="str">
        <f t="shared" si="3"/>
        <v>Pass</v>
      </c>
      <c r="M68" s="18" t="s">
        <v>763</v>
      </c>
      <c r="N68" s="6" t="str">
        <f>IF(I68&gt;='Selection Criteria'!$C$27,"Pass","Fail")</f>
        <v>Fail</v>
      </c>
      <c r="O68" s="18" t="s">
        <v>763</v>
      </c>
      <c r="P68" s="17" t="str">
        <f t="shared" si="4"/>
        <v>Fail</v>
      </c>
      <c r="Q68" s="17" t="str">
        <f>INDEX('Hero Segmentation'!$Q$5:$Q$71,MATCH($A68,'Hero Segmentation'!$A$5:$A$71,0))</f>
        <v>Probable Hero</v>
      </c>
      <c r="R68" s="18"/>
      <c r="S68" s="18"/>
      <c r="T68" s="18"/>
      <c r="U68" s="18"/>
      <c r="V68" s="18"/>
      <c r="W68" s="18"/>
      <c r="X68" s="18"/>
      <c r="Y68" s="18"/>
      <c r="Z68" s="22" t="str">
        <f>IF(P68="Pass",(R68*'Selection Criteria'!$F$13+S68*'Selection Criteria'!$F$14+T68*'Selection Criteria'!$F$15+U68*'Selection Criteria'!$F$16+V68*'Selection Criteria'!$F$17+W68*'Selection Criteria'!$F$18+X68*'Selection Criteria'!$F$19+Y68*'Selection Criteria'!$F$20)/(5*'Selection Criteria'!$F$21)*100,"-")</f>
        <v>-</v>
      </c>
      <c r="AA68" s="6" t="str">
        <f t="shared" si="5"/>
        <v>-</v>
      </c>
      <c r="AB68" s="17" t="str">
        <f>IF(P68&lt;&gt;"Pass","Parked (gate)",IF(AND('Selection Criteria'!$C$65="Yes",Q68="Non-Hero"),"Tier 3",IF(Z68&gt;='Selection Criteria'!$C$25,"Tier 1",IF(Z68&gt;='Selection Criteria'!$C$26,"Tier 2","Tier 3"))))</f>
        <v>Parked (gate)</v>
      </c>
      <c r="AC68" s="6" t="str">
        <f>INDEX('Hero Segmentation'!$R$5:$R$71,MATCH($A68,'Hero Segmentation'!$A$5:$A$71,0))</f>
        <v>BUILD</v>
      </c>
      <c r="AD68" s="6" t="str">
        <f>IF(AND(AB68="Tier 1",J68&gt;='Selection Criteria'!$C$28),"Yes","")</f>
        <v/>
      </c>
      <c r="AE68" s="10" t="str">
        <f>IFERROR(INDEX('Competitor Fit'!$C$5:$C$103,MATCH($A68&amp;"|Primary",'Competitor Fit'!$L$5:$L$103,0)),"-")</f>
        <v>-</v>
      </c>
      <c r="AF68" s="10" t="str">
        <f>IFERROR(INDEX('Competitor Fit'!$C$5:$C$103,MATCH($A68&amp;"|Secondary",'Competitor Fit'!$L$5:$L$103,0)),"-")</f>
        <v>-</v>
      </c>
      <c r="AG68" s="10" t="s">
        <v>1012</v>
      </c>
    </row>
    <row r="69" spans="1:33" ht="26.4" x14ac:dyDescent="0.3">
      <c r="A69" s="6" t="s">
        <v>1013</v>
      </c>
      <c r="B69" s="10" t="s">
        <v>1014</v>
      </c>
      <c r="C69" s="10" t="s">
        <v>1015</v>
      </c>
      <c r="D69" s="10" t="s">
        <v>1016</v>
      </c>
      <c r="E69" s="10"/>
      <c r="F69" s="10"/>
      <c r="G69" s="6">
        <v>2</v>
      </c>
      <c r="H69" s="6" t="s">
        <v>1017</v>
      </c>
      <c r="I69" s="16">
        <v>437</v>
      </c>
      <c r="J69" s="16">
        <v>0</v>
      </c>
      <c r="K69" s="10" t="s">
        <v>768</v>
      </c>
      <c r="L69" s="6" t="str">
        <f t="shared" si="3"/>
        <v>Fail</v>
      </c>
      <c r="M69" s="18" t="s">
        <v>763</v>
      </c>
      <c r="N69" s="6" t="str">
        <f>IF(I69&gt;='Selection Criteria'!$C$27,"Pass","Fail")</f>
        <v>Pass</v>
      </c>
      <c r="O69" s="18" t="s">
        <v>763</v>
      </c>
      <c r="P69" s="17" t="str">
        <f t="shared" ref="P69:P100" si="6">IF(AND(L69="Pass",M69="Pass",N69="Pass",O69="Pass"),"Pass","Fail")</f>
        <v>Fail</v>
      </c>
      <c r="Q69" s="17" t="str">
        <f>INDEX('Hero Segmentation'!$Q$5:$Q$71,MATCH($A69,'Hero Segmentation'!$A$5:$A$71,0))</f>
        <v>Non-Hero</v>
      </c>
      <c r="R69" s="18"/>
      <c r="S69" s="18"/>
      <c r="T69" s="18"/>
      <c r="U69" s="18"/>
      <c r="V69" s="18"/>
      <c r="W69" s="18"/>
      <c r="X69" s="18"/>
      <c r="Y69" s="18"/>
      <c r="Z69" s="22" t="str">
        <f>IF(P69="Pass",(R69*'Selection Criteria'!$F$13+S69*'Selection Criteria'!$F$14+T69*'Selection Criteria'!$F$15+U69*'Selection Criteria'!$F$16+V69*'Selection Criteria'!$F$17+W69*'Selection Criteria'!$F$18+X69*'Selection Criteria'!$F$19+Y69*'Selection Criteria'!$F$20)/(5*'Selection Criteria'!$F$21)*100,"-")</f>
        <v>-</v>
      </c>
      <c r="AA69" s="6" t="str">
        <f t="shared" ref="AA69:AA100" si="7">IF(P69="Pass",COUNTIFS($P$5:$P$71,"Pass",$Z$5:$Z$71,"&gt;"&amp;Z69)+1,"-")</f>
        <v>-</v>
      </c>
      <c r="AB69" s="17" t="str">
        <f>IF(P69&lt;&gt;"Pass","Parked (gate)",IF(AND('Selection Criteria'!$C$65="Yes",Q69="Non-Hero"),"Tier 3",IF(Z69&gt;='Selection Criteria'!$C$25,"Tier 1",IF(Z69&gt;='Selection Criteria'!$C$26,"Tier 2","Tier 3"))))</f>
        <v>Parked (gate)</v>
      </c>
      <c r="AC69" s="6" t="str">
        <f>INDEX('Hero Segmentation'!$R$5:$R$71,MATCH($A69,'Hero Segmentation'!$A$5:$A$71,0))</f>
        <v>HOLD</v>
      </c>
      <c r="AD69" s="6" t="str">
        <f>IF(AND(AB69="Tier 1",J69&gt;='Selection Criteria'!$C$28),"Yes","")</f>
        <v/>
      </c>
      <c r="AE69" s="10" t="str">
        <f>IFERROR(INDEX('Competitor Fit'!$C$5:$C$103,MATCH($A69&amp;"|Primary",'Competitor Fit'!$L$5:$L$103,0)),"-")</f>
        <v>-</v>
      </c>
      <c r="AF69" s="10" t="str">
        <f>IFERROR(INDEX('Competitor Fit'!$C$5:$C$103,MATCH($A69&amp;"|Secondary",'Competitor Fit'!$L$5:$L$103,0)),"-")</f>
        <v>-</v>
      </c>
      <c r="AG69" s="10" t="s">
        <v>1018</v>
      </c>
    </row>
    <row r="70" spans="1:33" ht="26.4" x14ac:dyDescent="0.3">
      <c r="A70" s="6" t="s">
        <v>1019</v>
      </c>
      <c r="B70" s="10" t="s">
        <v>1020</v>
      </c>
      <c r="C70" s="10" t="s">
        <v>1015</v>
      </c>
      <c r="D70" s="10" t="s">
        <v>1021</v>
      </c>
      <c r="E70" s="10" t="s">
        <v>1022</v>
      </c>
      <c r="F70" s="10" t="s">
        <v>1023</v>
      </c>
      <c r="G70" s="6">
        <v>4</v>
      </c>
      <c r="H70" s="6" t="s">
        <v>1024</v>
      </c>
      <c r="I70" s="16">
        <v>1116</v>
      </c>
      <c r="J70" s="16">
        <v>0</v>
      </c>
      <c r="K70" s="10" t="s">
        <v>768</v>
      </c>
      <c r="L70" s="6" t="str">
        <f t="shared" si="3"/>
        <v>Pass</v>
      </c>
      <c r="M70" s="18" t="s">
        <v>1005</v>
      </c>
      <c r="N70" s="6" t="str">
        <f>IF(I70&gt;='Selection Criteria'!$C$27,"Pass","Fail")</f>
        <v>Pass</v>
      </c>
      <c r="O70" s="18" t="s">
        <v>763</v>
      </c>
      <c r="P70" s="17" t="str">
        <f t="shared" si="6"/>
        <v>Fail</v>
      </c>
      <c r="Q70" s="17" t="str">
        <f>INDEX('Hero Segmentation'!$Q$5:$Q$71,MATCH($A70,'Hero Segmentation'!$A$5:$A$71,0))</f>
        <v>Probable Hero</v>
      </c>
      <c r="R70" s="18"/>
      <c r="S70" s="18"/>
      <c r="T70" s="18"/>
      <c r="U70" s="18"/>
      <c r="V70" s="18"/>
      <c r="W70" s="18"/>
      <c r="X70" s="18"/>
      <c r="Y70" s="18"/>
      <c r="Z70" s="22" t="str">
        <f>IF(P70="Pass",(R70*'Selection Criteria'!$F$13+S70*'Selection Criteria'!$F$14+T70*'Selection Criteria'!$F$15+U70*'Selection Criteria'!$F$16+V70*'Selection Criteria'!$F$17+W70*'Selection Criteria'!$F$18+X70*'Selection Criteria'!$F$19+Y70*'Selection Criteria'!$F$20)/(5*'Selection Criteria'!$F$21)*100,"-")</f>
        <v>-</v>
      </c>
      <c r="AA70" s="6" t="str">
        <f t="shared" si="7"/>
        <v>-</v>
      </c>
      <c r="AB70" s="17" t="str">
        <f>IF(P70&lt;&gt;"Pass","Parked (gate)",IF(AND('Selection Criteria'!$C$65="Yes",Q70="Non-Hero"),"Tier 3",IF(Z70&gt;='Selection Criteria'!$C$25,"Tier 1",IF(Z70&gt;='Selection Criteria'!$C$26,"Tier 2","Tier 3"))))</f>
        <v>Parked (gate)</v>
      </c>
      <c r="AC70" s="6" t="str">
        <f>INDEX('Hero Segmentation'!$R$5:$R$71,MATCH($A70,'Hero Segmentation'!$A$5:$A$71,0))</f>
        <v>BUILD</v>
      </c>
      <c r="AD70" s="6" t="str">
        <f>IF(AND(AB70="Tier 1",J70&gt;='Selection Criteria'!$C$28),"Yes","")</f>
        <v/>
      </c>
      <c r="AE70" s="10" t="str">
        <f>IFERROR(INDEX('Competitor Fit'!$C$5:$C$103,MATCH($A70&amp;"|Primary",'Competitor Fit'!$L$5:$L$103,0)),"-")</f>
        <v>-</v>
      </c>
      <c r="AF70" s="10" t="str">
        <f>IFERROR(INDEX('Competitor Fit'!$C$5:$C$103,MATCH($A70&amp;"|Secondary",'Competitor Fit'!$L$5:$L$103,0)),"-")</f>
        <v>-</v>
      </c>
      <c r="AG70" s="10" t="s">
        <v>1025</v>
      </c>
    </row>
    <row r="71" spans="1:33" ht="26.4" x14ac:dyDescent="0.3">
      <c r="A71" s="6" t="s">
        <v>244</v>
      </c>
      <c r="B71" s="10" t="s">
        <v>245</v>
      </c>
      <c r="C71" s="10" t="s">
        <v>787</v>
      </c>
      <c r="D71" s="10" t="s">
        <v>1026</v>
      </c>
      <c r="E71" s="10" t="s">
        <v>1027</v>
      </c>
      <c r="F71" s="10" t="s">
        <v>1028</v>
      </c>
      <c r="G71" s="6">
        <v>4</v>
      </c>
      <c r="H71" s="6" t="s">
        <v>246</v>
      </c>
      <c r="I71" s="16">
        <v>881</v>
      </c>
      <c r="J71" s="16">
        <v>872</v>
      </c>
      <c r="K71" s="10" t="s">
        <v>790</v>
      </c>
      <c r="L71" s="6" t="str">
        <f t="shared" si="3"/>
        <v>Pass</v>
      </c>
      <c r="M71" s="18" t="s">
        <v>1005</v>
      </c>
      <c r="N71" s="6" t="str">
        <f>IF(I71&gt;='Selection Criteria'!$C$27,"Pass","Fail")</f>
        <v>Pass</v>
      </c>
      <c r="O71" s="18" t="s">
        <v>763</v>
      </c>
      <c r="P71" s="17" t="str">
        <f t="shared" si="6"/>
        <v>Fail</v>
      </c>
      <c r="Q71" s="17" t="str">
        <f>INDEX('Hero Segmentation'!$Q$5:$Q$71,MATCH($A71,'Hero Segmentation'!$A$5:$A$71,0))</f>
        <v>Probable Hero</v>
      </c>
      <c r="R71" s="18"/>
      <c r="S71" s="18"/>
      <c r="T71" s="18"/>
      <c r="U71" s="18"/>
      <c r="V71" s="18"/>
      <c r="W71" s="18"/>
      <c r="X71" s="18"/>
      <c r="Y71" s="18"/>
      <c r="Z71" s="22" t="str">
        <f>IF(P71="Pass",(R71*'Selection Criteria'!$F$13+S71*'Selection Criteria'!$F$14+T71*'Selection Criteria'!$F$15+U71*'Selection Criteria'!$F$16+V71*'Selection Criteria'!$F$17+W71*'Selection Criteria'!$F$18+X71*'Selection Criteria'!$F$19+Y71*'Selection Criteria'!$F$20)/(5*'Selection Criteria'!$F$21)*100,"-")</f>
        <v>-</v>
      </c>
      <c r="AA71" s="6" t="str">
        <f t="shared" si="7"/>
        <v>-</v>
      </c>
      <c r="AB71" s="17" t="str">
        <f>IF(P71&lt;&gt;"Pass","Parked (gate)",IF(AND('Selection Criteria'!$C$65="Yes",Q71="Non-Hero"),"Tier 3",IF(Z71&gt;='Selection Criteria'!$C$25,"Tier 1",IF(Z71&gt;='Selection Criteria'!$C$26,"Tier 2","Tier 3"))))</f>
        <v>Parked (gate)</v>
      </c>
      <c r="AC71" s="6" t="str">
        <f>INDEX('Hero Segmentation'!$R$5:$R$71,MATCH($A71,'Hero Segmentation'!$A$5:$A$71,0))</f>
        <v>BUILD</v>
      </c>
      <c r="AD71" s="6" t="str">
        <f>IF(AND(AB71="Tier 1",J71&gt;='Selection Criteria'!$C$28),"Yes","")</f>
        <v/>
      </c>
      <c r="AE71" s="10" t="str">
        <f>IFERROR(INDEX('Competitor Fit'!$C$5:$C$103,MATCH($A71&amp;"|Primary",'Competitor Fit'!$L$5:$L$103,0)),"-")</f>
        <v>-</v>
      </c>
      <c r="AF71" s="10" t="str">
        <f>IFERROR(INDEX('Competitor Fit'!$C$5:$C$103,MATCH($A71&amp;"|Secondary",'Competitor Fit'!$L$5:$L$103,0)),"-")</f>
        <v>-</v>
      </c>
      <c r="AG71" s="10" t="s">
        <v>1029</v>
      </c>
    </row>
  </sheetData>
  <autoFilter ref="A4:AG71" xr:uid="{00000000-0009-0000-0000-000005000000}"/>
  <conditionalFormatting sqref="Q5:Q71">
    <cfRule type="expression" dxfId="22" priority="5">
      <formula>$Q5="Hero"</formula>
    </cfRule>
    <cfRule type="expression" dxfId="21" priority="6">
      <formula>$Q5="Probable Hero"</formula>
    </cfRule>
    <cfRule type="expression" dxfId="20" priority="7">
      <formula>$Q5="Non-Hero"</formula>
    </cfRule>
  </conditionalFormatting>
  <conditionalFormatting sqref="AB5:AB71">
    <cfRule type="expression" dxfId="19" priority="1">
      <formula>LEFT($AB5,6)="Tier 1"</formula>
    </cfRule>
    <cfRule type="expression" dxfId="18" priority="2">
      <formula>LEFT($AB5,6)="Tier 2"</formula>
    </cfRule>
    <cfRule type="expression" dxfId="17" priority="3">
      <formula>LEFT($AB5,6)="Tier 3"</formula>
    </cfRule>
    <cfRule type="expression" dxfId="16" priority="4">
      <formula>LEFT($AB5,6)="Parked"</formula>
    </cfRule>
  </conditionalFormatting>
  <dataValidations count="2">
    <dataValidation type="whole" showErrorMessage="1" sqref="R5:Y71" xr:uid="{00000000-0002-0000-0500-000000000000}">
      <formula1>1</formula1>
      <formula2>5</formula2>
    </dataValidation>
    <dataValidation type="list" showErrorMessage="1" sqref="M5:M71 O5:O71" xr:uid="{00000000-0002-0000-0500-000001000000}">
      <formula1>"Pass,Fail"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78D6"/>
  </sheetPr>
  <dimension ref="A1:AA1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6" customWidth="1"/>
    <col min="3" max="3" width="22" customWidth="1"/>
    <col min="4" max="4" width="34" customWidth="1"/>
    <col min="5" max="6" width="9" customWidth="1"/>
    <col min="7" max="7" width="7" customWidth="1"/>
    <col min="8" max="8" width="8" customWidth="1"/>
    <col min="9" max="10" width="9" customWidth="1"/>
    <col min="11" max="11" width="10" customWidth="1"/>
    <col min="12" max="12" width="9" customWidth="1"/>
    <col min="13" max="13" width="10" customWidth="1"/>
    <col min="14" max="15" width="9" customWidth="1"/>
    <col min="16" max="16" width="10" customWidth="1"/>
    <col min="17" max="17" width="13" customWidth="1"/>
    <col min="18" max="18" width="11" customWidth="1"/>
    <col min="19" max="19" width="12" customWidth="1"/>
    <col min="20" max="20" width="60" customWidth="1"/>
    <col min="21" max="21" width="14" customWidth="1"/>
    <col min="22" max="27" width="9" customWidth="1"/>
  </cols>
  <sheetData>
    <row r="1" spans="1:27" ht="21" x14ac:dyDescent="0.4">
      <c r="A1" s="1" t="s">
        <v>1030</v>
      </c>
    </row>
    <row r="2" spans="1:27" x14ac:dyDescent="0.3">
      <c r="A2" s="2" t="s">
        <v>1031</v>
      </c>
    </row>
    <row r="4" spans="1:27" ht="30" customHeight="1" x14ac:dyDescent="0.3">
      <c r="A4" s="5" t="s">
        <v>174</v>
      </c>
      <c r="B4" s="5" t="s">
        <v>175</v>
      </c>
      <c r="C4" s="5" t="s">
        <v>743</v>
      </c>
      <c r="D4" s="5" t="s">
        <v>1032</v>
      </c>
      <c r="E4" s="5" t="s">
        <v>177</v>
      </c>
      <c r="F4" s="5" t="s">
        <v>1033</v>
      </c>
      <c r="G4" s="5" t="s">
        <v>1034</v>
      </c>
      <c r="H4" s="5" t="s">
        <v>1035</v>
      </c>
      <c r="I4" s="5" t="s">
        <v>1036</v>
      </c>
      <c r="J4" s="5" t="s">
        <v>1037</v>
      </c>
      <c r="K4" s="5" t="s">
        <v>1038</v>
      </c>
      <c r="L4" s="5" t="s">
        <v>1039</v>
      </c>
      <c r="M4" s="5" t="s">
        <v>1040</v>
      </c>
      <c r="N4" s="5" t="s">
        <v>1041</v>
      </c>
      <c r="O4" s="5" t="s">
        <v>1042</v>
      </c>
      <c r="P4" s="5" t="s">
        <v>1043</v>
      </c>
      <c r="Q4" s="5" t="s">
        <v>717</v>
      </c>
      <c r="R4" s="5" t="s">
        <v>179</v>
      </c>
      <c r="S4" s="5" t="s">
        <v>180</v>
      </c>
      <c r="T4" s="5" t="s">
        <v>1044</v>
      </c>
      <c r="U4" s="5" t="s">
        <v>1045</v>
      </c>
      <c r="V4" s="5" t="s">
        <v>1046</v>
      </c>
      <c r="W4" s="5" t="s">
        <v>1047</v>
      </c>
      <c r="X4" s="5" t="s">
        <v>1048</v>
      </c>
      <c r="Y4" s="5" t="s">
        <v>1049</v>
      </c>
      <c r="Z4" s="5" t="s">
        <v>1050</v>
      </c>
      <c r="AA4" s="5" t="s">
        <v>1051</v>
      </c>
    </row>
    <row r="5" spans="1:27" ht="26.4" x14ac:dyDescent="0.3">
      <c r="A5" s="6" t="s">
        <v>274</v>
      </c>
      <c r="B5" s="7" t="s">
        <v>20</v>
      </c>
      <c r="C5" s="10" t="s">
        <v>762</v>
      </c>
      <c r="D5" s="10" t="s">
        <v>1052</v>
      </c>
      <c r="E5" s="16">
        <v>1037</v>
      </c>
      <c r="F5" s="6" t="s">
        <v>702</v>
      </c>
      <c r="G5" s="6">
        <f>IF(E5&gt;='Selection Criteria'!$C$66,5,IF(E5&gt;='Selection Criteria'!$C$67,4,IF(E5&gt;='Selection Criteria'!$C$68,3,IF(E5&gt;='Selection Criteria'!$C$69,2,1))))</f>
        <v>5</v>
      </c>
      <c r="H5" s="6">
        <f>IF(F5="Yes",'Selection Criteria'!$C$70,'Selection Criteria'!$C$71)</f>
        <v>5</v>
      </c>
      <c r="I5" s="18">
        <v>5</v>
      </c>
      <c r="J5" s="18">
        <v>5</v>
      </c>
      <c r="K5" s="23">
        <f>(G5*'Selection Criteria'!$F$49+H5*'Selection Criteria'!$F$50+I5*'Selection Criteria'!$F$51+J5*'Selection Criteria'!$F$52)/(5*'Selection Criteria'!$F$53)*100</f>
        <v>100</v>
      </c>
      <c r="L5" s="18">
        <v>5</v>
      </c>
      <c r="M5" s="18">
        <v>5</v>
      </c>
      <c r="N5" s="18">
        <v>4</v>
      </c>
      <c r="O5" s="6">
        <f>IF(INDEX('Path Scorecard'!$X$5:$X$71,MATCH($A5,'Path Scorecard'!$A$5:$A$71,0))="",3,INDEX('Path Scorecard'!$X$5:$X$71,MATCH($A5,'Path Scorecard'!$A$5:$A$71,0)))</f>
        <v>5</v>
      </c>
      <c r="P5" s="23">
        <f>(L5*'Selection Criteria'!$F$55+M5*'Selection Criteria'!$F$56+N5*'Selection Criteria'!$F$57+O5*'Selection Criteria'!$F$58)/(5*'Selection Criteria'!$F$59)*100</f>
        <v>95</v>
      </c>
      <c r="Q5" s="17" t="str">
        <f>IF(K5&gt;='Selection Criteria'!$C$62,"Hero",IF(P5&gt;='Selection Criteria'!$C$63,"Probable Hero","Non-Hero"))</f>
        <v>Hero</v>
      </c>
      <c r="R5" s="17" t="str">
        <f>IF(Q5="Hero",IF(INDEX('Path Scorecard'!$T$5:$T$71,MATCH($A5,'Path Scorecard'!$A$5:$A$71,0))&lt;='Selection Criteria'!$C$64,"PROTECT","EXTEND"),IF(Q5="Probable Hero","BUILD","HOLD"))</f>
        <v>EXTEND</v>
      </c>
      <c r="S5" s="6" t="str">
        <f>INDEX('Path Scorecard'!$AB$5:$AB$71,MATCH($A5,'Path Scorecard'!$A$5:$A$71,0))</f>
        <v>Tier 1</v>
      </c>
      <c r="T5" s="10" t="s">
        <v>1053</v>
      </c>
      <c r="V5" s="24">
        <f t="shared" ref="V5:V36" si="0">IF(AND($Q5="Hero",$S5&lt;&gt;"Parked (gate)"),K5,NA())</f>
        <v>100</v>
      </c>
      <c r="W5" s="24">
        <f t="shared" ref="W5:W36" si="1">IF(AND($Q5="Hero",$S5&lt;&gt;"Parked (gate)"),P5,NA())</f>
        <v>95</v>
      </c>
      <c r="X5" s="24" t="e">
        <f t="shared" ref="X5:X36" si="2">IF(AND($Q5="Probable Hero",$S5&lt;&gt;"Parked (gate)"),K5,NA())</f>
        <v>#N/A</v>
      </c>
      <c r="Y5" s="24" t="e">
        <f t="shared" ref="Y5:Y36" si="3">IF(AND($Q5="Probable Hero",$S5&lt;&gt;"Parked (gate)"),P5,NA())</f>
        <v>#N/A</v>
      </c>
      <c r="Z5" s="24" t="e">
        <f t="shared" ref="Z5:Z36" si="4">IF(AND($Q5="Non-Hero",$S5&lt;&gt;"Parked (gate)"),K5,NA())</f>
        <v>#N/A</v>
      </c>
      <c r="AA5" s="24" t="e">
        <f t="shared" ref="AA5:AA36" si="5">IF(AND($Q5="Non-Hero",$S5&lt;&gt;"Parked (gate)"),P5,NA())</f>
        <v>#N/A</v>
      </c>
    </row>
    <row r="6" spans="1:27" ht="26.4" x14ac:dyDescent="0.3">
      <c r="A6" s="6" t="s">
        <v>765</v>
      </c>
      <c r="B6" s="7" t="s">
        <v>24</v>
      </c>
      <c r="C6" s="10" t="s">
        <v>768</v>
      </c>
      <c r="D6" s="10" t="s">
        <v>1054</v>
      </c>
      <c r="E6" s="16">
        <v>342</v>
      </c>
      <c r="F6" s="6" t="s">
        <v>702</v>
      </c>
      <c r="G6" s="6">
        <f>IF(E6&gt;='Selection Criteria'!$C$66,5,IF(E6&gt;='Selection Criteria'!$C$67,4,IF(E6&gt;='Selection Criteria'!$C$68,3,IF(E6&gt;='Selection Criteria'!$C$69,2,1))))</f>
        <v>3</v>
      </c>
      <c r="H6" s="6">
        <f>IF(F6="Yes",'Selection Criteria'!$C$70,'Selection Criteria'!$C$71)</f>
        <v>5</v>
      </c>
      <c r="I6" s="18">
        <v>4</v>
      </c>
      <c r="J6" s="18">
        <v>5</v>
      </c>
      <c r="K6" s="23">
        <f>(G6*'Selection Criteria'!$F$49+H6*'Selection Criteria'!$F$50+I6*'Selection Criteria'!$F$51+J6*'Selection Criteria'!$F$52)/(5*'Selection Criteria'!$F$53)*100</f>
        <v>83</v>
      </c>
      <c r="L6" s="18">
        <v>4</v>
      </c>
      <c r="M6" s="18">
        <v>5</v>
      </c>
      <c r="N6" s="18">
        <v>4</v>
      </c>
      <c r="O6" s="6">
        <f>IF(INDEX('Path Scorecard'!$X$5:$X$71,MATCH($A6,'Path Scorecard'!$A$5:$A$71,0))="",3,INDEX('Path Scorecard'!$X$5:$X$71,MATCH($A6,'Path Scorecard'!$A$5:$A$71,0)))</f>
        <v>5</v>
      </c>
      <c r="P6" s="23">
        <f>(L6*'Selection Criteria'!$F$55+M6*'Selection Criteria'!$F$56+N6*'Selection Criteria'!$F$57+O6*'Selection Criteria'!$F$58)/(5*'Selection Criteria'!$F$59)*100</f>
        <v>88</v>
      </c>
      <c r="Q6" s="17" t="str">
        <f>IF(K6&gt;='Selection Criteria'!$C$62,"Hero",IF(P6&gt;='Selection Criteria'!$C$63,"Probable Hero","Non-Hero"))</f>
        <v>Hero</v>
      </c>
      <c r="R6" s="17" t="str">
        <f>IF(Q6="Hero",IF(INDEX('Path Scorecard'!$T$5:$T$71,MATCH($A6,'Path Scorecard'!$A$5:$A$71,0))&lt;='Selection Criteria'!$C$64,"PROTECT","EXTEND"),IF(Q6="Probable Hero","BUILD","HOLD"))</f>
        <v>EXTEND</v>
      </c>
      <c r="S6" s="6" t="str">
        <f>INDEX('Path Scorecard'!$AB$5:$AB$71,MATCH($A6,'Path Scorecard'!$A$5:$A$71,0))</f>
        <v>Tier 1</v>
      </c>
      <c r="T6" s="10" t="s">
        <v>1055</v>
      </c>
      <c r="V6" s="24">
        <f t="shared" si="0"/>
        <v>83</v>
      </c>
      <c r="W6" s="24">
        <f t="shared" si="1"/>
        <v>88</v>
      </c>
      <c r="X6" s="24" t="e">
        <f t="shared" si="2"/>
        <v>#N/A</v>
      </c>
      <c r="Y6" s="24" t="e">
        <f t="shared" si="3"/>
        <v>#N/A</v>
      </c>
      <c r="Z6" s="24" t="e">
        <f t="shared" si="4"/>
        <v>#N/A</v>
      </c>
      <c r="AA6" s="24" t="e">
        <f t="shared" si="5"/>
        <v>#N/A</v>
      </c>
    </row>
    <row r="7" spans="1:27" ht="26.4" x14ac:dyDescent="0.3">
      <c r="A7" s="6" t="s">
        <v>248</v>
      </c>
      <c r="B7" s="7" t="s">
        <v>27</v>
      </c>
      <c r="C7" s="10" t="s">
        <v>773</v>
      </c>
      <c r="D7" s="10" t="s">
        <v>1056</v>
      </c>
      <c r="E7" s="16">
        <v>463</v>
      </c>
      <c r="F7" s="6" t="s">
        <v>702</v>
      </c>
      <c r="G7" s="6">
        <f>IF(E7&gt;='Selection Criteria'!$C$66,5,IF(E7&gt;='Selection Criteria'!$C$67,4,IF(E7&gt;='Selection Criteria'!$C$68,3,IF(E7&gt;='Selection Criteria'!$C$69,2,1))))</f>
        <v>3</v>
      </c>
      <c r="H7" s="6">
        <f>IF(F7="Yes",'Selection Criteria'!$C$70,'Selection Criteria'!$C$71)</f>
        <v>5</v>
      </c>
      <c r="I7" s="18">
        <v>3</v>
      </c>
      <c r="J7" s="18">
        <v>2</v>
      </c>
      <c r="K7" s="23">
        <f>(G7*'Selection Criteria'!$F$49+H7*'Selection Criteria'!$F$50+I7*'Selection Criteria'!$F$51+J7*'Selection Criteria'!$F$52)/(5*'Selection Criteria'!$F$53)*100</f>
        <v>60</v>
      </c>
      <c r="L7" s="18">
        <v>5</v>
      </c>
      <c r="M7" s="18">
        <v>5</v>
      </c>
      <c r="N7" s="18">
        <v>5</v>
      </c>
      <c r="O7" s="6">
        <f>IF(INDEX('Path Scorecard'!$X$5:$X$71,MATCH($A7,'Path Scorecard'!$A$5:$A$71,0))="",3,INDEX('Path Scorecard'!$X$5:$X$71,MATCH($A7,'Path Scorecard'!$A$5:$A$71,0)))</f>
        <v>4</v>
      </c>
      <c r="P7" s="23">
        <f>(L7*'Selection Criteria'!$F$55+M7*'Selection Criteria'!$F$56+N7*'Selection Criteria'!$F$57+O7*'Selection Criteria'!$F$58)/(5*'Selection Criteria'!$F$59)*100</f>
        <v>97</v>
      </c>
      <c r="Q7" s="17" t="str">
        <f>IF(K7&gt;='Selection Criteria'!$C$62,"Hero",IF(P7&gt;='Selection Criteria'!$C$63,"Probable Hero","Non-Hero"))</f>
        <v>Probable Hero</v>
      </c>
      <c r="R7" s="17" t="str">
        <f>IF(Q7="Hero",IF(INDEX('Path Scorecard'!$T$5:$T$71,MATCH($A7,'Path Scorecard'!$A$5:$A$71,0))&lt;='Selection Criteria'!$C$64,"PROTECT","EXTEND"),IF(Q7="Probable Hero","BUILD","HOLD"))</f>
        <v>BUILD</v>
      </c>
      <c r="S7" s="6" t="str">
        <f>INDEX('Path Scorecard'!$AB$5:$AB$71,MATCH($A7,'Path Scorecard'!$A$5:$A$71,0))</f>
        <v>Tier 1</v>
      </c>
      <c r="T7" s="10" t="s">
        <v>1057</v>
      </c>
      <c r="V7" s="24" t="e">
        <f t="shared" si="0"/>
        <v>#N/A</v>
      </c>
      <c r="W7" s="24" t="e">
        <f t="shared" si="1"/>
        <v>#N/A</v>
      </c>
      <c r="X7" s="24">
        <f t="shared" si="2"/>
        <v>60</v>
      </c>
      <c r="Y7" s="24">
        <f t="shared" si="3"/>
        <v>97</v>
      </c>
      <c r="Z7" s="24" t="e">
        <f t="shared" si="4"/>
        <v>#N/A</v>
      </c>
      <c r="AA7" s="24" t="e">
        <f t="shared" si="5"/>
        <v>#N/A</v>
      </c>
    </row>
    <row r="8" spans="1:27" ht="26.4" x14ac:dyDescent="0.3">
      <c r="A8" s="6" t="s">
        <v>183</v>
      </c>
      <c r="B8" s="7" t="s">
        <v>30</v>
      </c>
      <c r="C8" s="10" t="s">
        <v>777</v>
      </c>
      <c r="D8" s="10" t="s">
        <v>111</v>
      </c>
      <c r="E8" s="16">
        <v>229</v>
      </c>
      <c r="F8" s="6" t="s">
        <v>702</v>
      </c>
      <c r="G8" s="6">
        <f>IF(E8&gt;='Selection Criteria'!$C$66,5,IF(E8&gt;='Selection Criteria'!$C$67,4,IF(E8&gt;='Selection Criteria'!$C$68,3,IF(E8&gt;='Selection Criteria'!$C$69,2,1))))</f>
        <v>3</v>
      </c>
      <c r="H8" s="6">
        <f>IF(F8="Yes",'Selection Criteria'!$C$70,'Selection Criteria'!$C$71)</f>
        <v>5</v>
      </c>
      <c r="I8" s="18">
        <v>2</v>
      </c>
      <c r="J8" s="18">
        <v>2</v>
      </c>
      <c r="K8" s="23">
        <f>(G8*'Selection Criteria'!$F$49+H8*'Selection Criteria'!$F$50+I8*'Selection Criteria'!$F$51+J8*'Selection Criteria'!$F$52)/(5*'Selection Criteria'!$F$53)*100</f>
        <v>55.000000000000007</v>
      </c>
      <c r="L8" s="18">
        <v>4</v>
      </c>
      <c r="M8" s="18">
        <v>5</v>
      </c>
      <c r="N8" s="18">
        <v>4</v>
      </c>
      <c r="O8" s="6">
        <f>IF(INDEX('Path Scorecard'!$X$5:$X$71,MATCH($A8,'Path Scorecard'!$A$5:$A$71,0))="",3,INDEX('Path Scorecard'!$X$5:$X$71,MATCH($A8,'Path Scorecard'!$A$5:$A$71,0)))</f>
        <v>3</v>
      </c>
      <c r="P8" s="23">
        <f>(L8*'Selection Criteria'!$F$55+M8*'Selection Criteria'!$F$56+N8*'Selection Criteria'!$F$57+O8*'Selection Criteria'!$F$58)/(5*'Selection Criteria'!$F$59)*100</f>
        <v>82</v>
      </c>
      <c r="Q8" s="17" t="str">
        <f>IF(K8&gt;='Selection Criteria'!$C$62,"Hero",IF(P8&gt;='Selection Criteria'!$C$63,"Probable Hero","Non-Hero"))</f>
        <v>Probable Hero</v>
      </c>
      <c r="R8" s="17" t="str">
        <f>IF(Q8="Hero",IF(INDEX('Path Scorecard'!$T$5:$T$71,MATCH($A8,'Path Scorecard'!$A$5:$A$71,0))&lt;='Selection Criteria'!$C$64,"PROTECT","EXTEND"),IF(Q8="Probable Hero","BUILD","HOLD"))</f>
        <v>BUILD</v>
      </c>
      <c r="S8" s="6" t="str">
        <f>INDEX('Path Scorecard'!$AB$5:$AB$71,MATCH($A8,'Path Scorecard'!$A$5:$A$71,0))</f>
        <v>Tier 1</v>
      </c>
      <c r="T8" s="10" t="s">
        <v>1058</v>
      </c>
      <c r="V8" s="24" t="e">
        <f t="shared" si="0"/>
        <v>#N/A</v>
      </c>
      <c r="W8" s="24" t="e">
        <f t="shared" si="1"/>
        <v>#N/A</v>
      </c>
      <c r="X8" s="24">
        <f t="shared" si="2"/>
        <v>55.000000000000007</v>
      </c>
      <c r="Y8" s="24">
        <f t="shared" si="3"/>
        <v>82</v>
      </c>
      <c r="Z8" s="24" t="e">
        <f t="shared" si="4"/>
        <v>#N/A</v>
      </c>
      <c r="AA8" s="24" t="e">
        <f t="shared" si="5"/>
        <v>#N/A</v>
      </c>
    </row>
    <row r="9" spans="1:27" ht="26.4" x14ac:dyDescent="0.3">
      <c r="A9" s="6" t="s">
        <v>219</v>
      </c>
      <c r="B9" s="7" t="s">
        <v>33</v>
      </c>
      <c r="C9" s="10" t="s">
        <v>780</v>
      </c>
      <c r="D9" s="10" t="s">
        <v>124</v>
      </c>
      <c r="E9" s="16">
        <v>210</v>
      </c>
      <c r="F9" s="6" t="s">
        <v>702</v>
      </c>
      <c r="G9" s="6">
        <f>IF(E9&gt;='Selection Criteria'!$C$66,5,IF(E9&gt;='Selection Criteria'!$C$67,4,IF(E9&gt;='Selection Criteria'!$C$68,3,IF(E9&gt;='Selection Criteria'!$C$69,2,1))))</f>
        <v>3</v>
      </c>
      <c r="H9" s="6">
        <f>IF(F9="Yes",'Selection Criteria'!$C$70,'Selection Criteria'!$C$71)</f>
        <v>5</v>
      </c>
      <c r="I9" s="18">
        <v>2</v>
      </c>
      <c r="J9" s="18">
        <v>3</v>
      </c>
      <c r="K9" s="23">
        <f>(G9*'Selection Criteria'!$F$49+H9*'Selection Criteria'!$F$50+I9*'Selection Criteria'!$F$51+J9*'Selection Criteria'!$F$52)/(5*'Selection Criteria'!$F$53)*100</f>
        <v>61</v>
      </c>
      <c r="L9" s="18">
        <v>4</v>
      </c>
      <c r="M9" s="18">
        <v>5</v>
      </c>
      <c r="N9" s="18">
        <v>4</v>
      </c>
      <c r="O9" s="6">
        <f>IF(INDEX('Path Scorecard'!$X$5:$X$71,MATCH($A9,'Path Scorecard'!$A$5:$A$71,0))="",3,INDEX('Path Scorecard'!$X$5:$X$71,MATCH($A9,'Path Scorecard'!$A$5:$A$71,0)))</f>
        <v>3</v>
      </c>
      <c r="P9" s="23">
        <f>(L9*'Selection Criteria'!$F$55+M9*'Selection Criteria'!$F$56+N9*'Selection Criteria'!$F$57+O9*'Selection Criteria'!$F$58)/(5*'Selection Criteria'!$F$59)*100</f>
        <v>82</v>
      </c>
      <c r="Q9" s="17" t="str">
        <f>IF(K9&gt;='Selection Criteria'!$C$62,"Hero",IF(P9&gt;='Selection Criteria'!$C$63,"Probable Hero","Non-Hero"))</f>
        <v>Probable Hero</v>
      </c>
      <c r="R9" s="17" t="str">
        <f>IF(Q9="Hero",IF(INDEX('Path Scorecard'!$T$5:$T$71,MATCH($A9,'Path Scorecard'!$A$5:$A$71,0))&lt;='Selection Criteria'!$C$64,"PROTECT","EXTEND"),IF(Q9="Probable Hero","BUILD","HOLD"))</f>
        <v>BUILD</v>
      </c>
      <c r="S9" s="6" t="str">
        <f>INDEX('Path Scorecard'!$AB$5:$AB$71,MATCH($A9,'Path Scorecard'!$A$5:$A$71,0))</f>
        <v>Tier 1</v>
      </c>
      <c r="T9" s="10" t="s">
        <v>1059</v>
      </c>
      <c r="V9" s="24" t="e">
        <f t="shared" si="0"/>
        <v>#N/A</v>
      </c>
      <c r="W9" s="24" t="e">
        <f t="shared" si="1"/>
        <v>#N/A</v>
      </c>
      <c r="X9" s="24">
        <f t="shared" si="2"/>
        <v>61</v>
      </c>
      <c r="Y9" s="24">
        <f t="shared" si="3"/>
        <v>82</v>
      </c>
      <c r="Z9" s="24" t="e">
        <f t="shared" si="4"/>
        <v>#N/A</v>
      </c>
      <c r="AA9" s="24" t="e">
        <f t="shared" si="5"/>
        <v>#N/A</v>
      </c>
    </row>
    <row r="10" spans="1:27" ht="26.4" x14ac:dyDescent="0.3">
      <c r="A10" s="6" t="s">
        <v>782</v>
      </c>
      <c r="B10" s="7" t="s">
        <v>36</v>
      </c>
      <c r="C10" s="10" t="s">
        <v>768</v>
      </c>
      <c r="D10" s="10" t="s">
        <v>1060</v>
      </c>
      <c r="E10" s="16">
        <v>107</v>
      </c>
      <c r="F10" s="6" t="s">
        <v>702</v>
      </c>
      <c r="G10" s="6">
        <f>IF(E10&gt;='Selection Criteria'!$C$66,5,IF(E10&gt;='Selection Criteria'!$C$67,4,IF(E10&gt;='Selection Criteria'!$C$68,3,IF(E10&gt;='Selection Criteria'!$C$69,2,1))))</f>
        <v>2</v>
      </c>
      <c r="H10" s="6">
        <f>IF(F10="Yes",'Selection Criteria'!$C$70,'Selection Criteria'!$C$71)</f>
        <v>5</v>
      </c>
      <c r="I10" s="18">
        <v>3</v>
      </c>
      <c r="J10" s="18">
        <v>3</v>
      </c>
      <c r="K10" s="23">
        <f>(G10*'Selection Criteria'!$F$49+H10*'Selection Criteria'!$F$50+I10*'Selection Criteria'!$F$51+J10*'Selection Criteria'!$F$52)/(5*'Selection Criteria'!$F$53)*100</f>
        <v>60</v>
      </c>
      <c r="L10" s="18">
        <v>5</v>
      </c>
      <c r="M10" s="18">
        <v>4</v>
      </c>
      <c r="N10" s="18">
        <v>4</v>
      </c>
      <c r="O10" s="6">
        <f>IF(INDEX('Path Scorecard'!$X$5:$X$71,MATCH($A10,'Path Scorecard'!$A$5:$A$71,0))="",3,INDEX('Path Scorecard'!$X$5:$X$71,MATCH($A10,'Path Scorecard'!$A$5:$A$71,0)))</f>
        <v>5</v>
      </c>
      <c r="P10" s="23">
        <f>(L10*'Selection Criteria'!$F$55+M10*'Selection Criteria'!$F$56+N10*'Selection Criteria'!$F$57+O10*'Selection Criteria'!$F$58)/(5*'Selection Criteria'!$F$59)*100</f>
        <v>90</v>
      </c>
      <c r="Q10" s="17" t="str">
        <f>IF(K10&gt;='Selection Criteria'!$C$62,"Hero",IF(P10&gt;='Selection Criteria'!$C$63,"Probable Hero","Non-Hero"))</f>
        <v>Probable Hero</v>
      </c>
      <c r="R10" s="17" t="str">
        <f>IF(Q10="Hero",IF(INDEX('Path Scorecard'!$T$5:$T$71,MATCH($A10,'Path Scorecard'!$A$5:$A$71,0))&lt;='Selection Criteria'!$C$64,"PROTECT","EXTEND"),IF(Q10="Probable Hero","BUILD","HOLD"))</f>
        <v>BUILD</v>
      </c>
      <c r="S10" s="6" t="str">
        <f>INDEX('Path Scorecard'!$AB$5:$AB$71,MATCH($A10,'Path Scorecard'!$A$5:$A$71,0))</f>
        <v>Tier 1</v>
      </c>
      <c r="T10" s="10" t="s">
        <v>1061</v>
      </c>
      <c r="V10" s="24" t="e">
        <f t="shared" si="0"/>
        <v>#N/A</v>
      </c>
      <c r="W10" s="24" t="e">
        <f t="shared" si="1"/>
        <v>#N/A</v>
      </c>
      <c r="X10" s="24">
        <f t="shared" si="2"/>
        <v>60</v>
      </c>
      <c r="Y10" s="24">
        <f t="shared" si="3"/>
        <v>90</v>
      </c>
      <c r="Z10" s="24" t="e">
        <f t="shared" si="4"/>
        <v>#N/A</v>
      </c>
      <c r="AA10" s="24" t="e">
        <f t="shared" si="5"/>
        <v>#N/A</v>
      </c>
    </row>
    <row r="11" spans="1:27" ht="26.4" x14ac:dyDescent="0.3">
      <c r="A11" s="6" t="s">
        <v>234</v>
      </c>
      <c r="B11" s="7" t="s">
        <v>40</v>
      </c>
      <c r="C11" s="10" t="s">
        <v>790</v>
      </c>
      <c r="D11" s="10" t="s">
        <v>1062</v>
      </c>
      <c r="E11" s="16">
        <v>585</v>
      </c>
      <c r="F11" s="6" t="s">
        <v>1063</v>
      </c>
      <c r="G11" s="6">
        <f>IF(E11&gt;='Selection Criteria'!$C$66,5,IF(E11&gt;='Selection Criteria'!$C$67,4,IF(E11&gt;='Selection Criteria'!$C$68,3,IF(E11&gt;='Selection Criteria'!$C$69,2,1))))</f>
        <v>4</v>
      </c>
      <c r="H11" s="6">
        <f>IF(F11="Yes",'Selection Criteria'!$C$70,'Selection Criteria'!$C$71)</f>
        <v>2</v>
      </c>
      <c r="I11" s="18">
        <v>4</v>
      </c>
      <c r="J11" s="18">
        <v>4</v>
      </c>
      <c r="K11" s="23">
        <f>(G11*'Selection Criteria'!$F$49+H11*'Selection Criteria'!$F$50+I11*'Selection Criteria'!$F$51+J11*'Selection Criteria'!$F$52)/(5*'Selection Criteria'!$F$53)*100</f>
        <v>74</v>
      </c>
      <c r="L11" s="18">
        <v>4</v>
      </c>
      <c r="M11" s="18">
        <v>5</v>
      </c>
      <c r="N11" s="18">
        <v>5</v>
      </c>
      <c r="O11" s="6">
        <f>IF(INDEX('Path Scorecard'!$X$5:$X$71,MATCH($A11,'Path Scorecard'!$A$5:$A$71,0))="",3,INDEX('Path Scorecard'!$X$5:$X$71,MATCH($A11,'Path Scorecard'!$A$5:$A$71,0)))</f>
        <v>5</v>
      </c>
      <c r="P11" s="23">
        <f>(L11*'Selection Criteria'!$F$55+M11*'Selection Criteria'!$F$56+N11*'Selection Criteria'!$F$57+O11*'Selection Criteria'!$F$58)/(5*'Selection Criteria'!$F$59)*100</f>
        <v>93</v>
      </c>
      <c r="Q11" s="17" t="str">
        <f>IF(K11&gt;='Selection Criteria'!$C$62,"Hero",IF(P11&gt;='Selection Criteria'!$C$63,"Probable Hero","Non-Hero"))</f>
        <v>Hero</v>
      </c>
      <c r="R11" s="17" t="str">
        <f>IF(Q11="Hero",IF(INDEX('Path Scorecard'!$T$5:$T$71,MATCH($A11,'Path Scorecard'!$A$5:$A$71,0))&lt;='Selection Criteria'!$C$64,"PROTECT","EXTEND"),IF(Q11="Probable Hero","BUILD","HOLD"))</f>
        <v>EXTEND</v>
      </c>
      <c r="S11" s="6" t="str">
        <f>INDEX('Path Scorecard'!$AB$5:$AB$71,MATCH($A11,'Path Scorecard'!$A$5:$A$71,0))</f>
        <v>Tier 1</v>
      </c>
      <c r="T11" s="10" t="s">
        <v>1064</v>
      </c>
      <c r="V11" s="24">
        <f t="shared" si="0"/>
        <v>74</v>
      </c>
      <c r="W11" s="24">
        <f t="shared" si="1"/>
        <v>93</v>
      </c>
      <c r="X11" s="24" t="e">
        <f t="shared" si="2"/>
        <v>#N/A</v>
      </c>
      <c r="Y11" s="24" t="e">
        <f t="shared" si="3"/>
        <v>#N/A</v>
      </c>
      <c r="Z11" s="24" t="e">
        <f t="shared" si="4"/>
        <v>#N/A</v>
      </c>
      <c r="AA11" s="24" t="e">
        <f t="shared" si="5"/>
        <v>#N/A</v>
      </c>
    </row>
    <row r="12" spans="1:27" ht="26.4" x14ac:dyDescent="0.3">
      <c r="A12" s="6" t="s">
        <v>236</v>
      </c>
      <c r="B12" s="7" t="s">
        <v>43</v>
      </c>
      <c r="C12" s="10" t="s">
        <v>790</v>
      </c>
      <c r="D12" s="10" t="s">
        <v>1065</v>
      </c>
      <c r="E12" s="16">
        <v>404</v>
      </c>
      <c r="F12" s="6" t="s">
        <v>1063</v>
      </c>
      <c r="G12" s="6">
        <f>IF(E12&gt;='Selection Criteria'!$C$66,5,IF(E12&gt;='Selection Criteria'!$C$67,4,IF(E12&gt;='Selection Criteria'!$C$68,3,IF(E12&gt;='Selection Criteria'!$C$69,2,1))))</f>
        <v>3</v>
      </c>
      <c r="H12" s="6">
        <f>IF(F12="Yes",'Selection Criteria'!$C$70,'Selection Criteria'!$C$71)</f>
        <v>2</v>
      </c>
      <c r="I12" s="18">
        <v>3</v>
      </c>
      <c r="J12" s="18">
        <v>3</v>
      </c>
      <c r="K12" s="23">
        <f>(G12*'Selection Criteria'!$F$49+H12*'Selection Criteria'!$F$50+I12*'Selection Criteria'!$F$51+J12*'Selection Criteria'!$F$52)/(5*'Selection Criteria'!$F$53)*100</f>
        <v>56.999999999999993</v>
      </c>
      <c r="L12" s="18">
        <v>5</v>
      </c>
      <c r="M12" s="18">
        <v>5</v>
      </c>
      <c r="N12" s="18">
        <v>4</v>
      </c>
      <c r="O12" s="6">
        <f>IF(INDEX('Path Scorecard'!$X$5:$X$71,MATCH($A12,'Path Scorecard'!$A$5:$A$71,0))="",3,INDEX('Path Scorecard'!$X$5:$X$71,MATCH($A12,'Path Scorecard'!$A$5:$A$71,0)))</f>
        <v>5</v>
      </c>
      <c r="P12" s="23">
        <f>(L12*'Selection Criteria'!$F$55+M12*'Selection Criteria'!$F$56+N12*'Selection Criteria'!$F$57+O12*'Selection Criteria'!$F$58)/(5*'Selection Criteria'!$F$59)*100</f>
        <v>95</v>
      </c>
      <c r="Q12" s="17" t="str">
        <f>IF(K12&gt;='Selection Criteria'!$C$62,"Hero",IF(P12&gt;='Selection Criteria'!$C$63,"Probable Hero","Non-Hero"))</f>
        <v>Probable Hero</v>
      </c>
      <c r="R12" s="17" t="str">
        <f>IF(Q12="Hero",IF(INDEX('Path Scorecard'!$T$5:$T$71,MATCH($A12,'Path Scorecard'!$A$5:$A$71,0))&lt;='Selection Criteria'!$C$64,"PROTECT","EXTEND"),IF(Q12="Probable Hero","BUILD","HOLD"))</f>
        <v>BUILD</v>
      </c>
      <c r="S12" s="6" t="str">
        <f>INDEX('Path Scorecard'!$AB$5:$AB$71,MATCH($A12,'Path Scorecard'!$A$5:$A$71,0))</f>
        <v>Tier 1</v>
      </c>
      <c r="T12" s="10" t="s">
        <v>1066</v>
      </c>
      <c r="V12" s="24" t="e">
        <f t="shared" si="0"/>
        <v>#N/A</v>
      </c>
      <c r="W12" s="24" t="e">
        <f t="shared" si="1"/>
        <v>#N/A</v>
      </c>
      <c r="X12" s="24">
        <f t="shared" si="2"/>
        <v>56.999999999999993</v>
      </c>
      <c r="Y12" s="24">
        <f t="shared" si="3"/>
        <v>95</v>
      </c>
      <c r="Z12" s="24" t="e">
        <f t="shared" si="4"/>
        <v>#N/A</v>
      </c>
      <c r="AA12" s="24" t="e">
        <f t="shared" si="5"/>
        <v>#N/A</v>
      </c>
    </row>
    <row r="13" spans="1:27" ht="26.4" x14ac:dyDescent="0.3">
      <c r="A13" s="6" t="s">
        <v>795</v>
      </c>
      <c r="B13" s="7" t="s">
        <v>46</v>
      </c>
      <c r="C13" s="10" t="s">
        <v>768</v>
      </c>
      <c r="D13" s="10" t="s">
        <v>1067</v>
      </c>
      <c r="E13" s="16">
        <v>607</v>
      </c>
      <c r="F13" s="6" t="s">
        <v>702</v>
      </c>
      <c r="G13" s="6">
        <f>IF(E13&gt;='Selection Criteria'!$C$66,5,IF(E13&gt;='Selection Criteria'!$C$67,4,IF(E13&gt;='Selection Criteria'!$C$68,3,IF(E13&gt;='Selection Criteria'!$C$69,2,1))))</f>
        <v>4</v>
      </c>
      <c r="H13" s="6">
        <f>IF(F13="Yes",'Selection Criteria'!$C$70,'Selection Criteria'!$C$71)</f>
        <v>5</v>
      </c>
      <c r="I13" s="18">
        <v>4</v>
      </c>
      <c r="J13" s="18">
        <v>4</v>
      </c>
      <c r="K13" s="23">
        <f>(G13*'Selection Criteria'!$F$49+H13*'Selection Criteria'!$F$50+I13*'Selection Criteria'!$F$51+J13*'Selection Criteria'!$F$52)/(5*'Selection Criteria'!$F$53)*100</f>
        <v>83</v>
      </c>
      <c r="L13" s="18">
        <v>4</v>
      </c>
      <c r="M13" s="18">
        <v>4</v>
      </c>
      <c r="N13" s="18">
        <v>4</v>
      </c>
      <c r="O13" s="6">
        <f>IF(INDEX('Path Scorecard'!$X$5:$X$71,MATCH($A13,'Path Scorecard'!$A$5:$A$71,0))="",3,INDEX('Path Scorecard'!$X$5:$X$71,MATCH($A13,'Path Scorecard'!$A$5:$A$71,0)))</f>
        <v>5</v>
      </c>
      <c r="P13" s="23">
        <f>(L13*'Selection Criteria'!$F$55+M13*'Selection Criteria'!$F$56+N13*'Selection Criteria'!$F$57+O13*'Selection Criteria'!$F$58)/(5*'Selection Criteria'!$F$59)*100</f>
        <v>83</v>
      </c>
      <c r="Q13" s="17" t="str">
        <f>IF(K13&gt;='Selection Criteria'!$C$62,"Hero",IF(P13&gt;='Selection Criteria'!$C$63,"Probable Hero","Non-Hero"))</f>
        <v>Hero</v>
      </c>
      <c r="R13" s="17" t="str">
        <f>IF(Q13="Hero",IF(INDEX('Path Scorecard'!$T$5:$T$71,MATCH($A13,'Path Scorecard'!$A$5:$A$71,0))&lt;='Selection Criteria'!$C$64,"PROTECT","EXTEND"),IF(Q13="Probable Hero","BUILD","HOLD"))</f>
        <v>EXTEND</v>
      </c>
      <c r="S13" s="6" t="str">
        <f>INDEX('Path Scorecard'!$AB$5:$AB$71,MATCH($A13,'Path Scorecard'!$A$5:$A$71,0))</f>
        <v>Tier 1</v>
      </c>
      <c r="T13" s="10" t="s">
        <v>1068</v>
      </c>
      <c r="V13" s="24">
        <f t="shared" si="0"/>
        <v>83</v>
      </c>
      <c r="W13" s="24">
        <f t="shared" si="1"/>
        <v>83</v>
      </c>
      <c r="X13" s="24" t="e">
        <f t="shared" si="2"/>
        <v>#N/A</v>
      </c>
      <c r="Y13" s="24" t="e">
        <f t="shared" si="3"/>
        <v>#N/A</v>
      </c>
      <c r="Z13" s="24" t="e">
        <f t="shared" si="4"/>
        <v>#N/A</v>
      </c>
      <c r="AA13" s="24" t="e">
        <f t="shared" si="5"/>
        <v>#N/A</v>
      </c>
    </row>
    <row r="14" spans="1:27" ht="26.4" x14ac:dyDescent="0.3">
      <c r="A14" s="6" t="s">
        <v>801</v>
      </c>
      <c r="B14" s="7" t="s">
        <v>49</v>
      </c>
      <c r="C14" s="10" t="s">
        <v>768</v>
      </c>
      <c r="D14" s="10" t="s">
        <v>1069</v>
      </c>
      <c r="E14" s="16">
        <v>95</v>
      </c>
      <c r="F14" s="6" t="s">
        <v>702</v>
      </c>
      <c r="G14" s="6">
        <f>IF(E14&gt;='Selection Criteria'!$C$66,5,IF(E14&gt;='Selection Criteria'!$C$67,4,IF(E14&gt;='Selection Criteria'!$C$68,3,IF(E14&gt;='Selection Criteria'!$C$69,2,1))))</f>
        <v>2</v>
      </c>
      <c r="H14" s="6">
        <f>IF(F14="Yes",'Selection Criteria'!$C$70,'Selection Criteria'!$C$71)</f>
        <v>5</v>
      </c>
      <c r="I14" s="18">
        <v>1</v>
      </c>
      <c r="J14" s="18">
        <v>2</v>
      </c>
      <c r="K14" s="23">
        <f>(G14*'Selection Criteria'!$F$49+H14*'Selection Criteria'!$F$50+I14*'Selection Criteria'!$F$51+J14*'Selection Criteria'!$F$52)/(5*'Selection Criteria'!$F$53)*100</f>
        <v>44</v>
      </c>
      <c r="L14" s="18">
        <v>4</v>
      </c>
      <c r="M14" s="18">
        <v>5</v>
      </c>
      <c r="N14" s="18">
        <v>4</v>
      </c>
      <c r="O14" s="6">
        <f>IF(INDEX('Path Scorecard'!$X$5:$X$71,MATCH($A14,'Path Scorecard'!$A$5:$A$71,0))="",3,INDEX('Path Scorecard'!$X$5:$X$71,MATCH($A14,'Path Scorecard'!$A$5:$A$71,0)))</f>
        <v>5</v>
      </c>
      <c r="P14" s="23">
        <f>(L14*'Selection Criteria'!$F$55+M14*'Selection Criteria'!$F$56+N14*'Selection Criteria'!$F$57+O14*'Selection Criteria'!$F$58)/(5*'Selection Criteria'!$F$59)*100</f>
        <v>88</v>
      </c>
      <c r="Q14" s="17" t="str">
        <f>IF(K14&gt;='Selection Criteria'!$C$62,"Hero",IF(P14&gt;='Selection Criteria'!$C$63,"Probable Hero","Non-Hero"))</f>
        <v>Probable Hero</v>
      </c>
      <c r="R14" s="17" t="str">
        <f>IF(Q14="Hero",IF(INDEX('Path Scorecard'!$T$5:$T$71,MATCH($A14,'Path Scorecard'!$A$5:$A$71,0))&lt;='Selection Criteria'!$C$64,"PROTECT","EXTEND"),IF(Q14="Probable Hero","BUILD","HOLD"))</f>
        <v>BUILD</v>
      </c>
      <c r="S14" s="6" t="str">
        <f>INDEX('Path Scorecard'!$AB$5:$AB$71,MATCH($A14,'Path Scorecard'!$A$5:$A$71,0))</f>
        <v>Tier 1</v>
      </c>
      <c r="T14" s="10" t="s">
        <v>1070</v>
      </c>
      <c r="V14" s="24" t="e">
        <f t="shared" si="0"/>
        <v>#N/A</v>
      </c>
      <c r="W14" s="24" t="e">
        <f t="shared" si="1"/>
        <v>#N/A</v>
      </c>
      <c r="X14" s="24">
        <f t="shared" si="2"/>
        <v>44</v>
      </c>
      <c r="Y14" s="24">
        <f t="shared" si="3"/>
        <v>88</v>
      </c>
      <c r="Z14" s="24" t="e">
        <f t="shared" si="4"/>
        <v>#N/A</v>
      </c>
      <c r="AA14" s="24" t="e">
        <f t="shared" si="5"/>
        <v>#N/A</v>
      </c>
    </row>
    <row r="15" spans="1:27" ht="26.4" x14ac:dyDescent="0.3">
      <c r="A15" s="6" t="s">
        <v>238</v>
      </c>
      <c r="B15" s="7" t="s">
        <v>239</v>
      </c>
      <c r="C15" s="10" t="s">
        <v>790</v>
      </c>
      <c r="D15" s="10" t="s">
        <v>1062</v>
      </c>
      <c r="E15" s="16">
        <v>300</v>
      </c>
      <c r="F15" s="6" t="s">
        <v>1063</v>
      </c>
      <c r="G15" s="6">
        <f>IF(E15&gt;='Selection Criteria'!$C$66,5,IF(E15&gt;='Selection Criteria'!$C$67,4,IF(E15&gt;='Selection Criteria'!$C$68,3,IF(E15&gt;='Selection Criteria'!$C$69,2,1))))</f>
        <v>3</v>
      </c>
      <c r="H15" s="6">
        <f>IF(F15="Yes",'Selection Criteria'!$C$70,'Selection Criteria'!$C$71)</f>
        <v>2</v>
      </c>
      <c r="I15" s="18">
        <v>3</v>
      </c>
      <c r="J15" s="18">
        <v>4</v>
      </c>
      <c r="K15" s="23">
        <f>(G15*'Selection Criteria'!$F$49+H15*'Selection Criteria'!$F$50+I15*'Selection Criteria'!$F$51+J15*'Selection Criteria'!$F$52)/(5*'Selection Criteria'!$F$53)*100</f>
        <v>63</v>
      </c>
      <c r="L15" s="18">
        <v>3</v>
      </c>
      <c r="M15" s="18">
        <v>4</v>
      </c>
      <c r="N15" s="18">
        <v>4</v>
      </c>
      <c r="O15" s="6">
        <f>IF(INDEX('Path Scorecard'!$X$5:$X$71,MATCH($A15,'Path Scorecard'!$A$5:$A$71,0))="",3,INDEX('Path Scorecard'!$X$5:$X$71,MATCH($A15,'Path Scorecard'!$A$5:$A$71,0)))</f>
        <v>4</v>
      </c>
      <c r="P15" s="23">
        <f>(L15*'Selection Criteria'!$F$55+M15*'Selection Criteria'!$F$56+N15*'Selection Criteria'!$F$57+O15*'Selection Criteria'!$F$58)/(5*'Selection Criteria'!$F$59)*100</f>
        <v>73</v>
      </c>
      <c r="Q15" s="17" t="str">
        <f>IF(K15&gt;='Selection Criteria'!$C$62,"Hero",IF(P15&gt;='Selection Criteria'!$C$63,"Probable Hero","Non-Hero"))</f>
        <v>Probable Hero</v>
      </c>
      <c r="R15" s="17" t="str">
        <f>IF(Q15="Hero",IF(INDEX('Path Scorecard'!$T$5:$T$71,MATCH($A15,'Path Scorecard'!$A$5:$A$71,0))&lt;='Selection Criteria'!$C$64,"PROTECT","EXTEND"),IF(Q15="Probable Hero","BUILD","HOLD"))</f>
        <v>BUILD</v>
      </c>
      <c r="S15" s="6" t="str">
        <f>INDEX('Path Scorecard'!$AB$5:$AB$71,MATCH($A15,'Path Scorecard'!$A$5:$A$71,0))</f>
        <v>Tier 2</v>
      </c>
      <c r="T15" s="10"/>
      <c r="V15" s="24" t="e">
        <f t="shared" si="0"/>
        <v>#N/A</v>
      </c>
      <c r="W15" s="24" t="e">
        <f t="shared" si="1"/>
        <v>#N/A</v>
      </c>
      <c r="X15" s="24">
        <f t="shared" si="2"/>
        <v>63</v>
      </c>
      <c r="Y15" s="24">
        <f t="shared" si="3"/>
        <v>73</v>
      </c>
      <c r="Z15" s="24" t="e">
        <f t="shared" si="4"/>
        <v>#N/A</v>
      </c>
      <c r="AA15" s="24" t="e">
        <f t="shared" si="5"/>
        <v>#N/A</v>
      </c>
    </row>
    <row r="16" spans="1:27" ht="26.4" x14ac:dyDescent="0.3">
      <c r="A16" s="6" t="s">
        <v>241</v>
      </c>
      <c r="B16" s="7" t="s">
        <v>242</v>
      </c>
      <c r="C16" s="10" t="s">
        <v>790</v>
      </c>
      <c r="D16" s="10" t="s">
        <v>1071</v>
      </c>
      <c r="E16" s="16">
        <v>173</v>
      </c>
      <c r="F16" s="6" t="s">
        <v>1063</v>
      </c>
      <c r="G16" s="6">
        <f>IF(E16&gt;='Selection Criteria'!$C$66,5,IF(E16&gt;='Selection Criteria'!$C$67,4,IF(E16&gt;='Selection Criteria'!$C$68,3,IF(E16&gt;='Selection Criteria'!$C$69,2,1))))</f>
        <v>2</v>
      </c>
      <c r="H16" s="6">
        <f>IF(F16="Yes",'Selection Criteria'!$C$70,'Selection Criteria'!$C$71)</f>
        <v>2</v>
      </c>
      <c r="I16" s="18">
        <v>2</v>
      </c>
      <c r="J16" s="18">
        <v>2</v>
      </c>
      <c r="K16" s="23">
        <f>(G16*'Selection Criteria'!$F$49+H16*'Selection Criteria'!$F$50+I16*'Selection Criteria'!$F$51+J16*'Selection Criteria'!$F$52)/(5*'Selection Criteria'!$F$53)*100</f>
        <v>40</v>
      </c>
      <c r="L16" s="18">
        <v>3</v>
      </c>
      <c r="M16" s="18">
        <v>4</v>
      </c>
      <c r="N16" s="18">
        <v>3</v>
      </c>
      <c r="O16" s="6">
        <f>IF(INDEX('Path Scorecard'!$X$5:$X$71,MATCH($A16,'Path Scorecard'!$A$5:$A$71,0))="",3,INDEX('Path Scorecard'!$X$5:$X$71,MATCH($A16,'Path Scorecard'!$A$5:$A$71,0)))</f>
        <v>3</v>
      </c>
      <c r="P16" s="23">
        <f>(L16*'Selection Criteria'!$F$55+M16*'Selection Criteria'!$F$56+N16*'Selection Criteria'!$F$57+O16*'Selection Criteria'!$F$58)/(5*'Selection Criteria'!$F$59)*100</f>
        <v>65</v>
      </c>
      <c r="Q16" s="17" t="str">
        <f>IF(K16&gt;='Selection Criteria'!$C$62,"Hero",IF(P16&gt;='Selection Criteria'!$C$63,"Probable Hero","Non-Hero"))</f>
        <v>Probable Hero</v>
      </c>
      <c r="R16" s="17" t="str">
        <f>IF(Q16="Hero",IF(INDEX('Path Scorecard'!$T$5:$T$71,MATCH($A16,'Path Scorecard'!$A$5:$A$71,0))&lt;='Selection Criteria'!$C$64,"PROTECT","EXTEND"),IF(Q16="Probable Hero","BUILD","HOLD"))</f>
        <v>BUILD</v>
      </c>
      <c r="S16" s="6" t="str">
        <f>INDEX('Path Scorecard'!$AB$5:$AB$71,MATCH($A16,'Path Scorecard'!$A$5:$A$71,0))</f>
        <v>Tier 2</v>
      </c>
      <c r="T16" s="10"/>
      <c r="V16" s="24" t="e">
        <f t="shared" si="0"/>
        <v>#N/A</v>
      </c>
      <c r="W16" s="24" t="e">
        <f t="shared" si="1"/>
        <v>#N/A</v>
      </c>
      <c r="X16" s="24">
        <f t="shared" si="2"/>
        <v>40</v>
      </c>
      <c r="Y16" s="24">
        <f t="shared" si="3"/>
        <v>65</v>
      </c>
      <c r="Z16" s="24" t="e">
        <f t="shared" si="4"/>
        <v>#N/A</v>
      </c>
      <c r="AA16" s="24" t="e">
        <f t="shared" si="5"/>
        <v>#N/A</v>
      </c>
    </row>
    <row r="17" spans="1:27" x14ac:dyDescent="0.3">
      <c r="A17" s="6" t="s">
        <v>210</v>
      </c>
      <c r="B17" s="7" t="s">
        <v>211</v>
      </c>
      <c r="C17" s="10" t="s">
        <v>810</v>
      </c>
      <c r="D17" s="10" t="s">
        <v>118</v>
      </c>
      <c r="E17" s="16">
        <v>1501</v>
      </c>
      <c r="F17" s="6" t="s">
        <v>702</v>
      </c>
      <c r="G17" s="6">
        <f>IF(E17&gt;='Selection Criteria'!$C$66,5,IF(E17&gt;='Selection Criteria'!$C$67,4,IF(E17&gt;='Selection Criteria'!$C$68,3,IF(E17&gt;='Selection Criteria'!$C$69,2,1))))</f>
        <v>5</v>
      </c>
      <c r="H17" s="6">
        <f>IF(F17="Yes",'Selection Criteria'!$C$70,'Selection Criteria'!$C$71)</f>
        <v>5</v>
      </c>
      <c r="I17" s="18">
        <v>4</v>
      </c>
      <c r="J17" s="18">
        <v>5</v>
      </c>
      <c r="K17" s="23">
        <f>(G17*'Selection Criteria'!$F$49+H17*'Selection Criteria'!$F$50+I17*'Selection Criteria'!$F$51+J17*'Selection Criteria'!$F$52)/(5*'Selection Criteria'!$F$53)*100</f>
        <v>95</v>
      </c>
      <c r="L17" s="18">
        <v>3</v>
      </c>
      <c r="M17" s="18">
        <v>5</v>
      </c>
      <c r="N17" s="18">
        <v>4</v>
      </c>
      <c r="O17" s="6">
        <f>IF(INDEX('Path Scorecard'!$X$5:$X$71,MATCH($A17,'Path Scorecard'!$A$5:$A$71,0))="",3,INDEX('Path Scorecard'!$X$5:$X$71,MATCH($A17,'Path Scorecard'!$A$5:$A$71,0)))</f>
        <v>4</v>
      </c>
      <c r="P17" s="23">
        <f>(L17*'Selection Criteria'!$F$55+M17*'Selection Criteria'!$F$56+N17*'Selection Criteria'!$F$57+O17*'Selection Criteria'!$F$58)/(5*'Selection Criteria'!$F$59)*100</f>
        <v>78</v>
      </c>
      <c r="Q17" s="17" t="str">
        <f>IF(K17&gt;='Selection Criteria'!$C$62,"Hero",IF(P17&gt;='Selection Criteria'!$C$63,"Probable Hero","Non-Hero"))</f>
        <v>Hero</v>
      </c>
      <c r="R17" s="17" t="str">
        <f>IF(Q17="Hero",IF(INDEX('Path Scorecard'!$T$5:$T$71,MATCH($A17,'Path Scorecard'!$A$5:$A$71,0))&lt;='Selection Criteria'!$C$64,"PROTECT","EXTEND"),IF(Q17="Probable Hero","BUILD","HOLD"))</f>
        <v>EXTEND</v>
      </c>
      <c r="S17" s="6" t="str">
        <f>INDEX('Path Scorecard'!$AB$5:$AB$71,MATCH($A17,'Path Scorecard'!$A$5:$A$71,0))</f>
        <v>Tier 2</v>
      </c>
      <c r="T17" s="10" t="s">
        <v>1072</v>
      </c>
      <c r="V17" s="24">
        <f t="shared" si="0"/>
        <v>95</v>
      </c>
      <c r="W17" s="24">
        <f t="shared" si="1"/>
        <v>78</v>
      </c>
      <c r="X17" s="24" t="e">
        <f t="shared" si="2"/>
        <v>#N/A</v>
      </c>
      <c r="Y17" s="24" t="e">
        <f t="shared" si="3"/>
        <v>#N/A</v>
      </c>
      <c r="Z17" s="24" t="e">
        <f t="shared" si="4"/>
        <v>#N/A</v>
      </c>
      <c r="AA17" s="24" t="e">
        <f t="shared" si="5"/>
        <v>#N/A</v>
      </c>
    </row>
    <row r="18" spans="1:27" ht="26.4" x14ac:dyDescent="0.3">
      <c r="A18" s="6" t="s">
        <v>276</v>
      </c>
      <c r="B18" s="7" t="s">
        <v>277</v>
      </c>
      <c r="C18" s="10" t="s">
        <v>762</v>
      </c>
      <c r="D18" s="10" t="s">
        <v>1073</v>
      </c>
      <c r="E18" s="16">
        <v>253</v>
      </c>
      <c r="F18" s="6" t="s">
        <v>702</v>
      </c>
      <c r="G18" s="6">
        <f>IF(E18&gt;='Selection Criteria'!$C$66,5,IF(E18&gt;='Selection Criteria'!$C$67,4,IF(E18&gt;='Selection Criteria'!$C$68,3,IF(E18&gt;='Selection Criteria'!$C$69,2,1))))</f>
        <v>3</v>
      </c>
      <c r="H18" s="6">
        <f>IF(F18="Yes",'Selection Criteria'!$C$70,'Selection Criteria'!$C$71)</f>
        <v>5</v>
      </c>
      <c r="I18" s="18">
        <v>3</v>
      </c>
      <c r="J18" s="18">
        <v>2</v>
      </c>
      <c r="K18" s="23">
        <f>(G18*'Selection Criteria'!$F$49+H18*'Selection Criteria'!$F$50+I18*'Selection Criteria'!$F$51+J18*'Selection Criteria'!$F$52)/(5*'Selection Criteria'!$F$53)*100</f>
        <v>60</v>
      </c>
      <c r="L18" s="18">
        <v>5</v>
      </c>
      <c r="M18" s="18">
        <v>4</v>
      </c>
      <c r="N18" s="18">
        <v>4</v>
      </c>
      <c r="O18" s="6">
        <f>IF(INDEX('Path Scorecard'!$X$5:$X$71,MATCH($A18,'Path Scorecard'!$A$5:$A$71,0))="",3,INDEX('Path Scorecard'!$X$5:$X$71,MATCH($A18,'Path Scorecard'!$A$5:$A$71,0)))</f>
        <v>4</v>
      </c>
      <c r="P18" s="23">
        <f>(L18*'Selection Criteria'!$F$55+M18*'Selection Criteria'!$F$56+N18*'Selection Criteria'!$F$57+O18*'Selection Criteria'!$F$58)/(5*'Selection Criteria'!$F$59)*100</f>
        <v>87</v>
      </c>
      <c r="Q18" s="17" t="str">
        <f>IF(K18&gt;='Selection Criteria'!$C$62,"Hero",IF(P18&gt;='Selection Criteria'!$C$63,"Probable Hero","Non-Hero"))</f>
        <v>Probable Hero</v>
      </c>
      <c r="R18" s="17" t="str">
        <f>IF(Q18="Hero",IF(INDEX('Path Scorecard'!$T$5:$T$71,MATCH($A18,'Path Scorecard'!$A$5:$A$71,0))&lt;='Selection Criteria'!$C$64,"PROTECT","EXTEND"),IF(Q18="Probable Hero","BUILD","HOLD"))</f>
        <v>BUILD</v>
      </c>
      <c r="S18" s="6" t="str">
        <f>INDEX('Path Scorecard'!$AB$5:$AB$71,MATCH($A18,'Path Scorecard'!$A$5:$A$71,0))</f>
        <v>Tier 2</v>
      </c>
      <c r="T18" s="10"/>
      <c r="V18" s="24" t="e">
        <f t="shared" si="0"/>
        <v>#N/A</v>
      </c>
      <c r="W18" s="24" t="e">
        <f t="shared" si="1"/>
        <v>#N/A</v>
      </c>
      <c r="X18" s="24">
        <f t="shared" si="2"/>
        <v>60</v>
      </c>
      <c r="Y18" s="24">
        <f t="shared" si="3"/>
        <v>87</v>
      </c>
      <c r="Z18" s="24" t="e">
        <f t="shared" si="4"/>
        <v>#N/A</v>
      </c>
      <c r="AA18" s="24" t="e">
        <f t="shared" si="5"/>
        <v>#N/A</v>
      </c>
    </row>
    <row r="19" spans="1:27" ht="26.4" x14ac:dyDescent="0.3">
      <c r="A19" s="6" t="s">
        <v>815</v>
      </c>
      <c r="B19" s="7" t="s">
        <v>389</v>
      </c>
      <c r="C19" s="10" t="s">
        <v>768</v>
      </c>
      <c r="D19" s="10" t="s">
        <v>1074</v>
      </c>
      <c r="E19" s="16">
        <v>203</v>
      </c>
      <c r="F19" s="6" t="s">
        <v>702</v>
      </c>
      <c r="G19" s="6">
        <f>IF(E19&gt;='Selection Criteria'!$C$66,5,IF(E19&gt;='Selection Criteria'!$C$67,4,IF(E19&gt;='Selection Criteria'!$C$68,3,IF(E19&gt;='Selection Criteria'!$C$69,2,1))))</f>
        <v>3</v>
      </c>
      <c r="H19" s="6">
        <f>IF(F19="Yes",'Selection Criteria'!$C$70,'Selection Criteria'!$C$71)</f>
        <v>5</v>
      </c>
      <c r="I19" s="18">
        <v>2</v>
      </c>
      <c r="J19" s="18">
        <v>2</v>
      </c>
      <c r="K19" s="23">
        <f>(G19*'Selection Criteria'!$F$49+H19*'Selection Criteria'!$F$50+I19*'Selection Criteria'!$F$51+J19*'Selection Criteria'!$F$52)/(5*'Selection Criteria'!$F$53)*100</f>
        <v>55.000000000000007</v>
      </c>
      <c r="L19" s="18">
        <v>4</v>
      </c>
      <c r="M19" s="18">
        <v>5</v>
      </c>
      <c r="N19" s="18">
        <v>4</v>
      </c>
      <c r="O19" s="6">
        <f>IF(INDEX('Path Scorecard'!$X$5:$X$71,MATCH($A19,'Path Scorecard'!$A$5:$A$71,0))="",3,INDEX('Path Scorecard'!$X$5:$X$71,MATCH($A19,'Path Scorecard'!$A$5:$A$71,0)))</f>
        <v>3</v>
      </c>
      <c r="P19" s="23">
        <f>(L19*'Selection Criteria'!$F$55+M19*'Selection Criteria'!$F$56+N19*'Selection Criteria'!$F$57+O19*'Selection Criteria'!$F$58)/(5*'Selection Criteria'!$F$59)*100</f>
        <v>82</v>
      </c>
      <c r="Q19" s="17" t="str">
        <f>IF(K19&gt;='Selection Criteria'!$C$62,"Hero",IF(P19&gt;='Selection Criteria'!$C$63,"Probable Hero","Non-Hero"))</f>
        <v>Probable Hero</v>
      </c>
      <c r="R19" s="17" t="str">
        <f>IF(Q19="Hero",IF(INDEX('Path Scorecard'!$T$5:$T$71,MATCH($A19,'Path Scorecard'!$A$5:$A$71,0))&lt;='Selection Criteria'!$C$64,"PROTECT","EXTEND"),IF(Q19="Probable Hero","BUILD","HOLD"))</f>
        <v>BUILD</v>
      </c>
      <c r="S19" s="6" t="str">
        <f>INDEX('Path Scorecard'!$AB$5:$AB$71,MATCH($A19,'Path Scorecard'!$A$5:$A$71,0))</f>
        <v>Tier 2</v>
      </c>
      <c r="T19" s="10"/>
      <c r="V19" s="24" t="e">
        <f t="shared" si="0"/>
        <v>#N/A</v>
      </c>
      <c r="W19" s="24" t="e">
        <f t="shared" si="1"/>
        <v>#N/A</v>
      </c>
      <c r="X19" s="24">
        <f t="shared" si="2"/>
        <v>55.000000000000007</v>
      </c>
      <c r="Y19" s="24">
        <f t="shared" si="3"/>
        <v>82</v>
      </c>
      <c r="Z19" s="24" t="e">
        <f t="shared" si="4"/>
        <v>#N/A</v>
      </c>
      <c r="AA19" s="24" t="e">
        <f t="shared" si="5"/>
        <v>#N/A</v>
      </c>
    </row>
    <row r="20" spans="1:27" ht="26.4" x14ac:dyDescent="0.3">
      <c r="A20" s="6" t="s">
        <v>282</v>
      </c>
      <c r="B20" s="7" t="s">
        <v>283</v>
      </c>
      <c r="C20" s="10" t="s">
        <v>762</v>
      </c>
      <c r="D20" s="10" t="s">
        <v>1075</v>
      </c>
      <c r="E20" s="16">
        <v>32</v>
      </c>
      <c r="F20" s="6" t="s">
        <v>702</v>
      </c>
      <c r="G20" s="6">
        <f>IF(E20&gt;='Selection Criteria'!$C$66,5,IF(E20&gt;='Selection Criteria'!$C$67,4,IF(E20&gt;='Selection Criteria'!$C$68,3,IF(E20&gt;='Selection Criteria'!$C$69,2,1))))</f>
        <v>1</v>
      </c>
      <c r="H20" s="6">
        <f>IF(F20="Yes",'Selection Criteria'!$C$70,'Selection Criteria'!$C$71)</f>
        <v>5</v>
      </c>
      <c r="I20" s="18">
        <v>1</v>
      </c>
      <c r="J20" s="18">
        <v>1</v>
      </c>
      <c r="K20" s="23">
        <f>(G20*'Selection Criteria'!$F$49+H20*'Selection Criteria'!$F$50+I20*'Selection Criteria'!$F$51+J20*'Selection Criteria'!$F$52)/(5*'Selection Criteria'!$F$53)*100</f>
        <v>32</v>
      </c>
      <c r="L20" s="18">
        <v>4</v>
      </c>
      <c r="M20" s="18">
        <v>4</v>
      </c>
      <c r="N20" s="18">
        <v>3</v>
      </c>
      <c r="O20" s="6">
        <f>IF(INDEX('Path Scorecard'!$X$5:$X$71,MATCH($A20,'Path Scorecard'!$A$5:$A$71,0))="",3,INDEX('Path Scorecard'!$X$5:$X$71,MATCH($A20,'Path Scorecard'!$A$5:$A$71,0)))</f>
        <v>3</v>
      </c>
      <c r="P20" s="23">
        <f>(L20*'Selection Criteria'!$F$55+M20*'Selection Criteria'!$F$56+N20*'Selection Criteria'!$F$57+O20*'Selection Criteria'!$F$58)/(5*'Selection Criteria'!$F$59)*100</f>
        <v>72</v>
      </c>
      <c r="Q20" s="17" t="str">
        <f>IF(K20&gt;='Selection Criteria'!$C$62,"Hero",IF(P20&gt;='Selection Criteria'!$C$63,"Probable Hero","Non-Hero"))</f>
        <v>Probable Hero</v>
      </c>
      <c r="R20" s="17" t="str">
        <f>IF(Q20="Hero",IF(INDEX('Path Scorecard'!$T$5:$T$71,MATCH($A20,'Path Scorecard'!$A$5:$A$71,0))&lt;='Selection Criteria'!$C$64,"PROTECT","EXTEND"),IF(Q20="Probable Hero","BUILD","HOLD"))</f>
        <v>BUILD</v>
      </c>
      <c r="S20" s="6" t="str">
        <f>INDEX('Path Scorecard'!$AB$5:$AB$71,MATCH($A20,'Path Scorecard'!$A$5:$A$71,0))</f>
        <v>Tier 2</v>
      </c>
      <c r="T20" s="10"/>
      <c r="V20" s="24" t="e">
        <f t="shared" si="0"/>
        <v>#N/A</v>
      </c>
      <c r="W20" s="24" t="e">
        <f t="shared" si="1"/>
        <v>#N/A</v>
      </c>
      <c r="X20" s="24">
        <f t="shared" si="2"/>
        <v>32</v>
      </c>
      <c r="Y20" s="24">
        <f t="shared" si="3"/>
        <v>72</v>
      </c>
      <c r="Z20" s="24" t="e">
        <f t="shared" si="4"/>
        <v>#N/A</v>
      </c>
      <c r="AA20" s="24" t="e">
        <f t="shared" si="5"/>
        <v>#N/A</v>
      </c>
    </row>
    <row r="21" spans="1:27" ht="26.4" x14ac:dyDescent="0.3">
      <c r="A21" s="6" t="s">
        <v>279</v>
      </c>
      <c r="B21" s="7" t="s">
        <v>280</v>
      </c>
      <c r="C21" s="10" t="s">
        <v>762</v>
      </c>
      <c r="D21" s="10" t="s">
        <v>1076</v>
      </c>
      <c r="E21" s="16">
        <v>166</v>
      </c>
      <c r="F21" s="6" t="s">
        <v>1063</v>
      </c>
      <c r="G21" s="6">
        <f>IF(E21&gt;='Selection Criteria'!$C$66,5,IF(E21&gt;='Selection Criteria'!$C$67,4,IF(E21&gt;='Selection Criteria'!$C$68,3,IF(E21&gt;='Selection Criteria'!$C$69,2,1))))</f>
        <v>2</v>
      </c>
      <c r="H21" s="6">
        <f>IF(F21="Yes",'Selection Criteria'!$C$70,'Selection Criteria'!$C$71)</f>
        <v>2</v>
      </c>
      <c r="I21" s="18">
        <v>1</v>
      </c>
      <c r="J21" s="18">
        <v>2</v>
      </c>
      <c r="K21" s="23">
        <f>(G21*'Selection Criteria'!$F$49+H21*'Selection Criteria'!$F$50+I21*'Selection Criteria'!$F$51+J21*'Selection Criteria'!$F$52)/(5*'Selection Criteria'!$F$53)*100</f>
        <v>35</v>
      </c>
      <c r="L21" s="18">
        <v>3</v>
      </c>
      <c r="M21" s="18">
        <v>5</v>
      </c>
      <c r="N21" s="18">
        <v>3</v>
      </c>
      <c r="O21" s="6">
        <f>IF(INDEX('Path Scorecard'!$X$5:$X$71,MATCH($A21,'Path Scorecard'!$A$5:$A$71,0))="",3,INDEX('Path Scorecard'!$X$5:$X$71,MATCH($A21,'Path Scorecard'!$A$5:$A$71,0)))</f>
        <v>3</v>
      </c>
      <c r="P21" s="23">
        <f>(L21*'Selection Criteria'!$F$55+M21*'Selection Criteria'!$F$56+N21*'Selection Criteria'!$F$57+O21*'Selection Criteria'!$F$58)/(5*'Selection Criteria'!$F$59)*100</f>
        <v>70</v>
      </c>
      <c r="Q21" s="17" t="str">
        <f>IF(K21&gt;='Selection Criteria'!$C$62,"Hero",IF(P21&gt;='Selection Criteria'!$C$63,"Probable Hero","Non-Hero"))</f>
        <v>Probable Hero</v>
      </c>
      <c r="R21" s="17" t="str">
        <f>IF(Q21="Hero",IF(INDEX('Path Scorecard'!$T$5:$T$71,MATCH($A21,'Path Scorecard'!$A$5:$A$71,0))&lt;='Selection Criteria'!$C$64,"PROTECT","EXTEND"),IF(Q21="Probable Hero","BUILD","HOLD"))</f>
        <v>BUILD</v>
      </c>
      <c r="S21" s="6" t="str">
        <f>INDEX('Path Scorecard'!$AB$5:$AB$71,MATCH($A21,'Path Scorecard'!$A$5:$A$71,0))</f>
        <v>Tier 2</v>
      </c>
      <c r="T21" s="10"/>
      <c r="V21" s="24" t="e">
        <f t="shared" si="0"/>
        <v>#N/A</v>
      </c>
      <c r="W21" s="24" t="e">
        <f t="shared" si="1"/>
        <v>#N/A</v>
      </c>
      <c r="X21" s="24">
        <f t="shared" si="2"/>
        <v>35</v>
      </c>
      <c r="Y21" s="24">
        <f t="shared" si="3"/>
        <v>70</v>
      </c>
      <c r="Z21" s="24" t="e">
        <f t="shared" si="4"/>
        <v>#N/A</v>
      </c>
      <c r="AA21" s="24" t="e">
        <f t="shared" si="5"/>
        <v>#N/A</v>
      </c>
    </row>
    <row r="22" spans="1:27" ht="26.4" x14ac:dyDescent="0.3">
      <c r="A22" s="6" t="s">
        <v>828</v>
      </c>
      <c r="B22" s="7" t="s">
        <v>412</v>
      </c>
      <c r="C22" s="10" t="s">
        <v>768</v>
      </c>
      <c r="D22" s="10" t="s">
        <v>1077</v>
      </c>
      <c r="E22" s="16">
        <v>318</v>
      </c>
      <c r="F22" s="6" t="s">
        <v>702</v>
      </c>
      <c r="G22" s="6">
        <f>IF(E22&gt;='Selection Criteria'!$C$66,5,IF(E22&gt;='Selection Criteria'!$C$67,4,IF(E22&gt;='Selection Criteria'!$C$68,3,IF(E22&gt;='Selection Criteria'!$C$69,2,1))))</f>
        <v>3</v>
      </c>
      <c r="H22" s="6">
        <f>IF(F22="Yes",'Selection Criteria'!$C$70,'Selection Criteria'!$C$71)</f>
        <v>5</v>
      </c>
      <c r="I22" s="18">
        <v>2</v>
      </c>
      <c r="J22" s="18">
        <v>3</v>
      </c>
      <c r="K22" s="23">
        <f>(G22*'Selection Criteria'!$F$49+H22*'Selection Criteria'!$F$50+I22*'Selection Criteria'!$F$51+J22*'Selection Criteria'!$F$52)/(5*'Selection Criteria'!$F$53)*100</f>
        <v>61</v>
      </c>
      <c r="L22" s="18">
        <v>4</v>
      </c>
      <c r="M22" s="18">
        <v>4</v>
      </c>
      <c r="N22" s="18">
        <v>3</v>
      </c>
      <c r="O22" s="6">
        <f>IF(INDEX('Path Scorecard'!$X$5:$X$71,MATCH($A22,'Path Scorecard'!$A$5:$A$71,0))="",3,INDEX('Path Scorecard'!$X$5:$X$71,MATCH($A22,'Path Scorecard'!$A$5:$A$71,0)))</f>
        <v>3</v>
      </c>
      <c r="P22" s="23">
        <f>(L22*'Selection Criteria'!$F$55+M22*'Selection Criteria'!$F$56+N22*'Selection Criteria'!$F$57+O22*'Selection Criteria'!$F$58)/(5*'Selection Criteria'!$F$59)*100</f>
        <v>72</v>
      </c>
      <c r="Q22" s="17" t="str">
        <f>IF(K22&gt;='Selection Criteria'!$C$62,"Hero",IF(P22&gt;='Selection Criteria'!$C$63,"Probable Hero","Non-Hero"))</f>
        <v>Probable Hero</v>
      </c>
      <c r="R22" s="17" t="str">
        <f>IF(Q22="Hero",IF(INDEX('Path Scorecard'!$T$5:$T$71,MATCH($A22,'Path Scorecard'!$A$5:$A$71,0))&lt;='Selection Criteria'!$C$64,"PROTECT","EXTEND"),IF(Q22="Probable Hero","BUILD","HOLD"))</f>
        <v>BUILD</v>
      </c>
      <c r="S22" s="6" t="str">
        <f>INDEX('Path Scorecard'!$AB$5:$AB$71,MATCH($A22,'Path Scorecard'!$A$5:$A$71,0))</f>
        <v>Tier 2</v>
      </c>
      <c r="T22" s="10"/>
      <c r="V22" s="24" t="e">
        <f t="shared" si="0"/>
        <v>#N/A</v>
      </c>
      <c r="W22" s="24" t="e">
        <f t="shared" si="1"/>
        <v>#N/A</v>
      </c>
      <c r="X22" s="24">
        <f t="shared" si="2"/>
        <v>61</v>
      </c>
      <c r="Y22" s="24">
        <f t="shared" si="3"/>
        <v>72</v>
      </c>
      <c r="Z22" s="24" t="e">
        <f t="shared" si="4"/>
        <v>#N/A</v>
      </c>
      <c r="AA22" s="24" t="e">
        <f t="shared" si="5"/>
        <v>#N/A</v>
      </c>
    </row>
    <row r="23" spans="1:27" x14ac:dyDescent="0.3">
      <c r="A23" s="6" t="s">
        <v>833</v>
      </c>
      <c r="B23" s="7" t="s">
        <v>421</v>
      </c>
      <c r="C23" s="10" t="s">
        <v>768</v>
      </c>
      <c r="D23" s="10" t="s">
        <v>1078</v>
      </c>
      <c r="E23" s="16">
        <v>284</v>
      </c>
      <c r="F23" s="6" t="s">
        <v>702</v>
      </c>
      <c r="G23" s="6">
        <f>IF(E23&gt;='Selection Criteria'!$C$66,5,IF(E23&gt;='Selection Criteria'!$C$67,4,IF(E23&gt;='Selection Criteria'!$C$68,3,IF(E23&gt;='Selection Criteria'!$C$69,2,1))))</f>
        <v>3</v>
      </c>
      <c r="H23" s="6">
        <f>IF(F23="Yes",'Selection Criteria'!$C$70,'Selection Criteria'!$C$71)</f>
        <v>5</v>
      </c>
      <c r="I23" s="18">
        <v>4</v>
      </c>
      <c r="J23" s="18">
        <v>4</v>
      </c>
      <c r="K23" s="23">
        <f>(G23*'Selection Criteria'!$F$49+H23*'Selection Criteria'!$F$50+I23*'Selection Criteria'!$F$51+J23*'Selection Criteria'!$F$52)/(5*'Selection Criteria'!$F$53)*100</f>
        <v>77</v>
      </c>
      <c r="L23" s="18">
        <v>3</v>
      </c>
      <c r="M23" s="18">
        <v>4</v>
      </c>
      <c r="N23" s="18">
        <v>3</v>
      </c>
      <c r="O23" s="6">
        <f>IF(INDEX('Path Scorecard'!$X$5:$X$71,MATCH($A23,'Path Scorecard'!$A$5:$A$71,0))="",3,INDEX('Path Scorecard'!$X$5:$X$71,MATCH($A23,'Path Scorecard'!$A$5:$A$71,0)))</f>
        <v>4</v>
      </c>
      <c r="P23" s="23">
        <f>(L23*'Selection Criteria'!$F$55+M23*'Selection Criteria'!$F$56+N23*'Selection Criteria'!$F$57+O23*'Selection Criteria'!$F$58)/(5*'Selection Criteria'!$F$59)*100</f>
        <v>68</v>
      </c>
      <c r="Q23" s="17" t="str">
        <f>IF(K23&gt;='Selection Criteria'!$C$62,"Hero",IF(P23&gt;='Selection Criteria'!$C$63,"Probable Hero","Non-Hero"))</f>
        <v>Hero</v>
      </c>
      <c r="R23" s="17" t="str">
        <f>IF(Q23="Hero",IF(INDEX('Path Scorecard'!$T$5:$T$71,MATCH($A23,'Path Scorecard'!$A$5:$A$71,0))&lt;='Selection Criteria'!$C$64,"PROTECT","EXTEND"),IF(Q23="Probable Hero","BUILD","HOLD"))</f>
        <v>EXTEND</v>
      </c>
      <c r="S23" s="6" t="str">
        <f>INDEX('Path Scorecard'!$AB$5:$AB$71,MATCH($A23,'Path Scorecard'!$A$5:$A$71,0))</f>
        <v>Tier 2</v>
      </c>
      <c r="T23" s="10"/>
      <c r="V23" s="24">
        <f t="shared" si="0"/>
        <v>77</v>
      </c>
      <c r="W23" s="24">
        <f t="shared" si="1"/>
        <v>68</v>
      </c>
      <c r="X23" s="24" t="e">
        <f t="shared" si="2"/>
        <v>#N/A</v>
      </c>
      <c r="Y23" s="24" t="e">
        <f t="shared" si="3"/>
        <v>#N/A</v>
      </c>
      <c r="Z23" s="24" t="e">
        <f t="shared" si="4"/>
        <v>#N/A</v>
      </c>
      <c r="AA23" s="24" t="e">
        <f t="shared" si="5"/>
        <v>#N/A</v>
      </c>
    </row>
    <row r="24" spans="1:27" ht="26.4" x14ac:dyDescent="0.3">
      <c r="A24" s="6" t="s">
        <v>837</v>
      </c>
      <c r="B24" s="7" t="s">
        <v>838</v>
      </c>
      <c r="C24" s="10" t="s">
        <v>768</v>
      </c>
      <c r="D24" s="10" t="s">
        <v>1074</v>
      </c>
      <c r="E24" s="16">
        <v>229</v>
      </c>
      <c r="F24" s="6" t="s">
        <v>702</v>
      </c>
      <c r="G24" s="6">
        <f>IF(E24&gt;='Selection Criteria'!$C$66,5,IF(E24&gt;='Selection Criteria'!$C$67,4,IF(E24&gt;='Selection Criteria'!$C$68,3,IF(E24&gt;='Selection Criteria'!$C$69,2,1))))</f>
        <v>3</v>
      </c>
      <c r="H24" s="6">
        <f>IF(F24="Yes",'Selection Criteria'!$C$70,'Selection Criteria'!$C$71)</f>
        <v>5</v>
      </c>
      <c r="I24" s="18">
        <v>1</v>
      </c>
      <c r="J24" s="18">
        <v>2</v>
      </c>
      <c r="K24" s="23">
        <f>(G24*'Selection Criteria'!$F$49+H24*'Selection Criteria'!$F$50+I24*'Selection Criteria'!$F$51+J24*'Selection Criteria'!$F$52)/(5*'Selection Criteria'!$F$53)*100</f>
        <v>50</v>
      </c>
      <c r="L24" s="18">
        <v>2</v>
      </c>
      <c r="M24" s="18">
        <v>5</v>
      </c>
      <c r="N24" s="18">
        <v>3</v>
      </c>
      <c r="O24" s="6">
        <f>IF(INDEX('Path Scorecard'!$X$5:$X$71,MATCH($A24,'Path Scorecard'!$A$5:$A$71,0))="",3,INDEX('Path Scorecard'!$X$5:$X$71,MATCH($A24,'Path Scorecard'!$A$5:$A$71,0)))</f>
        <v>2</v>
      </c>
      <c r="P24" s="23">
        <f>(L24*'Selection Criteria'!$F$55+M24*'Selection Criteria'!$F$56+N24*'Selection Criteria'!$F$57+O24*'Selection Criteria'!$F$58)/(5*'Selection Criteria'!$F$59)*100</f>
        <v>60</v>
      </c>
      <c r="Q24" s="17" t="str">
        <f>IF(K24&gt;='Selection Criteria'!$C$62,"Hero",IF(P24&gt;='Selection Criteria'!$C$63,"Probable Hero","Non-Hero"))</f>
        <v>Non-Hero</v>
      </c>
      <c r="R24" s="17" t="str">
        <f>IF(Q24="Hero",IF(INDEX('Path Scorecard'!$T$5:$T$71,MATCH($A24,'Path Scorecard'!$A$5:$A$71,0))&lt;='Selection Criteria'!$C$64,"PROTECT","EXTEND"),IF(Q24="Probable Hero","BUILD","HOLD"))</f>
        <v>HOLD</v>
      </c>
      <c r="S24" s="6" t="str">
        <f>INDEX('Path Scorecard'!$AB$5:$AB$71,MATCH($A24,'Path Scorecard'!$A$5:$A$71,0))</f>
        <v>Tier 3</v>
      </c>
      <c r="T24" s="10" t="s">
        <v>1079</v>
      </c>
      <c r="V24" s="24" t="e">
        <f t="shared" si="0"/>
        <v>#N/A</v>
      </c>
      <c r="W24" s="24" t="e">
        <f t="shared" si="1"/>
        <v>#N/A</v>
      </c>
      <c r="X24" s="24" t="e">
        <f t="shared" si="2"/>
        <v>#N/A</v>
      </c>
      <c r="Y24" s="24" t="e">
        <f t="shared" si="3"/>
        <v>#N/A</v>
      </c>
      <c r="Z24" s="24">
        <f t="shared" si="4"/>
        <v>50</v>
      </c>
      <c r="AA24" s="24">
        <f t="shared" si="5"/>
        <v>60</v>
      </c>
    </row>
    <row r="25" spans="1:27" x14ac:dyDescent="0.3">
      <c r="A25" s="6" t="s">
        <v>842</v>
      </c>
      <c r="B25" s="7" t="s">
        <v>430</v>
      </c>
      <c r="C25" s="10" t="s">
        <v>768</v>
      </c>
      <c r="D25" s="10" t="s">
        <v>1074</v>
      </c>
      <c r="E25" s="16">
        <v>435</v>
      </c>
      <c r="F25" s="6" t="s">
        <v>702</v>
      </c>
      <c r="G25" s="6">
        <f>IF(E25&gt;='Selection Criteria'!$C$66,5,IF(E25&gt;='Selection Criteria'!$C$67,4,IF(E25&gt;='Selection Criteria'!$C$68,3,IF(E25&gt;='Selection Criteria'!$C$69,2,1))))</f>
        <v>3</v>
      </c>
      <c r="H25" s="6">
        <f>IF(F25="Yes",'Selection Criteria'!$C$70,'Selection Criteria'!$C$71)</f>
        <v>5</v>
      </c>
      <c r="I25" s="18">
        <v>2</v>
      </c>
      <c r="J25" s="18">
        <v>3</v>
      </c>
      <c r="K25" s="23">
        <f>(G25*'Selection Criteria'!$F$49+H25*'Selection Criteria'!$F$50+I25*'Selection Criteria'!$F$51+J25*'Selection Criteria'!$F$52)/(5*'Selection Criteria'!$F$53)*100</f>
        <v>61</v>
      </c>
      <c r="L25" s="18">
        <v>3</v>
      </c>
      <c r="M25" s="18">
        <v>5</v>
      </c>
      <c r="N25" s="18">
        <v>4</v>
      </c>
      <c r="O25" s="6">
        <f>IF(INDEX('Path Scorecard'!$X$5:$X$71,MATCH($A25,'Path Scorecard'!$A$5:$A$71,0))="",3,INDEX('Path Scorecard'!$X$5:$X$71,MATCH($A25,'Path Scorecard'!$A$5:$A$71,0)))</f>
        <v>3</v>
      </c>
      <c r="P25" s="23">
        <f>(L25*'Selection Criteria'!$F$55+M25*'Selection Criteria'!$F$56+N25*'Selection Criteria'!$F$57+O25*'Selection Criteria'!$F$58)/(5*'Selection Criteria'!$F$59)*100</f>
        <v>75</v>
      </c>
      <c r="Q25" s="17" t="str">
        <f>IF(K25&gt;='Selection Criteria'!$C$62,"Hero",IF(P25&gt;='Selection Criteria'!$C$63,"Probable Hero","Non-Hero"))</f>
        <v>Probable Hero</v>
      </c>
      <c r="R25" s="17" t="str">
        <f>IF(Q25="Hero",IF(INDEX('Path Scorecard'!$T$5:$T$71,MATCH($A25,'Path Scorecard'!$A$5:$A$71,0))&lt;='Selection Criteria'!$C$64,"PROTECT","EXTEND"),IF(Q25="Probable Hero","BUILD","HOLD"))</f>
        <v>BUILD</v>
      </c>
      <c r="S25" s="6" t="str">
        <f>INDEX('Path Scorecard'!$AB$5:$AB$71,MATCH($A25,'Path Scorecard'!$A$5:$A$71,0))</f>
        <v>Tier 2</v>
      </c>
      <c r="T25" s="10"/>
      <c r="V25" s="24" t="e">
        <f t="shared" si="0"/>
        <v>#N/A</v>
      </c>
      <c r="W25" s="24" t="e">
        <f t="shared" si="1"/>
        <v>#N/A</v>
      </c>
      <c r="X25" s="24">
        <f t="shared" si="2"/>
        <v>61</v>
      </c>
      <c r="Y25" s="24">
        <f t="shared" si="3"/>
        <v>75</v>
      </c>
      <c r="Z25" s="24" t="e">
        <f t="shared" si="4"/>
        <v>#N/A</v>
      </c>
      <c r="AA25" s="24" t="e">
        <f t="shared" si="5"/>
        <v>#N/A</v>
      </c>
    </row>
    <row r="26" spans="1:27" ht="26.4" x14ac:dyDescent="0.3">
      <c r="A26" s="6" t="s">
        <v>254</v>
      </c>
      <c r="B26" s="7" t="s">
        <v>255</v>
      </c>
      <c r="C26" s="10" t="s">
        <v>848</v>
      </c>
      <c r="D26" s="10" t="s">
        <v>1080</v>
      </c>
      <c r="E26" s="16">
        <v>99</v>
      </c>
      <c r="F26" s="6" t="s">
        <v>1063</v>
      </c>
      <c r="G26" s="6">
        <f>IF(E26&gt;='Selection Criteria'!$C$66,5,IF(E26&gt;='Selection Criteria'!$C$67,4,IF(E26&gt;='Selection Criteria'!$C$68,3,IF(E26&gt;='Selection Criteria'!$C$69,2,1))))</f>
        <v>2</v>
      </c>
      <c r="H26" s="6">
        <f>IF(F26="Yes",'Selection Criteria'!$C$70,'Selection Criteria'!$C$71)</f>
        <v>2</v>
      </c>
      <c r="I26" s="18">
        <v>2</v>
      </c>
      <c r="J26" s="18">
        <v>3</v>
      </c>
      <c r="K26" s="23">
        <f>(G26*'Selection Criteria'!$F$49+H26*'Selection Criteria'!$F$50+I26*'Selection Criteria'!$F$51+J26*'Selection Criteria'!$F$52)/(5*'Selection Criteria'!$F$53)*100</f>
        <v>46</v>
      </c>
      <c r="L26" s="18">
        <v>3</v>
      </c>
      <c r="M26" s="18">
        <v>4</v>
      </c>
      <c r="N26" s="18">
        <v>3</v>
      </c>
      <c r="O26" s="6">
        <f>IF(INDEX('Path Scorecard'!$X$5:$X$71,MATCH($A26,'Path Scorecard'!$A$5:$A$71,0))="",3,INDEX('Path Scorecard'!$X$5:$X$71,MATCH($A26,'Path Scorecard'!$A$5:$A$71,0)))</f>
        <v>3</v>
      </c>
      <c r="P26" s="23">
        <f>(L26*'Selection Criteria'!$F$55+M26*'Selection Criteria'!$F$56+N26*'Selection Criteria'!$F$57+O26*'Selection Criteria'!$F$58)/(5*'Selection Criteria'!$F$59)*100</f>
        <v>65</v>
      </c>
      <c r="Q26" s="17" t="str">
        <f>IF(K26&gt;='Selection Criteria'!$C$62,"Hero",IF(P26&gt;='Selection Criteria'!$C$63,"Probable Hero","Non-Hero"))</f>
        <v>Probable Hero</v>
      </c>
      <c r="R26" s="17" t="str">
        <f>IF(Q26="Hero",IF(INDEX('Path Scorecard'!$T$5:$T$71,MATCH($A26,'Path Scorecard'!$A$5:$A$71,0))&lt;='Selection Criteria'!$C$64,"PROTECT","EXTEND"),IF(Q26="Probable Hero","BUILD","HOLD"))</f>
        <v>BUILD</v>
      </c>
      <c r="S26" s="6" t="str">
        <f>INDEX('Path Scorecard'!$AB$5:$AB$71,MATCH($A26,'Path Scorecard'!$A$5:$A$71,0))</f>
        <v>Tier 2</v>
      </c>
      <c r="T26" s="10"/>
      <c r="V26" s="24" t="e">
        <f t="shared" si="0"/>
        <v>#N/A</v>
      </c>
      <c r="W26" s="24" t="e">
        <f t="shared" si="1"/>
        <v>#N/A</v>
      </c>
      <c r="X26" s="24">
        <f t="shared" si="2"/>
        <v>46</v>
      </c>
      <c r="Y26" s="24">
        <f t="shared" si="3"/>
        <v>65</v>
      </c>
      <c r="Z26" s="24" t="e">
        <f t="shared" si="4"/>
        <v>#N/A</v>
      </c>
      <c r="AA26" s="24" t="e">
        <f t="shared" si="5"/>
        <v>#N/A</v>
      </c>
    </row>
    <row r="27" spans="1:27" ht="26.4" x14ac:dyDescent="0.3">
      <c r="A27" s="6" t="s">
        <v>850</v>
      </c>
      <c r="B27" s="7" t="s">
        <v>851</v>
      </c>
      <c r="C27" s="10" t="s">
        <v>768</v>
      </c>
      <c r="D27" s="10" t="s">
        <v>1054</v>
      </c>
      <c r="E27" s="16">
        <v>82</v>
      </c>
      <c r="F27" s="6" t="s">
        <v>702</v>
      </c>
      <c r="G27" s="6">
        <f>IF(E27&gt;='Selection Criteria'!$C$66,5,IF(E27&gt;='Selection Criteria'!$C$67,4,IF(E27&gt;='Selection Criteria'!$C$68,3,IF(E27&gt;='Selection Criteria'!$C$69,2,1))))</f>
        <v>2</v>
      </c>
      <c r="H27" s="6">
        <f>IF(F27="Yes",'Selection Criteria'!$C$70,'Selection Criteria'!$C$71)</f>
        <v>5</v>
      </c>
      <c r="I27" s="18">
        <v>2</v>
      </c>
      <c r="J27" s="18">
        <v>3</v>
      </c>
      <c r="K27" s="23">
        <f>(G27*'Selection Criteria'!$F$49+H27*'Selection Criteria'!$F$50+I27*'Selection Criteria'!$F$51+J27*'Selection Criteria'!$F$52)/(5*'Selection Criteria'!$F$53)*100</f>
        <v>55.000000000000007</v>
      </c>
      <c r="L27" s="18">
        <v>4</v>
      </c>
      <c r="M27" s="18">
        <v>3</v>
      </c>
      <c r="N27" s="18">
        <v>2</v>
      </c>
      <c r="O27" s="6">
        <f>IF(INDEX('Path Scorecard'!$X$5:$X$71,MATCH($A27,'Path Scorecard'!$A$5:$A$71,0))="",3,INDEX('Path Scorecard'!$X$5:$X$71,MATCH($A27,'Path Scorecard'!$A$5:$A$71,0)))</f>
        <v>3</v>
      </c>
      <c r="P27" s="23">
        <f>(L27*'Selection Criteria'!$F$55+M27*'Selection Criteria'!$F$56+N27*'Selection Criteria'!$F$57+O27*'Selection Criteria'!$F$58)/(5*'Selection Criteria'!$F$59)*100</f>
        <v>62</v>
      </c>
      <c r="Q27" s="17" t="str">
        <f>IF(K27&gt;='Selection Criteria'!$C$62,"Hero",IF(P27&gt;='Selection Criteria'!$C$63,"Probable Hero","Non-Hero"))</f>
        <v>Non-Hero</v>
      </c>
      <c r="R27" s="17" t="str">
        <f>IF(Q27="Hero",IF(INDEX('Path Scorecard'!$T$5:$T$71,MATCH($A27,'Path Scorecard'!$A$5:$A$71,0))&lt;='Selection Criteria'!$C$64,"PROTECT","EXTEND"),IF(Q27="Probable Hero","BUILD","HOLD"))</f>
        <v>HOLD</v>
      </c>
      <c r="S27" s="6" t="str">
        <f>INDEX('Path Scorecard'!$AB$5:$AB$71,MATCH($A27,'Path Scorecard'!$A$5:$A$71,0))</f>
        <v>Tier 3</v>
      </c>
      <c r="T27" s="10" t="s">
        <v>1081</v>
      </c>
      <c r="V27" s="24" t="e">
        <f t="shared" si="0"/>
        <v>#N/A</v>
      </c>
      <c r="W27" s="24" t="e">
        <f t="shared" si="1"/>
        <v>#N/A</v>
      </c>
      <c r="X27" s="24" t="e">
        <f t="shared" si="2"/>
        <v>#N/A</v>
      </c>
      <c r="Y27" s="24" t="e">
        <f t="shared" si="3"/>
        <v>#N/A</v>
      </c>
      <c r="Z27" s="24">
        <f t="shared" si="4"/>
        <v>55.000000000000007</v>
      </c>
      <c r="AA27" s="24">
        <f t="shared" si="5"/>
        <v>62</v>
      </c>
    </row>
    <row r="28" spans="1:27" ht="39.6" x14ac:dyDescent="0.3">
      <c r="A28" s="6" t="s">
        <v>855</v>
      </c>
      <c r="B28" s="7" t="s">
        <v>446</v>
      </c>
      <c r="C28" s="10" t="s">
        <v>768</v>
      </c>
      <c r="D28" s="10" t="s">
        <v>1077</v>
      </c>
      <c r="E28" s="16">
        <v>205</v>
      </c>
      <c r="F28" s="6" t="s">
        <v>702</v>
      </c>
      <c r="G28" s="6">
        <f>IF(E28&gt;='Selection Criteria'!$C$66,5,IF(E28&gt;='Selection Criteria'!$C$67,4,IF(E28&gt;='Selection Criteria'!$C$68,3,IF(E28&gt;='Selection Criteria'!$C$69,2,1))))</f>
        <v>3</v>
      </c>
      <c r="H28" s="6">
        <f>IF(F28="Yes",'Selection Criteria'!$C$70,'Selection Criteria'!$C$71)</f>
        <v>5</v>
      </c>
      <c r="I28" s="18">
        <v>2</v>
      </c>
      <c r="J28" s="18">
        <v>3</v>
      </c>
      <c r="K28" s="23">
        <f>(G28*'Selection Criteria'!$F$49+H28*'Selection Criteria'!$F$50+I28*'Selection Criteria'!$F$51+J28*'Selection Criteria'!$F$52)/(5*'Selection Criteria'!$F$53)*100</f>
        <v>61</v>
      </c>
      <c r="L28" s="18">
        <v>4</v>
      </c>
      <c r="M28" s="18">
        <v>4</v>
      </c>
      <c r="N28" s="18">
        <v>3</v>
      </c>
      <c r="O28" s="6">
        <f>IF(INDEX('Path Scorecard'!$X$5:$X$71,MATCH($A28,'Path Scorecard'!$A$5:$A$71,0))="",3,INDEX('Path Scorecard'!$X$5:$X$71,MATCH($A28,'Path Scorecard'!$A$5:$A$71,0)))</f>
        <v>3</v>
      </c>
      <c r="P28" s="23">
        <f>(L28*'Selection Criteria'!$F$55+M28*'Selection Criteria'!$F$56+N28*'Selection Criteria'!$F$57+O28*'Selection Criteria'!$F$58)/(5*'Selection Criteria'!$F$59)*100</f>
        <v>72</v>
      </c>
      <c r="Q28" s="17" t="str">
        <f>IF(K28&gt;='Selection Criteria'!$C$62,"Hero",IF(P28&gt;='Selection Criteria'!$C$63,"Probable Hero","Non-Hero"))</f>
        <v>Probable Hero</v>
      </c>
      <c r="R28" s="17" t="str">
        <f>IF(Q28="Hero",IF(INDEX('Path Scorecard'!$T$5:$T$71,MATCH($A28,'Path Scorecard'!$A$5:$A$71,0))&lt;='Selection Criteria'!$C$64,"PROTECT","EXTEND"),IF(Q28="Probable Hero","BUILD","HOLD"))</f>
        <v>BUILD</v>
      </c>
      <c r="S28" s="6" t="str">
        <f>INDEX('Path Scorecard'!$AB$5:$AB$71,MATCH($A28,'Path Scorecard'!$A$5:$A$71,0))</f>
        <v>Tier 2</v>
      </c>
      <c r="T28" s="10"/>
      <c r="V28" s="24" t="e">
        <f t="shared" si="0"/>
        <v>#N/A</v>
      </c>
      <c r="W28" s="24" t="e">
        <f t="shared" si="1"/>
        <v>#N/A</v>
      </c>
      <c r="X28" s="24">
        <f t="shared" si="2"/>
        <v>61</v>
      </c>
      <c r="Y28" s="24">
        <f t="shared" si="3"/>
        <v>72</v>
      </c>
      <c r="Z28" s="24" t="e">
        <f t="shared" si="4"/>
        <v>#N/A</v>
      </c>
      <c r="AA28" s="24" t="e">
        <f t="shared" si="5"/>
        <v>#N/A</v>
      </c>
    </row>
    <row r="29" spans="1:27" ht="26.4" x14ac:dyDescent="0.3">
      <c r="A29" s="6" t="s">
        <v>186</v>
      </c>
      <c r="B29" s="7" t="s">
        <v>187</v>
      </c>
      <c r="C29" s="10" t="s">
        <v>777</v>
      </c>
      <c r="D29" s="10" t="s">
        <v>111</v>
      </c>
      <c r="E29" s="16">
        <v>49</v>
      </c>
      <c r="F29" s="6" t="s">
        <v>702</v>
      </c>
      <c r="G29" s="6">
        <f>IF(E29&gt;='Selection Criteria'!$C$66,5,IF(E29&gt;='Selection Criteria'!$C$67,4,IF(E29&gt;='Selection Criteria'!$C$68,3,IF(E29&gt;='Selection Criteria'!$C$69,2,1))))</f>
        <v>1</v>
      </c>
      <c r="H29" s="6">
        <f>IF(F29="Yes",'Selection Criteria'!$C$70,'Selection Criteria'!$C$71)</f>
        <v>5</v>
      </c>
      <c r="I29" s="18">
        <v>2</v>
      </c>
      <c r="J29" s="18">
        <v>2</v>
      </c>
      <c r="K29" s="23">
        <f>(G29*'Selection Criteria'!$F$49+H29*'Selection Criteria'!$F$50+I29*'Selection Criteria'!$F$51+J29*'Selection Criteria'!$F$52)/(5*'Selection Criteria'!$F$53)*100</f>
        <v>43</v>
      </c>
      <c r="L29" s="18">
        <v>3</v>
      </c>
      <c r="M29" s="18">
        <v>5</v>
      </c>
      <c r="N29" s="18">
        <v>3</v>
      </c>
      <c r="O29" s="6">
        <f>IF(INDEX('Path Scorecard'!$X$5:$X$71,MATCH($A29,'Path Scorecard'!$A$5:$A$71,0))="",3,INDEX('Path Scorecard'!$X$5:$X$71,MATCH($A29,'Path Scorecard'!$A$5:$A$71,0)))</f>
        <v>2</v>
      </c>
      <c r="P29" s="23">
        <f>(L29*'Selection Criteria'!$F$55+M29*'Selection Criteria'!$F$56+N29*'Selection Criteria'!$F$57+O29*'Selection Criteria'!$F$58)/(5*'Selection Criteria'!$F$59)*100</f>
        <v>67</v>
      </c>
      <c r="Q29" s="17" t="str">
        <f>IF(K29&gt;='Selection Criteria'!$C$62,"Hero",IF(P29&gt;='Selection Criteria'!$C$63,"Probable Hero","Non-Hero"))</f>
        <v>Probable Hero</v>
      </c>
      <c r="R29" s="17" t="str">
        <f>IF(Q29="Hero",IF(INDEX('Path Scorecard'!$T$5:$T$71,MATCH($A29,'Path Scorecard'!$A$5:$A$71,0))&lt;='Selection Criteria'!$C$64,"PROTECT","EXTEND"),IF(Q29="Probable Hero","BUILD","HOLD"))</f>
        <v>BUILD</v>
      </c>
      <c r="S29" s="6" t="str">
        <f>INDEX('Path Scorecard'!$AB$5:$AB$71,MATCH($A29,'Path Scorecard'!$A$5:$A$71,0))</f>
        <v>Tier 2</v>
      </c>
      <c r="T29" s="10"/>
      <c r="V29" s="24" t="e">
        <f t="shared" si="0"/>
        <v>#N/A</v>
      </c>
      <c r="W29" s="24" t="e">
        <f t="shared" si="1"/>
        <v>#N/A</v>
      </c>
      <c r="X29" s="24">
        <f t="shared" si="2"/>
        <v>43</v>
      </c>
      <c r="Y29" s="24">
        <f t="shared" si="3"/>
        <v>67</v>
      </c>
      <c r="Z29" s="24" t="e">
        <f t="shared" si="4"/>
        <v>#N/A</v>
      </c>
      <c r="AA29" s="24" t="e">
        <f t="shared" si="5"/>
        <v>#N/A</v>
      </c>
    </row>
    <row r="30" spans="1:27" ht="26.4" x14ac:dyDescent="0.3">
      <c r="A30" s="6" t="s">
        <v>221</v>
      </c>
      <c r="B30" s="7" t="s">
        <v>222</v>
      </c>
      <c r="C30" s="10" t="s">
        <v>780</v>
      </c>
      <c r="D30" s="10" t="s">
        <v>124</v>
      </c>
      <c r="E30" s="16">
        <v>211</v>
      </c>
      <c r="F30" s="6" t="s">
        <v>702</v>
      </c>
      <c r="G30" s="6">
        <f>IF(E30&gt;='Selection Criteria'!$C$66,5,IF(E30&gt;='Selection Criteria'!$C$67,4,IF(E30&gt;='Selection Criteria'!$C$68,3,IF(E30&gt;='Selection Criteria'!$C$69,2,1))))</f>
        <v>3</v>
      </c>
      <c r="H30" s="6">
        <f>IF(F30="Yes",'Selection Criteria'!$C$70,'Selection Criteria'!$C$71)</f>
        <v>5</v>
      </c>
      <c r="I30" s="18">
        <v>1</v>
      </c>
      <c r="J30" s="18">
        <v>1</v>
      </c>
      <c r="K30" s="23">
        <f>(G30*'Selection Criteria'!$F$49+H30*'Selection Criteria'!$F$50+I30*'Selection Criteria'!$F$51+J30*'Selection Criteria'!$F$52)/(5*'Selection Criteria'!$F$53)*100</f>
        <v>44</v>
      </c>
      <c r="L30" s="18">
        <v>3</v>
      </c>
      <c r="M30" s="18">
        <v>5</v>
      </c>
      <c r="N30" s="18">
        <v>3</v>
      </c>
      <c r="O30" s="6">
        <f>IF(INDEX('Path Scorecard'!$X$5:$X$71,MATCH($A30,'Path Scorecard'!$A$5:$A$71,0))="",3,INDEX('Path Scorecard'!$X$5:$X$71,MATCH($A30,'Path Scorecard'!$A$5:$A$71,0)))</f>
        <v>2</v>
      </c>
      <c r="P30" s="23">
        <f>(L30*'Selection Criteria'!$F$55+M30*'Selection Criteria'!$F$56+N30*'Selection Criteria'!$F$57+O30*'Selection Criteria'!$F$58)/(5*'Selection Criteria'!$F$59)*100</f>
        <v>67</v>
      </c>
      <c r="Q30" s="17" t="str">
        <f>IF(K30&gt;='Selection Criteria'!$C$62,"Hero",IF(P30&gt;='Selection Criteria'!$C$63,"Probable Hero","Non-Hero"))</f>
        <v>Probable Hero</v>
      </c>
      <c r="R30" s="17" t="str">
        <f>IF(Q30="Hero",IF(INDEX('Path Scorecard'!$T$5:$T$71,MATCH($A30,'Path Scorecard'!$A$5:$A$71,0))&lt;='Selection Criteria'!$C$64,"PROTECT","EXTEND"),IF(Q30="Probable Hero","BUILD","HOLD"))</f>
        <v>BUILD</v>
      </c>
      <c r="S30" s="6" t="str">
        <f>INDEX('Path Scorecard'!$AB$5:$AB$71,MATCH($A30,'Path Scorecard'!$A$5:$A$71,0))</f>
        <v>Tier 2</v>
      </c>
      <c r="T30" s="10"/>
      <c r="V30" s="24" t="e">
        <f t="shared" si="0"/>
        <v>#N/A</v>
      </c>
      <c r="W30" s="24" t="e">
        <f t="shared" si="1"/>
        <v>#N/A</v>
      </c>
      <c r="X30" s="24">
        <f t="shared" si="2"/>
        <v>44</v>
      </c>
      <c r="Y30" s="24">
        <f t="shared" si="3"/>
        <v>67</v>
      </c>
      <c r="Z30" s="24" t="e">
        <f t="shared" si="4"/>
        <v>#N/A</v>
      </c>
      <c r="AA30" s="24" t="e">
        <f t="shared" si="5"/>
        <v>#N/A</v>
      </c>
    </row>
    <row r="31" spans="1:27" ht="26.4" x14ac:dyDescent="0.3">
      <c r="A31" s="6" t="s">
        <v>864</v>
      </c>
      <c r="B31" s="7" t="s">
        <v>468</v>
      </c>
      <c r="C31" s="10" t="s">
        <v>768</v>
      </c>
      <c r="D31" s="10" t="s">
        <v>1077</v>
      </c>
      <c r="E31" s="16">
        <v>374</v>
      </c>
      <c r="F31" s="6" t="s">
        <v>702</v>
      </c>
      <c r="G31" s="6">
        <f>IF(E31&gt;='Selection Criteria'!$C$66,5,IF(E31&gt;='Selection Criteria'!$C$67,4,IF(E31&gt;='Selection Criteria'!$C$68,3,IF(E31&gt;='Selection Criteria'!$C$69,2,1))))</f>
        <v>3</v>
      </c>
      <c r="H31" s="6">
        <f>IF(F31="Yes",'Selection Criteria'!$C$70,'Selection Criteria'!$C$71)</f>
        <v>5</v>
      </c>
      <c r="I31" s="18">
        <v>4</v>
      </c>
      <c r="J31" s="18">
        <v>4</v>
      </c>
      <c r="K31" s="23">
        <f>(G31*'Selection Criteria'!$F$49+H31*'Selection Criteria'!$F$50+I31*'Selection Criteria'!$F$51+J31*'Selection Criteria'!$F$52)/(5*'Selection Criteria'!$F$53)*100</f>
        <v>77</v>
      </c>
      <c r="L31" s="18">
        <v>3</v>
      </c>
      <c r="M31" s="18">
        <v>5</v>
      </c>
      <c r="N31" s="18">
        <v>4</v>
      </c>
      <c r="O31" s="6">
        <f>IF(INDEX('Path Scorecard'!$X$5:$X$71,MATCH($A31,'Path Scorecard'!$A$5:$A$71,0))="",3,INDEX('Path Scorecard'!$X$5:$X$71,MATCH($A31,'Path Scorecard'!$A$5:$A$71,0)))</f>
        <v>3</v>
      </c>
      <c r="P31" s="23">
        <f>(L31*'Selection Criteria'!$F$55+M31*'Selection Criteria'!$F$56+N31*'Selection Criteria'!$F$57+O31*'Selection Criteria'!$F$58)/(5*'Selection Criteria'!$F$59)*100</f>
        <v>75</v>
      </c>
      <c r="Q31" s="17" t="str">
        <f>IF(K31&gt;='Selection Criteria'!$C$62,"Hero",IF(P31&gt;='Selection Criteria'!$C$63,"Probable Hero","Non-Hero"))</f>
        <v>Hero</v>
      </c>
      <c r="R31" s="17" t="str">
        <f>IF(Q31="Hero",IF(INDEX('Path Scorecard'!$T$5:$T$71,MATCH($A31,'Path Scorecard'!$A$5:$A$71,0))&lt;='Selection Criteria'!$C$64,"PROTECT","EXTEND"),IF(Q31="Probable Hero","BUILD","HOLD"))</f>
        <v>EXTEND</v>
      </c>
      <c r="S31" s="6" t="str">
        <f>INDEX('Path Scorecard'!$AB$5:$AB$71,MATCH($A31,'Path Scorecard'!$A$5:$A$71,0))</f>
        <v>Tier 2</v>
      </c>
      <c r="T31" s="10"/>
      <c r="V31" s="24">
        <f t="shared" si="0"/>
        <v>77</v>
      </c>
      <c r="W31" s="24">
        <f t="shared" si="1"/>
        <v>75</v>
      </c>
      <c r="X31" s="24" t="e">
        <f t="shared" si="2"/>
        <v>#N/A</v>
      </c>
      <c r="Y31" s="24" t="e">
        <f t="shared" si="3"/>
        <v>#N/A</v>
      </c>
      <c r="Z31" s="24" t="e">
        <f t="shared" si="4"/>
        <v>#N/A</v>
      </c>
      <c r="AA31" s="24" t="e">
        <f t="shared" si="5"/>
        <v>#N/A</v>
      </c>
    </row>
    <row r="32" spans="1:27" ht="26.4" x14ac:dyDescent="0.3">
      <c r="A32" s="6" t="s">
        <v>193</v>
      </c>
      <c r="B32" s="7" t="s">
        <v>194</v>
      </c>
      <c r="C32" s="10" t="s">
        <v>777</v>
      </c>
      <c r="D32" s="10" t="s">
        <v>111</v>
      </c>
      <c r="E32" s="16">
        <v>75</v>
      </c>
      <c r="F32" s="6" t="s">
        <v>702</v>
      </c>
      <c r="G32" s="6">
        <f>IF(E32&gt;='Selection Criteria'!$C$66,5,IF(E32&gt;='Selection Criteria'!$C$67,4,IF(E32&gt;='Selection Criteria'!$C$68,3,IF(E32&gt;='Selection Criteria'!$C$69,2,1))))</f>
        <v>2</v>
      </c>
      <c r="H32" s="6">
        <f>IF(F32="Yes",'Selection Criteria'!$C$70,'Selection Criteria'!$C$71)</f>
        <v>5</v>
      </c>
      <c r="I32" s="18">
        <v>2</v>
      </c>
      <c r="J32" s="18">
        <v>3</v>
      </c>
      <c r="K32" s="23">
        <f>(G32*'Selection Criteria'!$F$49+H32*'Selection Criteria'!$F$50+I32*'Selection Criteria'!$F$51+J32*'Selection Criteria'!$F$52)/(5*'Selection Criteria'!$F$53)*100</f>
        <v>55.000000000000007</v>
      </c>
      <c r="L32" s="18">
        <v>3</v>
      </c>
      <c r="M32" s="18">
        <v>5</v>
      </c>
      <c r="N32" s="18">
        <v>4</v>
      </c>
      <c r="O32" s="6">
        <f>IF(INDEX('Path Scorecard'!$X$5:$X$71,MATCH($A32,'Path Scorecard'!$A$5:$A$71,0))="",3,INDEX('Path Scorecard'!$X$5:$X$71,MATCH($A32,'Path Scorecard'!$A$5:$A$71,0)))</f>
        <v>2</v>
      </c>
      <c r="P32" s="23">
        <f>(L32*'Selection Criteria'!$F$55+M32*'Selection Criteria'!$F$56+N32*'Selection Criteria'!$F$57+O32*'Selection Criteria'!$F$58)/(5*'Selection Criteria'!$F$59)*100</f>
        <v>72</v>
      </c>
      <c r="Q32" s="17" t="str">
        <f>IF(K32&gt;='Selection Criteria'!$C$62,"Hero",IF(P32&gt;='Selection Criteria'!$C$63,"Probable Hero","Non-Hero"))</f>
        <v>Probable Hero</v>
      </c>
      <c r="R32" s="17" t="str">
        <f>IF(Q32="Hero",IF(INDEX('Path Scorecard'!$T$5:$T$71,MATCH($A32,'Path Scorecard'!$A$5:$A$71,0))&lt;='Selection Criteria'!$C$64,"PROTECT","EXTEND"),IF(Q32="Probable Hero","BUILD","HOLD"))</f>
        <v>BUILD</v>
      </c>
      <c r="S32" s="6" t="str">
        <f>INDEX('Path Scorecard'!$AB$5:$AB$71,MATCH($A32,'Path Scorecard'!$A$5:$A$71,0))</f>
        <v>Tier 2</v>
      </c>
      <c r="T32" s="10"/>
      <c r="V32" s="24" t="e">
        <f t="shared" si="0"/>
        <v>#N/A</v>
      </c>
      <c r="W32" s="24" t="e">
        <f t="shared" si="1"/>
        <v>#N/A</v>
      </c>
      <c r="X32" s="24">
        <f t="shared" si="2"/>
        <v>55.000000000000007</v>
      </c>
      <c r="Y32" s="24">
        <f t="shared" si="3"/>
        <v>72</v>
      </c>
      <c r="Z32" s="24" t="e">
        <f t="shared" si="4"/>
        <v>#N/A</v>
      </c>
      <c r="AA32" s="24" t="e">
        <f t="shared" si="5"/>
        <v>#N/A</v>
      </c>
    </row>
    <row r="33" spans="1:27" ht="26.4" x14ac:dyDescent="0.3">
      <c r="A33" s="6" t="s">
        <v>285</v>
      </c>
      <c r="B33" s="7" t="s">
        <v>286</v>
      </c>
      <c r="C33" s="10" t="s">
        <v>762</v>
      </c>
      <c r="D33" s="10" t="s">
        <v>1052</v>
      </c>
      <c r="E33" s="16">
        <v>1234</v>
      </c>
      <c r="F33" s="6" t="s">
        <v>702</v>
      </c>
      <c r="G33" s="6">
        <f>IF(E33&gt;='Selection Criteria'!$C$66,5,IF(E33&gt;='Selection Criteria'!$C$67,4,IF(E33&gt;='Selection Criteria'!$C$68,3,IF(E33&gt;='Selection Criteria'!$C$69,2,1))))</f>
        <v>5</v>
      </c>
      <c r="H33" s="6">
        <f>IF(F33="Yes",'Selection Criteria'!$C$70,'Selection Criteria'!$C$71)</f>
        <v>5</v>
      </c>
      <c r="I33" s="18">
        <v>4</v>
      </c>
      <c r="J33" s="18">
        <v>5</v>
      </c>
      <c r="K33" s="23">
        <f>(G33*'Selection Criteria'!$F$49+H33*'Selection Criteria'!$F$50+I33*'Selection Criteria'!$F$51+J33*'Selection Criteria'!$F$52)/(5*'Selection Criteria'!$F$53)*100</f>
        <v>95</v>
      </c>
      <c r="L33" s="18">
        <v>3</v>
      </c>
      <c r="M33" s="18">
        <v>4</v>
      </c>
      <c r="N33" s="18">
        <v>4</v>
      </c>
      <c r="O33" s="6">
        <f>IF(INDEX('Path Scorecard'!$X$5:$X$71,MATCH($A33,'Path Scorecard'!$A$5:$A$71,0))="",3,INDEX('Path Scorecard'!$X$5:$X$71,MATCH($A33,'Path Scorecard'!$A$5:$A$71,0)))</f>
        <v>5</v>
      </c>
      <c r="P33" s="23">
        <f>(L33*'Selection Criteria'!$F$55+M33*'Selection Criteria'!$F$56+N33*'Selection Criteria'!$F$57+O33*'Selection Criteria'!$F$58)/(5*'Selection Criteria'!$F$59)*100</f>
        <v>76</v>
      </c>
      <c r="Q33" s="17" t="str">
        <f>IF(K33&gt;='Selection Criteria'!$C$62,"Hero",IF(P33&gt;='Selection Criteria'!$C$63,"Probable Hero","Non-Hero"))</f>
        <v>Hero</v>
      </c>
      <c r="R33" s="17" t="str">
        <f>IF(Q33="Hero",IF(INDEX('Path Scorecard'!$T$5:$T$71,MATCH($A33,'Path Scorecard'!$A$5:$A$71,0))&lt;='Selection Criteria'!$C$64,"PROTECT","EXTEND"),IF(Q33="Probable Hero","BUILD","HOLD"))</f>
        <v>EXTEND</v>
      </c>
      <c r="S33" s="6" t="str">
        <f>INDEX('Path Scorecard'!$AB$5:$AB$71,MATCH($A33,'Path Scorecard'!$A$5:$A$71,0))</f>
        <v>Tier 2</v>
      </c>
      <c r="T33" s="10"/>
      <c r="V33" s="24">
        <f t="shared" si="0"/>
        <v>95</v>
      </c>
      <c r="W33" s="24">
        <f t="shared" si="1"/>
        <v>76</v>
      </c>
      <c r="X33" s="24" t="e">
        <f t="shared" si="2"/>
        <v>#N/A</v>
      </c>
      <c r="Y33" s="24" t="e">
        <f t="shared" si="3"/>
        <v>#N/A</v>
      </c>
      <c r="Z33" s="24" t="e">
        <f t="shared" si="4"/>
        <v>#N/A</v>
      </c>
      <c r="AA33" s="24" t="e">
        <f t="shared" si="5"/>
        <v>#N/A</v>
      </c>
    </row>
    <row r="34" spans="1:27" ht="26.4" x14ac:dyDescent="0.3">
      <c r="A34" s="6" t="s">
        <v>190</v>
      </c>
      <c r="B34" s="7" t="s">
        <v>191</v>
      </c>
      <c r="C34" s="10" t="s">
        <v>777</v>
      </c>
      <c r="D34" s="10" t="s">
        <v>111</v>
      </c>
      <c r="E34" s="16">
        <v>617</v>
      </c>
      <c r="F34" s="6" t="s">
        <v>702</v>
      </c>
      <c r="G34" s="6">
        <f>IF(E34&gt;='Selection Criteria'!$C$66,5,IF(E34&gt;='Selection Criteria'!$C$67,4,IF(E34&gt;='Selection Criteria'!$C$68,3,IF(E34&gt;='Selection Criteria'!$C$69,2,1))))</f>
        <v>4</v>
      </c>
      <c r="H34" s="6">
        <f>IF(F34="Yes",'Selection Criteria'!$C$70,'Selection Criteria'!$C$71)</f>
        <v>5</v>
      </c>
      <c r="I34" s="18">
        <v>2</v>
      </c>
      <c r="J34" s="18">
        <v>2</v>
      </c>
      <c r="K34" s="23">
        <f>(G34*'Selection Criteria'!$F$49+H34*'Selection Criteria'!$F$50+I34*'Selection Criteria'!$F$51+J34*'Selection Criteria'!$F$52)/(5*'Selection Criteria'!$F$53)*100</f>
        <v>61</v>
      </c>
      <c r="L34" s="18">
        <v>3</v>
      </c>
      <c r="M34" s="18">
        <v>5</v>
      </c>
      <c r="N34" s="18">
        <v>4</v>
      </c>
      <c r="O34" s="6">
        <f>IF(INDEX('Path Scorecard'!$X$5:$X$71,MATCH($A34,'Path Scorecard'!$A$5:$A$71,0))="",3,INDEX('Path Scorecard'!$X$5:$X$71,MATCH($A34,'Path Scorecard'!$A$5:$A$71,0)))</f>
        <v>2</v>
      </c>
      <c r="P34" s="23">
        <f>(L34*'Selection Criteria'!$F$55+M34*'Selection Criteria'!$F$56+N34*'Selection Criteria'!$F$57+O34*'Selection Criteria'!$F$58)/(5*'Selection Criteria'!$F$59)*100</f>
        <v>72</v>
      </c>
      <c r="Q34" s="17" t="str">
        <f>IF(K34&gt;='Selection Criteria'!$C$62,"Hero",IF(P34&gt;='Selection Criteria'!$C$63,"Probable Hero","Non-Hero"))</f>
        <v>Probable Hero</v>
      </c>
      <c r="R34" s="17" t="str">
        <f>IF(Q34="Hero",IF(INDEX('Path Scorecard'!$T$5:$T$71,MATCH($A34,'Path Scorecard'!$A$5:$A$71,0))&lt;='Selection Criteria'!$C$64,"PROTECT","EXTEND"),IF(Q34="Probable Hero","BUILD","HOLD"))</f>
        <v>BUILD</v>
      </c>
      <c r="S34" s="6" t="str">
        <f>INDEX('Path Scorecard'!$AB$5:$AB$71,MATCH($A34,'Path Scorecard'!$A$5:$A$71,0))</f>
        <v>Tier 2</v>
      </c>
      <c r="T34" s="10"/>
      <c r="V34" s="24" t="e">
        <f t="shared" si="0"/>
        <v>#N/A</v>
      </c>
      <c r="W34" s="24" t="e">
        <f t="shared" si="1"/>
        <v>#N/A</v>
      </c>
      <c r="X34" s="24">
        <f t="shared" si="2"/>
        <v>61</v>
      </c>
      <c r="Y34" s="24">
        <f t="shared" si="3"/>
        <v>72</v>
      </c>
      <c r="Z34" s="24" t="e">
        <f t="shared" si="4"/>
        <v>#N/A</v>
      </c>
      <c r="AA34" s="24" t="e">
        <f t="shared" si="5"/>
        <v>#N/A</v>
      </c>
    </row>
    <row r="35" spans="1:27" ht="26.4" x14ac:dyDescent="0.3">
      <c r="A35" s="6" t="s">
        <v>224</v>
      </c>
      <c r="B35" s="7" t="s">
        <v>225</v>
      </c>
      <c r="C35" s="10" t="s">
        <v>780</v>
      </c>
      <c r="D35" s="10" t="s">
        <v>124</v>
      </c>
      <c r="E35" s="16">
        <v>132</v>
      </c>
      <c r="F35" s="6" t="s">
        <v>702</v>
      </c>
      <c r="G35" s="6">
        <f>IF(E35&gt;='Selection Criteria'!$C$66,5,IF(E35&gt;='Selection Criteria'!$C$67,4,IF(E35&gt;='Selection Criteria'!$C$68,3,IF(E35&gt;='Selection Criteria'!$C$69,2,1))))</f>
        <v>2</v>
      </c>
      <c r="H35" s="6">
        <f>IF(F35="Yes",'Selection Criteria'!$C$70,'Selection Criteria'!$C$71)</f>
        <v>5</v>
      </c>
      <c r="I35" s="18">
        <v>1</v>
      </c>
      <c r="J35" s="18">
        <v>1</v>
      </c>
      <c r="K35" s="23">
        <f>(G35*'Selection Criteria'!$F$49+H35*'Selection Criteria'!$F$50+I35*'Selection Criteria'!$F$51+J35*'Selection Criteria'!$F$52)/(5*'Selection Criteria'!$F$53)*100</f>
        <v>38</v>
      </c>
      <c r="L35" s="18">
        <v>3</v>
      </c>
      <c r="M35" s="18">
        <v>5</v>
      </c>
      <c r="N35" s="18">
        <v>3</v>
      </c>
      <c r="O35" s="6">
        <f>IF(INDEX('Path Scorecard'!$X$5:$X$71,MATCH($A35,'Path Scorecard'!$A$5:$A$71,0))="",3,INDEX('Path Scorecard'!$X$5:$X$71,MATCH($A35,'Path Scorecard'!$A$5:$A$71,0)))</f>
        <v>2</v>
      </c>
      <c r="P35" s="23">
        <f>(L35*'Selection Criteria'!$F$55+M35*'Selection Criteria'!$F$56+N35*'Selection Criteria'!$F$57+O35*'Selection Criteria'!$F$58)/(5*'Selection Criteria'!$F$59)*100</f>
        <v>67</v>
      </c>
      <c r="Q35" s="17" t="str">
        <f>IF(K35&gt;='Selection Criteria'!$C$62,"Hero",IF(P35&gt;='Selection Criteria'!$C$63,"Probable Hero","Non-Hero"))</f>
        <v>Probable Hero</v>
      </c>
      <c r="R35" s="17" t="str">
        <f>IF(Q35="Hero",IF(INDEX('Path Scorecard'!$T$5:$T$71,MATCH($A35,'Path Scorecard'!$A$5:$A$71,0))&lt;='Selection Criteria'!$C$64,"PROTECT","EXTEND"),IF(Q35="Probable Hero","BUILD","HOLD"))</f>
        <v>BUILD</v>
      </c>
      <c r="S35" s="6" t="str">
        <f>INDEX('Path Scorecard'!$AB$5:$AB$71,MATCH($A35,'Path Scorecard'!$A$5:$A$71,0))</f>
        <v>Tier 2</v>
      </c>
      <c r="T35" s="10"/>
      <c r="V35" s="24" t="e">
        <f t="shared" si="0"/>
        <v>#N/A</v>
      </c>
      <c r="W35" s="24" t="e">
        <f t="shared" si="1"/>
        <v>#N/A</v>
      </c>
      <c r="X35" s="24">
        <f t="shared" si="2"/>
        <v>38</v>
      </c>
      <c r="Y35" s="24">
        <f t="shared" si="3"/>
        <v>67</v>
      </c>
      <c r="Z35" s="24" t="e">
        <f t="shared" si="4"/>
        <v>#N/A</v>
      </c>
      <c r="AA35" s="24" t="e">
        <f t="shared" si="5"/>
        <v>#N/A</v>
      </c>
    </row>
    <row r="36" spans="1:27" ht="26.4" x14ac:dyDescent="0.3">
      <c r="A36" s="6" t="s">
        <v>257</v>
      </c>
      <c r="B36" s="7" t="s">
        <v>258</v>
      </c>
      <c r="C36" s="10" t="s">
        <v>848</v>
      </c>
      <c r="D36" s="10" t="s">
        <v>1082</v>
      </c>
      <c r="E36" s="16">
        <v>148</v>
      </c>
      <c r="F36" s="6" t="s">
        <v>702</v>
      </c>
      <c r="G36" s="6">
        <f>IF(E36&gt;='Selection Criteria'!$C$66,5,IF(E36&gt;='Selection Criteria'!$C$67,4,IF(E36&gt;='Selection Criteria'!$C$68,3,IF(E36&gt;='Selection Criteria'!$C$69,2,1))))</f>
        <v>2</v>
      </c>
      <c r="H36" s="6">
        <f>IF(F36="Yes",'Selection Criteria'!$C$70,'Selection Criteria'!$C$71)</f>
        <v>5</v>
      </c>
      <c r="I36" s="18">
        <v>3</v>
      </c>
      <c r="J36" s="18">
        <v>4</v>
      </c>
      <c r="K36" s="23">
        <f>(G36*'Selection Criteria'!$F$49+H36*'Selection Criteria'!$F$50+I36*'Selection Criteria'!$F$51+J36*'Selection Criteria'!$F$52)/(5*'Selection Criteria'!$F$53)*100</f>
        <v>66</v>
      </c>
      <c r="L36" s="18">
        <v>4</v>
      </c>
      <c r="M36" s="18">
        <v>4</v>
      </c>
      <c r="N36" s="18">
        <v>3</v>
      </c>
      <c r="O36" s="6">
        <f>IF(INDEX('Path Scorecard'!$X$5:$X$71,MATCH($A36,'Path Scorecard'!$A$5:$A$71,0))="",3,INDEX('Path Scorecard'!$X$5:$X$71,MATCH($A36,'Path Scorecard'!$A$5:$A$71,0)))</f>
        <v>3</v>
      </c>
      <c r="P36" s="23">
        <f>(L36*'Selection Criteria'!$F$55+M36*'Selection Criteria'!$F$56+N36*'Selection Criteria'!$F$57+O36*'Selection Criteria'!$F$58)/(5*'Selection Criteria'!$F$59)*100</f>
        <v>72</v>
      </c>
      <c r="Q36" s="17" t="str">
        <f>IF(K36&gt;='Selection Criteria'!$C$62,"Hero",IF(P36&gt;='Selection Criteria'!$C$63,"Probable Hero","Non-Hero"))</f>
        <v>Hero</v>
      </c>
      <c r="R36" s="17" t="str">
        <f>IF(Q36="Hero",IF(INDEX('Path Scorecard'!$T$5:$T$71,MATCH($A36,'Path Scorecard'!$A$5:$A$71,0))&lt;='Selection Criteria'!$C$64,"PROTECT","EXTEND"),IF(Q36="Probable Hero","BUILD","HOLD"))</f>
        <v>EXTEND</v>
      </c>
      <c r="S36" s="6" t="str">
        <f>INDEX('Path Scorecard'!$AB$5:$AB$71,MATCH($A36,'Path Scorecard'!$A$5:$A$71,0))</f>
        <v>Tier 2</v>
      </c>
      <c r="T36" s="10"/>
      <c r="V36" s="24">
        <f t="shared" si="0"/>
        <v>66</v>
      </c>
      <c r="W36" s="24">
        <f t="shared" si="1"/>
        <v>72</v>
      </c>
      <c r="X36" s="24" t="e">
        <f t="shared" si="2"/>
        <v>#N/A</v>
      </c>
      <c r="Y36" s="24" t="e">
        <f t="shared" si="3"/>
        <v>#N/A</v>
      </c>
      <c r="Z36" s="24" t="e">
        <f t="shared" si="4"/>
        <v>#N/A</v>
      </c>
      <c r="AA36" s="24" t="e">
        <f t="shared" si="5"/>
        <v>#N/A</v>
      </c>
    </row>
    <row r="37" spans="1:27" ht="26.4" x14ac:dyDescent="0.3">
      <c r="A37" s="6" t="s">
        <v>260</v>
      </c>
      <c r="B37" s="7" t="s">
        <v>261</v>
      </c>
      <c r="C37" s="10" t="s">
        <v>848</v>
      </c>
      <c r="D37" s="10" t="s">
        <v>1083</v>
      </c>
      <c r="E37" s="16">
        <v>396</v>
      </c>
      <c r="F37" s="6" t="s">
        <v>702</v>
      </c>
      <c r="G37" s="6">
        <f>IF(E37&gt;='Selection Criteria'!$C$66,5,IF(E37&gt;='Selection Criteria'!$C$67,4,IF(E37&gt;='Selection Criteria'!$C$68,3,IF(E37&gt;='Selection Criteria'!$C$69,2,1))))</f>
        <v>3</v>
      </c>
      <c r="H37" s="6">
        <f>IF(F37="Yes",'Selection Criteria'!$C$70,'Selection Criteria'!$C$71)</f>
        <v>5</v>
      </c>
      <c r="I37" s="18">
        <v>4</v>
      </c>
      <c r="J37" s="18">
        <v>5</v>
      </c>
      <c r="K37" s="23">
        <f>(G37*'Selection Criteria'!$F$49+H37*'Selection Criteria'!$F$50+I37*'Selection Criteria'!$F$51+J37*'Selection Criteria'!$F$52)/(5*'Selection Criteria'!$F$53)*100</f>
        <v>83</v>
      </c>
      <c r="L37" s="18">
        <v>3</v>
      </c>
      <c r="M37" s="18">
        <v>4</v>
      </c>
      <c r="N37" s="18">
        <v>5</v>
      </c>
      <c r="O37" s="6">
        <f>IF(INDEX('Path Scorecard'!$X$5:$X$71,MATCH($A37,'Path Scorecard'!$A$5:$A$71,0))="",3,INDEX('Path Scorecard'!$X$5:$X$71,MATCH($A37,'Path Scorecard'!$A$5:$A$71,0)))</f>
        <v>3</v>
      </c>
      <c r="P37" s="23">
        <f>(L37*'Selection Criteria'!$F$55+M37*'Selection Criteria'!$F$56+N37*'Selection Criteria'!$F$57+O37*'Selection Criteria'!$F$58)/(5*'Selection Criteria'!$F$59)*100</f>
        <v>75</v>
      </c>
      <c r="Q37" s="17" t="str">
        <f>IF(K37&gt;='Selection Criteria'!$C$62,"Hero",IF(P37&gt;='Selection Criteria'!$C$63,"Probable Hero","Non-Hero"))</f>
        <v>Hero</v>
      </c>
      <c r="R37" s="17" t="str">
        <f>IF(Q37="Hero",IF(INDEX('Path Scorecard'!$T$5:$T$71,MATCH($A37,'Path Scorecard'!$A$5:$A$71,0))&lt;='Selection Criteria'!$C$64,"PROTECT","EXTEND"),IF(Q37="Probable Hero","BUILD","HOLD"))</f>
        <v>EXTEND</v>
      </c>
      <c r="S37" s="6" t="str">
        <f>INDEX('Path Scorecard'!$AB$5:$AB$71,MATCH($A37,'Path Scorecard'!$A$5:$A$71,0))</f>
        <v>Tier 2</v>
      </c>
      <c r="T37" s="10"/>
      <c r="V37" s="24">
        <f t="shared" ref="V37:V71" si="6">IF(AND($Q37="Hero",$S37&lt;&gt;"Parked (gate)"),K37,NA())</f>
        <v>83</v>
      </c>
      <c r="W37" s="24">
        <f t="shared" ref="W37:W71" si="7">IF(AND($Q37="Hero",$S37&lt;&gt;"Parked (gate)"),P37,NA())</f>
        <v>75</v>
      </c>
      <c r="X37" s="24" t="e">
        <f t="shared" ref="X37:X71" si="8">IF(AND($Q37="Probable Hero",$S37&lt;&gt;"Parked (gate)"),K37,NA())</f>
        <v>#N/A</v>
      </c>
      <c r="Y37" s="24" t="e">
        <f t="shared" ref="Y37:Y71" si="9">IF(AND($Q37="Probable Hero",$S37&lt;&gt;"Parked (gate)"),P37,NA())</f>
        <v>#N/A</v>
      </c>
      <c r="Z37" s="24" t="e">
        <f t="shared" ref="Z37:Z71" si="10">IF(AND($Q37="Non-Hero",$S37&lt;&gt;"Parked (gate)"),K37,NA())</f>
        <v>#N/A</v>
      </c>
      <c r="AA37" s="24" t="e">
        <f t="shared" ref="AA37:AA71" si="11">IF(AND($Q37="Non-Hero",$S37&lt;&gt;"Parked (gate)"),P37,NA())</f>
        <v>#N/A</v>
      </c>
    </row>
    <row r="38" spans="1:27" ht="26.4" x14ac:dyDescent="0.3">
      <c r="A38" s="6" t="s">
        <v>294</v>
      </c>
      <c r="B38" s="7" t="s">
        <v>295</v>
      </c>
      <c r="C38" s="10" t="s">
        <v>762</v>
      </c>
      <c r="D38" s="10" t="s">
        <v>1069</v>
      </c>
      <c r="E38" s="16">
        <v>660</v>
      </c>
      <c r="F38" s="6" t="s">
        <v>702</v>
      </c>
      <c r="G38" s="6">
        <f>IF(E38&gt;='Selection Criteria'!$C$66,5,IF(E38&gt;='Selection Criteria'!$C$67,4,IF(E38&gt;='Selection Criteria'!$C$68,3,IF(E38&gt;='Selection Criteria'!$C$69,2,1))))</f>
        <v>4</v>
      </c>
      <c r="H38" s="6">
        <f>IF(F38="Yes",'Selection Criteria'!$C$70,'Selection Criteria'!$C$71)</f>
        <v>5</v>
      </c>
      <c r="I38" s="18">
        <v>3</v>
      </c>
      <c r="J38" s="18">
        <v>3</v>
      </c>
      <c r="K38" s="23">
        <f>(G38*'Selection Criteria'!$F$49+H38*'Selection Criteria'!$F$50+I38*'Selection Criteria'!$F$51+J38*'Selection Criteria'!$F$52)/(5*'Selection Criteria'!$F$53)*100</f>
        <v>72</v>
      </c>
      <c r="L38" s="18">
        <v>3</v>
      </c>
      <c r="M38" s="18">
        <v>5</v>
      </c>
      <c r="N38" s="18">
        <v>4</v>
      </c>
      <c r="O38" s="6">
        <f>IF(INDEX('Path Scorecard'!$X$5:$X$71,MATCH($A38,'Path Scorecard'!$A$5:$A$71,0))="",3,INDEX('Path Scorecard'!$X$5:$X$71,MATCH($A38,'Path Scorecard'!$A$5:$A$71,0)))</f>
        <v>5</v>
      </c>
      <c r="P38" s="23">
        <f>(L38*'Selection Criteria'!$F$55+M38*'Selection Criteria'!$F$56+N38*'Selection Criteria'!$F$57+O38*'Selection Criteria'!$F$58)/(5*'Selection Criteria'!$F$59)*100</f>
        <v>81</v>
      </c>
      <c r="Q38" s="17" t="str">
        <f>IF(K38&gt;='Selection Criteria'!$C$62,"Hero",IF(P38&gt;='Selection Criteria'!$C$63,"Probable Hero","Non-Hero"))</f>
        <v>Hero</v>
      </c>
      <c r="R38" s="17" t="str">
        <f>IF(Q38="Hero",IF(INDEX('Path Scorecard'!$T$5:$T$71,MATCH($A38,'Path Scorecard'!$A$5:$A$71,0))&lt;='Selection Criteria'!$C$64,"PROTECT","EXTEND"),IF(Q38="Probable Hero","BUILD","HOLD"))</f>
        <v>EXTEND</v>
      </c>
      <c r="S38" s="6" t="str">
        <f>INDEX('Path Scorecard'!$AB$5:$AB$71,MATCH($A38,'Path Scorecard'!$A$5:$A$71,0))</f>
        <v>Tier 2</v>
      </c>
      <c r="T38" s="10"/>
      <c r="V38" s="24">
        <f t="shared" si="6"/>
        <v>72</v>
      </c>
      <c r="W38" s="24">
        <f t="shared" si="7"/>
        <v>81</v>
      </c>
      <c r="X38" s="24" t="e">
        <f t="shared" si="8"/>
        <v>#N/A</v>
      </c>
      <c r="Y38" s="24" t="e">
        <f t="shared" si="9"/>
        <v>#N/A</v>
      </c>
      <c r="Z38" s="24" t="e">
        <f t="shared" si="10"/>
        <v>#N/A</v>
      </c>
      <c r="AA38" s="24" t="e">
        <f t="shared" si="11"/>
        <v>#N/A</v>
      </c>
    </row>
    <row r="39" spans="1:27" ht="26.4" x14ac:dyDescent="0.3">
      <c r="A39" s="6" t="s">
        <v>288</v>
      </c>
      <c r="B39" s="7" t="s">
        <v>289</v>
      </c>
      <c r="C39" s="10" t="s">
        <v>768</v>
      </c>
      <c r="D39" s="10" t="s">
        <v>1078</v>
      </c>
      <c r="E39" s="16">
        <v>63</v>
      </c>
      <c r="F39" s="6" t="s">
        <v>702</v>
      </c>
      <c r="G39" s="6">
        <f>IF(E39&gt;='Selection Criteria'!$C$66,5,IF(E39&gt;='Selection Criteria'!$C$67,4,IF(E39&gt;='Selection Criteria'!$C$68,3,IF(E39&gt;='Selection Criteria'!$C$69,2,1))))</f>
        <v>1</v>
      </c>
      <c r="H39" s="6">
        <f>IF(F39="Yes",'Selection Criteria'!$C$70,'Selection Criteria'!$C$71)</f>
        <v>5</v>
      </c>
      <c r="I39" s="18">
        <v>3</v>
      </c>
      <c r="J39" s="18">
        <v>4</v>
      </c>
      <c r="K39" s="23">
        <f>(G39*'Selection Criteria'!$F$49+H39*'Selection Criteria'!$F$50+I39*'Selection Criteria'!$F$51+J39*'Selection Criteria'!$F$52)/(5*'Selection Criteria'!$F$53)*100</f>
        <v>60</v>
      </c>
      <c r="L39" s="18">
        <v>4</v>
      </c>
      <c r="M39" s="18">
        <v>3</v>
      </c>
      <c r="N39" s="18">
        <v>2</v>
      </c>
      <c r="O39" s="6">
        <f>IF(INDEX('Path Scorecard'!$X$5:$X$71,MATCH($A39,'Path Scorecard'!$A$5:$A$71,0))="",3,INDEX('Path Scorecard'!$X$5:$X$71,MATCH($A39,'Path Scorecard'!$A$5:$A$71,0)))</f>
        <v>4</v>
      </c>
      <c r="P39" s="23">
        <f>(L39*'Selection Criteria'!$F$55+M39*'Selection Criteria'!$F$56+N39*'Selection Criteria'!$F$57+O39*'Selection Criteria'!$F$58)/(5*'Selection Criteria'!$F$59)*100</f>
        <v>65</v>
      </c>
      <c r="Q39" s="17" t="str">
        <f>IF(K39&gt;='Selection Criteria'!$C$62,"Hero",IF(P39&gt;='Selection Criteria'!$C$63,"Probable Hero","Non-Hero"))</f>
        <v>Probable Hero</v>
      </c>
      <c r="R39" s="17" t="str">
        <f>IF(Q39="Hero",IF(INDEX('Path Scorecard'!$T$5:$T$71,MATCH($A39,'Path Scorecard'!$A$5:$A$71,0))&lt;='Selection Criteria'!$C$64,"PROTECT","EXTEND"),IF(Q39="Probable Hero","BUILD","HOLD"))</f>
        <v>BUILD</v>
      </c>
      <c r="S39" s="6" t="str">
        <f>INDEX('Path Scorecard'!$AB$5:$AB$71,MATCH($A39,'Path Scorecard'!$A$5:$A$71,0))</f>
        <v>Tier 2</v>
      </c>
      <c r="T39" s="10"/>
      <c r="V39" s="24" t="e">
        <f t="shared" si="6"/>
        <v>#N/A</v>
      </c>
      <c r="W39" s="24" t="e">
        <f t="shared" si="7"/>
        <v>#N/A</v>
      </c>
      <c r="X39" s="24">
        <f t="shared" si="8"/>
        <v>60</v>
      </c>
      <c r="Y39" s="24">
        <f t="shared" si="9"/>
        <v>65</v>
      </c>
      <c r="Z39" s="24" t="e">
        <f t="shared" si="10"/>
        <v>#N/A</v>
      </c>
      <c r="AA39" s="24" t="e">
        <f t="shared" si="11"/>
        <v>#N/A</v>
      </c>
    </row>
    <row r="40" spans="1:27" ht="26.4" x14ac:dyDescent="0.3">
      <c r="A40" s="6" t="s">
        <v>196</v>
      </c>
      <c r="B40" s="7" t="s">
        <v>197</v>
      </c>
      <c r="C40" s="10" t="s">
        <v>777</v>
      </c>
      <c r="D40" s="10" t="s">
        <v>111</v>
      </c>
      <c r="E40" s="16">
        <v>64</v>
      </c>
      <c r="F40" s="6" t="s">
        <v>702</v>
      </c>
      <c r="G40" s="6">
        <f>IF(E40&gt;='Selection Criteria'!$C$66,5,IF(E40&gt;='Selection Criteria'!$C$67,4,IF(E40&gt;='Selection Criteria'!$C$68,3,IF(E40&gt;='Selection Criteria'!$C$69,2,1))))</f>
        <v>1</v>
      </c>
      <c r="H40" s="6">
        <f>IF(F40="Yes",'Selection Criteria'!$C$70,'Selection Criteria'!$C$71)</f>
        <v>5</v>
      </c>
      <c r="I40" s="18">
        <v>1</v>
      </c>
      <c r="J40" s="18">
        <v>1</v>
      </c>
      <c r="K40" s="23">
        <f>(G40*'Selection Criteria'!$F$49+H40*'Selection Criteria'!$F$50+I40*'Selection Criteria'!$F$51+J40*'Selection Criteria'!$F$52)/(5*'Selection Criteria'!$F$53)*100</f>
        <v>32</v>
      </c>
      <c r="L40" s="18">
        <v>3</v>
      </c>
      <c r="M40" s="18">
        <v>5</v>
      </c>
      <c r="N40" s="18">
        <v>3</v>
      </c>
      <c r="O40" s="6">
        <f>IF(INDEX('Path Scorecard'!$X$5:$X$71,MATCH($A40,'Path Scorecard'!$A$5:$A$71,0))="",3,INDEX('Path Scorecard'!$X$5:$X$71,MATCH($A40,'Path Scorecard'!$A$5:$A$71,0)))</f>
        <v>2</v>
      </c>
      <c r="P40" s="23">
        <f>(L40*'Selection Criteria'!$F$55+M40*'Selection Criteria'!$F$56+N40*'Selection Criteria'!$F$57+O40*'Selection Criteria'!$F$58)/(5*'Selection Criteria'!$F$59)*100</f>
        <v>67</v>
      </c>
      <c r="Q40" s="17" t="str">
        <f>IF(K40&gt;='Selection Criteria'!$C$62,"Hero",IF(P40&gt;='Selection Criteria'!$C$63,"Probable Hero","Non-Hero"))</f>
        <v>Probable Hero</v>
      </c>
      <c r="R40" s="17" t="str">
        <f>IF(Q40="Hero",IF(INDEX('Path Scorecard'!$T$5:$T$71,MATCH($A40,'Path Scorecard'!$A$5:$A$71,0))&lt;='Selection Criteria'!$C$64,"PROTECT","EXTEND"),IF(Q40="Probable Hero","BUILD","HOLD"))</f>
        <v>BUILD</v>
      </c>
      <c r="S40" s="6" t="str">
        <f>INDEX('Path Scorecard'!$AB$5:$AB$71,MATCH($A40,'Path Scorecard'!$A$5:$A$71,0))</f>
        <v>Tier 3</v>
      </c>
      <c r="T40" s="10"/>
      <c r="V40" s="24" t="e">
        <f t="shared" si="6"/>
        <v>#N/A</v>
      </c>
      <c r="W40" s="24" t="e">
        <f t="shared" si="7"/>
        <v>#N/A</v>
      </c>
      <c r="X40" s="24">
        <f t="shared" si="8"/>
        <v>32</v>
      </c>
      <c r="Y40" s="24">
        <f t="shared" si="9"/>
        <v>67</v>
      </c>
      <c r="Z40" s="24" t="e">
        <f t="shared" si="10"/>
        <v>#N/A</v>
      </c>
      <c r="AA40" s="24" t="e">
        <f t="shared" si="11"/>
        <v>#N/A</v>
      </c>
    </row>
    <row r="41" spans="1:27" ht="26.4" x14ac:dyDescent="0.3">
      <c r="A41" s="6" t="s">
        <v>889</v>
      </c>
      <c r="B41" s="7" t="s">
        <v>890</v>
      </c>
      <c r="C41" s="10" t="s">
        <v>768</v>
      </c>
      <c r="D41" s="10" t="s">
        <v>1084</v>
      </c>
      <c r="E41" s="16">
        <v>136</v>
      </c>
      <c r="F41" s="6" t="s">
        <v>702</v>
      </c>
      <c r="G41" s="6">
        <f>IF(E41&gt;='Selection Criteria'!$C$66,5,IF(E41&gt;='Selection Criteria'!$C$67,4,IF(E41&gt;='Selection Criteria'!$C$68,3,IF(E41&gt;='Selection Criteria'!$C$69,2,1))))</f>
        <v>2</v>
      </c>
      <c r="H41" s="6">
        <f>IF(F41="Yes",'Selection Criteria'!$C$70,'Selection Criteria'!$C$71)</f>
        <v>5</v>
      </c>
      <c r="I41" s="18">
        <v>3</v>
      </c>
      <c r="J41" s="18">
        <v>3</v>
      </c>
      <c r="K41" s="23">
        <f>(G41*'Selection Criteria'!$F$49+H41*'Selection Criteria'!$F$50+I41*'Selection Criteria'!$F$51+J41*'Selection Criteria'!$F$52)/(5*'Selection Criteria'!$F$53)*100</f>
        <v>60</v>
      </c>
      <c r="L41" s="18">
        <v>3</v>
      </c>
      <c r="M41" s="18">
        <v>3</v>
      </c>
      <c r="N41" s="18">
        <v>2</v>
      </c>
      <c r="O41" s="6">
        <f>IF(INDEX('Path Scorecard'!$X$5:$X$71,MATCH($A41,'Path Scorecard'!$A$5:$A$71,0))="",3,INDEX('Path Scorecard'!$X$5:$X$71,MATCH($A41,'Path Scorecard'!$A$5:$A$71,0)))</f>
        <v>3</v>
      </c>
      <c r="P41" s="23">
        <f>(L41*'Selection Criteria'!$F$55+M41*'Selection Criteria'!$F$56+N41*'Selection Criteria'!$F$57+O41*'Selection Criteria'!$F$58)/(5*'Selection Criteria'!$F$59)*100</f>
        <v>55.000000000000007</v>
      </c>
      <c r="Q41" s="17" t="str">
        <f>IF(K41&gt;='Selection Criteria'!$C$62,"Hero",IF(P41&gt;='Selection Criteria'!$C$63,"Probable Hero","Non-Hero"))</f>
        <v>Non-Hero</v>
      </c>
      <c r="R41" s="17" t="str">
        <f>IF(Q41="Hero",IF(INDEX('Path Scorecard'!$T$5:$T$71,MATCH($A41,'Path Scorecard'!$A$5:$A$71,0))&lt;='Selection Criteria'!$C$64,"PROTECT","EXTEND"),IF(Q41="Probable Hero","BUILD","HOLD"))</f>
        <v>HOLD</v>
      </c>
      <c r="S41" s="6" t="str">
        <f>INDEX('Path Scorecard'!$AB$5:$AB$71,MATCH($A41,'Path Scorecard'!$A$5:$A$71,0))</f>
        <v>Tier 3</v>
      </c>
      <c r="T41" s="10"/>
      <c r="V41" s="24" t="e">
        <f t="shared" si="6"/>
        <v>#N/A</v>
      </c>
      <c r="W41" s="24" t="e">
        <f t="shared" si="7"/>
        <v>#N/A</v>
      </c>
      <c r="X41" s="24" t="e">
        <f t="shared" si="8"/>
        <v>#N/A</v>
      </c>
      <c r="Y41" s="24" t="e">
        <f t="shared" si="9"/>
        <v>#N/A</v>
      </c>
      <c r="Z41" s="24">
        <f t="shared" si="10"/>
        <v>60</v>
      </c>
      <c r="AA41" s="24">
        <f t="shared" si="11"/>
        <v>55.000000000000007</v>
      </c>
    </row>
    <row r="42" spans="1:27" ht="26.4" x14ac:dyDescent="0.3">
      <c r="A42" s="6" t="s">
        <v>895</v>
      </c>
      <c r="B42" s="7" t="s">
        <v>896</v>
      </c>
      <c r="C42" s="10" t="s">
        <v>768</v>
      </c>
      <c r="D42" s="10" t="s">
        <v>1060</v>
      </c>
      <c r="E42" s="16">
        <v>1504</v>
      </c>
      <c r="F42" s="6" t="s">
        <v>702</v>
      </c>
      <c r="G42" s="6">
        <f>IF(E42&gt;='Selection Criteria'!$C$66,5,IF(E42&gt;='Selection Criteria'!$C$67,4,IF(E42&gt;='Selection Criteria'!$C$68,3,IF(E42&gt;='Selection Criteria'!$C$69,2,1))))</f>
        <v>5</v>
      </c>
      <c r="H42" s="6">
        <f>IF(F42="Yes",'Selection Criteria'!$C$70,'Selection Criteria'!$C$71)</f>
        <v>5</v>
      </c>
      <c r="I42" s="18">
        <v>5</v>
      </c>
      <c r="J42" s="18">
        <v>5</v>
      </c>
      <c r="K42" s="23">
        <f>(G42*'Selection Criteria'!$F$49+H42*'Selection Criteria'!$F$50+I42*'Selection Criteria'!$F$51+J42*'Selection Criteria'!$F$52)/(5*'Selection Criteria'!$F$53)*100</f>
        <v>100</v>
      </c>
      <c r="L42" s="18">
        <v>3</v>
      </c>
      <c r="M42" s="18">
        <v>4</v>
      </c>
      <c r="N42" s="18">
        <v>5</v>
      </c>
      <c r="O42" s="6">
        <f>IF(INDEX('Path Scorecard'!$X$5:$X$71,MATCH($A42,'Path Scorecard'!$A$5:$A$71,0))="",3,INDEX('Path Scorecard'!$X$5:$X$71,MATCH($A42,'Path Scorecard'!$A$5:$A$71,0)))</f>
        <v>4</v>
      </c>
      <c r="P42" s="23">
        <f>(L42*'Selection Criteria'!$F$55+M42*'Selection Criteria'!$F$56+N42*'Selection Criteria'!$F$57+O42*'Selection Criteria'!$F$58)/(5*'Selection Criteria'!$F$59)*100</f>
        <v>78</v>
      </c>
      <c r="Q42" s="17" t="str">
        <f>IF(K42&gt;='Selection Criteria'!$C$62,"Hero",IF(P42&gt;='Selection Criteria'!$C$63,"Probable Hero","Non-Hero"))</f>
        <v>Hero</v>
      </c>
      <c r="R42" s="17" t="str">
        <f>IF(Q42="Hero",IF(INDEX('Path Scorecard'!$T$5:$T$71,MATCH($A42,'Path Scorecard'!$A$5:$A$71,0))&lt;='Selection Criteria'!$C$64,"PROTECT","EXTEND"),IF(Q42="Probable Hero","BUILD","HOLD"))</f>
        <v>PROTECT</v>
      </c>
      <c r="S42" s="6" t="str">
        <f>INDEX('Path Scorecard'!$AB$5:$AB$71,MATCH($A42,'Path Scorecard'!$A$5:$A$71,0))</f>
        <v>Tier 3</v>
      </c>
      <c r="T42" s="10" t="s">
        <v>1085</v>
      </c>
      <c r="V42" s="24">
        <f t="shared" si="6"/>
        <v>100</v>
      </c>
      <c r="W42" s="24">
        <f t="shared" si="7"/>
        <v>78</v>
      </c>
      <c r="X42" s="24" t="e">
        <f t="shared" si="8"/>
        <v>#N/A</v>
      </c>
      <c r="Y42" s="24" t="e">
        <f t="shared" si="9"/>
        <v>#N/A</v>
      </c>
      <c r="Z42" s="24" t="e">
        <f t="shared" si="10"/>
        <v>#N/A</v>
      </c>
      <c r="AA42" s="24" t="e">
        <f t="shared" si="11"/>
        <v>#N/A</v>
      </c>
    </row>
    <row r="43" spans="1:27" ht="26.4" x14ac:dyDescent="0.3">
      <c r="A43" s="6" t="s">
        <v>900</v>
      </c>
      <c r="B43" s="7" t="s">
        <v>901</v>
      </c>
      <c r="C43" s="10" t="s">
        <v>768</v>
      </c>
      <c r="D43" s="10" t="s">
        <v>1086</v>
      </c>
      <c r="E43" s="16">
        <v>782</v>
      </c>
      <c r="F43" s="6" t="s">
        <v>1063</v>
      </c>
      <c r="G43" s="6">
        <f>IF(E43&gt;='Selection Criteria'!$C$66,5,IF(E43&gt;='Selection Criteria'!$C$67,4,IF(E43&gt;='Selection Criteria'!$C$68,3,IF(E43&gt;='Selection Criteria'!$C$69,2,1))))</f>
        <v>4</v>
      </c>
      <c r="H43" s="6">
        <f>IF(F43="Yes",'Selection Criteria'!$C$70,'Selection Criteria'!$C$71)</f>
        <v>2</v>
      </c>
      <c r="I43" s="18">
        <v>3</v>
      </c>
      <c r="J43" s="18">
        <v>3</v>
      </c>
      <c r="K43" s="23">
        <f>(G43*'Selection Criteria'!$F$49+H43*'Selection Criteria'!$F$50+I43*'Selection Criteria'!$F$51+J43*'Selection Criteria'!$F$52)/(5*'Selection Criteria'!$F$53)*100</f>
        <v>63</v>
      </c>
      <c r="L43" s="18">
        <v>4</v>
      </c>
      <c r="M43" s="18">
        <v>5</v>
      </c>
      <c r="N43" s="18">
        <v>5</v>
      </c>
      <c r="O43" s="6">
        <f>IF(INDEX('Path Scorecard'!$X$5:$X$71,MATCH($A43,'Path Scorecard'!$A$5:$A$71,0))="",3,INDEX('Path Scorecard'!$X$5:$X$71,MATCH($A43,'Path Scorecard'!$A$5:$A$71,0)))</f>
        <v>4</v>
      </c>
      <c r="P43" s="23">
        <f>(L43*'Selection Criteria'!$F$55+M43*'Selection Criteria'!$F$56+N43*'Selection Criteria'!$F$57+O43*'Selection Criteria'!$F$58)/(5*'Selection Criteria'!$F$59)*100</f>
        <v>90</v>
      </c>
      <c r="Q43" s="17" t="str">
        <f>IF(K43&gt;='Selection Criteria'!$C$62,"Hero",IF(P43&gt;='Selection Criteria'!$C$63,"Probable Hero","Non-Hero"))</f>
        <v>Probable Hero</v>
      </c>
      <c r="R43" s="17" t="str">
        <f>IF(Q43="Hero",IF(INDEX('Path Scorecard'!$T$5:$T$71,MATCH($A43,'Path Scorecard'!$A$5:$A$71,0))&lt;='Selection Criteria'!$C$64,"PROTECT","EXTEND"),IF(Q43="Probable Hero","BUILD","HOLD"))</f>
        <v>BUILD</v>
      </c>
      <c r="S43" s="6" t="str">
        <f>INDEX('Path Scorecard'!$AB$5:$AB$71,MATCH($A43,'Path Scorecard'!$A$5:$A$71,0))</f>
        <v>Tier 3</v>
      </c>
      <c r="T43" s="10"/>
      <c r="V43" s="24" t="e">
        <f t="shared" si="6"/>
        <v>#N/A</v>
      </c>
      <c r="W43" s="24" t="e">
        <f t="shared" si="7"/>
        <v>#N/A</v>
      </c>
      <c r="X43" s="24">
        <f t="shared" si="8"/>
        <v>63</v>
      </c>
      <c r="Y43" s="24">
        <f t="shared" si="9"/>
        <v>90</v>
      </c>
      <c r="Z43" s="24" t="e">
        <f t="shared" si="10"/>
        <v>#N/A</v>
      </c>
      <c r="AA43" s="24" t="e">
        <f t="shared" si="11"/>
        <v>#N/A</v>
      </c>
    </row>
    <row r="44" spans="1:27" ht="26.4" x14ac:dyDescent="0.3">
      <c r="A44" s="6" t="s">
        <v>906</v>
      </c>
      <c r="B44" s="7" t="s">
        <v>907</v>
      </c>
      <c r="C44" s="10" t="s">
        <v>768</v>
      </c>
      <c r="D44" s="10" t="s">
        <v>1087</v>
      </c>
      <c r="E44" s="16">
        <v>661</v>
      </c>
      <c r="F44" s="6" t="s">
        <v>702</v>
      </c>
      <c r="G44" s="6">
        <f>IF(E44&gt;='Selection Criteria'!$C$66,5,IF(E44&gt;='Selection Criteria'!$C$67,4,IF(E44&gt;='Selection Criteria'!$C$68,3,IF(E44&gt;='Selection Criteria'!$C$69,2,1))))</f>
        <v>4</v>
      </c>
      <c r="H44" s="6">
        <f>IF(F44="Yes",'Selection Criteria'!$C$70,'Selection Criteria'!$C$71)</f>
        <v>5</v>
      </c>
      <c r="I44" s="18">
        <v>3</v>
      </c>
      <c r="J44" s="18">
        <v>4</v>
      </c>
      <c r="K44" s="23">
        <f>(G44*'Selection Criteria'!$F$49+H44*'Selection Criteria'!$F$50+I44*'Selection Criteria'!$F$51+J44*'Selection Criteria'!$F$52)/(5*'Selection Criteria'!$F$53)*100</f>
        <v>78</v>
      </c>
      <c r="L44" s="18">
        <v>3</v>
      </c>
      <c r="M44" s="18">
        <v>4</v>
      </c>
      <c r="N44" s="18">
        <v>3</v>
      </c>
      <c r="O44" s="6">
        <f>IF(INDEX('Path Scorecard'!$X$5:$X$71,MATCH($A44,'Path Scorecard'!$A$5:$A$71,0))="",3,INDEX('Path Scorecard'!$X$5:$X$71,MATCH($A44,'Path Scorecard'!$A$5:$A$71,0)))</f>
        <v>3</v>
      </c>
      <c r="P44" s="23">
        <f>(L44*'Selection Criteria'!$F$55+M44*'Selection Criteria'!$F$56+N44*'Selection Criteria'!$F$57+O44*'Selection Criteria'!$F$58)/(5*'Selection Criteria'!$F$59)*100</f>
        <v>65</v>
      </c>
      <c r="Q44" s="17" t="str">
        <f>IF(K44&gt;='Selection Criteria'!$C$62,"Hero",IF(P44&gt;='Selection Criteria'!$C$63,"Probable Hero","Non-Hero"))</f>
        <v>Hero</v>
      </c>
      <c r="R44" s="17" t="str">
        <f>IF(Q44="Hero",IF(INDEX('Path Scorecard'!$T$5:$T$71,MATCH($A44,'Path Scorecard'!$A$5:$A$71,0))&lt;='Selection Criteria'!$C$64,"PROTECT","EXTEND"),IF(Q44="Probable Hero","BUILD","HOLD"))</f>
        <v>EXTEND</v>
      </c>
      <c r="S44" s="6" t="str">
        <f>INDEX('Path Scorecard'!$AB$5:$AB$71,MATCH($A44,'Path Scorecard'!$A$5:$A$71,0))</f>
        <v>Tier 3</v>
      </c>
      <c r="T44" s="10"/>
      <c r="V44" s="24">
        <f t="shared" si="6"/>
        <v>78</v>
      </c>
      <c r="W44" s="24">
        <f t="shared" si="7"/>
        <v>65</v>
      </c>
      <c r="X44" s="24" t="e">
        <f t="shared" si="8"/>
        <v>#N/A</v>
      </c>
      <c r="Y44" s="24" t="e">
        <f t="shared" si="9"/>
        <v>#N/A</v>
      </c>
      <c r="Z44" s="24" t="e">
        <f t="shared" si="10"/>
        <v>#N/A</v>
      </c>
      <c r="AA44" s="24" t="e">
        <f t="shared" si="11"/>
        <v>#N/A</v>
      </c>
    </row>
    <row r="45" spans="1:27" ht="26.4" x14ac:dyDescent="0.3">
      <c r="A45" s="6" t="s">
        <v>912</v>
      </c>
      <c r="B45" s="7" t="s">
        <v>913</v>
      </c>
      <c r="C45" s="10" t="s">
        <v>768</v>
      </c>
      <c r="D45" s="10" t="s">
        <v>1084</v>
      </c>
      <c r="E45" s="16">
        <v>152</v>
      </c>
      <c r="F45" s="6" t="s">
        <v>702</v>
      </c>
      <c r="G45" s="6">
        <f>IF(E45&gt;='Selection Criteria'!$C$66,5,IF(E45&gt;='Selection Criteria'!$C$67,4,IF(E45&gt;='Selection Criteria'!$C$68,3,IF(E45&gt;='Selection Criteria'!$C$69,2,1))))</f>
        <v>2</v>
      </c>
      <c r="H45" s="6">
        <f>IF(F45="Yes",'Selection Criteria'!$C$70,'Selection Criteria'!$C$71)</f>
        <v>5</v>
      </c>
      <c r="I45" s="18">
        <v>3</v>
      </c>
      <c r="J45" s="18">
        <v>3</v>
      </c>
      <c r="K45" s="23">
        <f>(G45*'Selection Criteria'!$F$49+H45*'Selection Criteria'!$F$50+I45*'Selection Criteria'!$F$51+J45*'Selection Criteria'!$F$52)/(5*'Selection Criteria'!$F$53)*100</f>
        <v>60</v>
      </c>
      <c r="L45" s="18">
        <v>3</v>
      </c>
      <c r="M45" s="18">
        <v>4</v>
      </c>
      <c r="N45" s="18">
        <v>2</v>
      </c>
      <c r="O45" s="6">
        <f>IF(INDEX('Path Scorecard'!$X$5:$X$71,MATCH($A45,'Path Scorecard'!$A$5:$A$71,0))="",3,INDEX('Path Scorecard'!$X$5:$X$71,MATCH($A45,'Path Scorecard'!$A$5:$A$71,0)))</f>
        <v>3</v>
      </c>
      <c r="P45" s="23">
        <f>(L45*'Selection Criteria'!$F$55+M45*'Selection Criteria'!$F$56+N45*'Selection Criteria'!$F$57+O45*'Selection Criteria'!$F$58)/(5*'Selection Criteria'!$F$59)*100</f>
        <v>60</v>
      </c>
      <c r="Q45" s="17" t="str">
        <f>IF(K45&gt;='Selection Criteria'!$C$62,"Hero",IF(P45&gt;='Selection Criteria'!$C$63,"Probable Hero","Non-Hero"))</f>
        <v>Non-Hero</v>
      </c>
      <c r="R45" s="17" t="str">
        <f>IF(Q45="Hero",IF(INDEX('Path Scorecard'!$T$5:$T$71,MATCH($A45,'Path Scorecard'!$A$5:$A$71,0))&lt;='Selection Criteria'!$C$64,"PROTECT","EXTEND"),IF(Q45="Probable Hero","BUILD","HOLD"))</f>
        <v>HOLD</v>
      </c>
      <c r="S45" s="6" t="str">
        <f>INDEX('Path Scorecard'!$AB$5:$AB$71,MATCH($A45,'Path Scorecard'!$A$5:$A$71,0))</f>
        <v>Tier 3</v>
      </c>
      <c r="T45" s="10"/>
      <c r="V45" s="24" t="e">
        <f t="shared" si="6"/>
        <v>#N/A</v>
      </c>
      <c r="W45" s="24" t="e">
        <f t="shared" si="7"/>
        <v>#N/A</v>
      </c>
      <c r="X45" s="24" t="e">
        <f t="shared" si="8"/>
        <v>#N/A</v>
      </c>
      <c r="Y45" s="24" t="e">
        <f t="shared" si="9"/>
        <v>#N/A</v>
      </c>
      <c r="Z45" s="24">
        <f t="shared" si="10"/>
        <v>60</v>
      </c>
      <c r="AA45" s="24">
        <f t="shared" si="11"/>
        <v>60</v>
      </c>
    </row>
    <row r="46" spans="1:27" ht="26.4" x14ac:dyDescent="0.3">
      <c r="A46" s="6" t="s">
        <v>917</v>
      </c>
      <c r="B46" s="7" t="s">
        <v>918</v>
      </c>
      <c r="C46" s="10" t="s">
        <v>768</v>
      </c>
      <c r="D46" s="10" t="s">
        <v>1088</v>
      </c>
      <c r="E46" s="16">
        <v>798</v>
      </c>
      <c r="F46" s="6" t="s">
        <v>702</v>
      </c>
      <c r="G46" s="6">
        <f>IF(E46&gt;='Selection Criteria'!$C$66,5,IF(E46&gt;='Selection Criteria'!$C$67,4,IF(E46&gt;='Selection Criteria'!$C$68,3,IF(E46&gt;='Selection Criteria'!$C$69,2,1))))</f>
        <v>4</v>
      </c>
      <c r="H46" s="6">
        <f>IF(F46="Yes",'Selection Criteria'!$C$70,'Selection Criteria'!$C$71)</f>
        <v>5</v>
      </c>
      <c r="I46" s="18">
        <v>3</v>
      </c>
      <c r="J46" s="18">
        <v>4</v>
      </c>
      <c r="K46" s="23">
        <f>(G46*'Selection Criteria'!$F$49+H46*'Selection Criteria'!$F$50+I46*'Selection Criteria'!$F$51+J46*'Selection Criteria'!$F$52)/(5*'Selection Criteria'!$F$53)*100</f>
        <v>78</v>
      </c>
      <c r="L46" s="18">
        <v>2</v>
      </c>
      <c r="M46" s="18">
        <v>4</v>
      </c>
      <c r="N46" s="18">
        <v>4</v>
      </c>
      <c r="O46" s="6">
        <f>IF(INDEX('Path Scorecard'!$X$5:$X$71,MATCH($A46,'Path Scorecard'!$A$5:$A$71,0))="",3,INDEX('Path Scorecard'!$X$5:$X$71,MATCH($A46,'Path Scorecard'!$A$5:$A$71,0)))</f>
        <v>2</v>
      </c>
      <c r="P46" s="23">
        <f>(L46*'Selection Criteria'!$F$55+M46*'Selection Criteria'!$F$56+N46*'Selection Criteria'!$F$57+O46*'Selection Criteria'!$F$58)/(5*'Selection Criteria'!$F$59)*100</f>
        <v>60</v>
      </c>
      <c r="Q46" s="17" t="str">
        <f>IF(K46&gt;='Selection Criteria'!$C$62,"Hero",IF(P46&gt;='Selection Criteria'!$C$63,"Probable Hero","Non-Hero"))</f>
        <v>Hero</v>
      </c>
      <c r="R46" s="17" t="str">
        <f>IF(Q46="Hero",IF(INDEX('Path Scorecard'!$T$5:$T$71,MATCH($A46,'Path Scorecard'!$A$5:$A$71,0))&lt;='Selection Criteria'!$C$64,"PROTECT","EXTEND"),IF(Q46="Probable Hero","BUILD","HOLD"))</f>
        <v>EXTEND</v>
      </c>
      <c r="S46" s="6" t="str">
        <f>INDEX('Path Scorecard'!$AB$5:$AB$71,MATCH($A46,'Path Scorecard'!$A$5:$A$71,0))</f>
        <v>Tier 3</v>
      </c>
      <c r="T46" s="10"/>
      <c r="V46" s="24">
        <f t="shared" si="6"/>
        <v>78</v>
      </c>
      <c r="W46" s="24">
        <f t="shared" si="7"/>
        <v>60</v>
      </c>
      <c r="X46" s="24" t="e">
        <f t="shared" si="8"/>
        <v>#N/A</v>
      </c>
      <c r="Y46" s="24" t="e">
        <f t="shared" si="9"/>
        <v>#N/A</v>
      </c>
      <c r="Z46" s="24" t="e">
        <f t="shared" si="10"/>
        <v>#N/A</v>
      </c>
      <c r="AA46" s="24" t="e">
        <f t="shared" si="11"/>
        <v>#N/A</v>
      </c>
    </row>
    <row r="47" spans="1:27" ht="26.4" x14ac:dyDescent="0.3">
      <c r="A47" s="6" t="s">
        <v>924</v>
      </c>
      <c r="B47" s="7" t="s">
        <v>925</v>
      </c>
      <c r="C47" s="10" t="s">
        <v>768</v>
      </c>
      <c r="D47" s="10" t="s">
        <v>1067</v>
      </c>
      <c r="E47" s="16">
        <v>284</v>
      </c>
      <c r="F47" s="6" t="s">
        <v>702</v>
      </c>
      <c r="G47" s="6">
        <f>IF(E47&gt;='Selection Criteria'!$C$66,5,IF(E47&gt;='Selection Criteria'!$C$67,4,IF(E47&gt;='Selection Criteria'!$C$68,3,IF(E47&gt;='Selection Criteria'!$C$69,2,1))))</f>
        <v>3</v>
      </c>
      <c r="H47" s="6">
        <f>IF(F47="Yes",'Selection Criteria'!$C$70,'Selection Criteria'!$C$71)</f>
        <v>5</v>
      </c>
      <c r="I47" s="18">
        <v>3</v>
      </c>
      <c r="J47" s="18">
        <v>3</v>
      </c>
      <c r="K47" s="23">
        <f>(G47*'Selection Criteria'!$F$49+H47*'Selection Criteria'!$F$50+I47*'Selection Criteria'!$F$51+J47*'Selection Criteria'!$F$52)/(5*'Selection Criteria'!$F$53)*100</f>
        <v>66</v>
      </c>
      <c r="L47" s="18">
        <v>2</v>
      </c>
      <c r="M47" s="18">
        <v>3</v>
      </c>
      <c r="N47" s="18">
        <v>3</v>
      </c>
      <c r="O47" s="6">
        <f>IF(INDEX('Path Scorecard'!$X$5:$X$71,MATCH($A47,'Path Scorecard'!$A$5:$A$71,0))="",3,INDEX('Path Scorecard'!$X$5:$X$71,MATCH($A47,'Path Scorecard'!$A$5:$A$71,0)))</f>
        <v>4</v>
      </c>
      <c r="P47" s="23">
        <f>(L47*'Selection Criteria'!$F$55+M47*'Selection Criteria'!$F$56+N47*'Selection Criteria'!$F$57+O47*'Selection Criteria'!$F$58)/(5*'Selection Criteria'!$F$59)*100</f>
        <v>56.000000000000007</v>
      </c>
      <c r="Q47" s="17" t="str">
        <f>IF(K47&gt;='Selection Criteria'!$C$62,"Hero",IF(P47&gt;='Selection Criteria'!$C$63,"Probable Hero","Non-Hero"))</f>
        <v>Hero</v>
      </c>
      <c r="R47" s="17" t="str">
        <f>IF(Q47="Hero",IF(INDEX('Path Scorecard'!$T$5:$T$71,MATCH($A47,'Path Scorecard'!$A$5:$A$71,0))&lt;='Selection Criteria'!$C$64,"PROTECT","EXTEND"),IF(Q47="Probable Hero","BUILD","HOLD"))</f>
        <v>EXTEND</v>
      </c>
      <c r="S47" s="6" t="str">
        <f>INDEX('Path Scorecard'!$AB$5:$AB$71,MATCH($A47,'Path Scorecard'!$A$5:$A$71,0))</f>
        <v>Tier 3</v>
      </c>
      <c r="T47" s="10"/>
      <c r="V47" s="24">
        <f t="shared" si="6"/>
        <v>66</v>
      </c>
      <c r="W47" s="24">
        <f t="shared" si="7"/>
        <v>56.000000000000007</v>
      </c>
      <c r="X47" s="24" t="e">
        <f t="shared" si="8"/>
        <v>#N/A</v>
      </c>
      <c r="Y47" s="24" t="e">
        <f t="shared" si="9"/>
        <v>#N/A</v>
      </c>
      <c r="Z47" s="24" t="e">
        <f t="shared" si="10"/>
        <v>#N/A</v>
      </c>
      <c r="AA47" s="24" t="e">
        <f t="shared" si="11"/>
        <v>#N/A</v>
      </c>
    </row>
    <row r="48" spans="1:27" ht="26.4" x14ac:dyDescent="0.3">
      <c r="A48" s="6" t="s">
        <v>231</v>
      </c>
      <c r="B48" s="7" t="s">
        <v>232</v>
      </c>
      <c r="C48" s="10" t="s">
        <v>931</v>
      </c>
      <c r="D48" s="10" t="s">
        <v>1089</v>
      </c>
      <c r="E48" s="16">
        <v>43</v>
      </c>
      <c r="F48" s="6" t="s">
        <v>1063</v>
      </c>
      <c r="G48" s="6">
        <f>IF(E48&gt;='Selection Criteria'!$C$66,5,IF(E48&gt;='Selection Criteria'!$C$67,4,IF(E48&gt;='Selection Criteria'!$C$68,3,IF(E48&gt;='Selection Criteria'!$C$69,2,1))))</f>
        <v>1</v>
      </c>
      <c r="H48" s="6">
        <f>IF(F48="Yes",'Selection Criteria'!$C$70,'Selection Criteria'!$C$71)</f>
        <v>2</v>
      </c>
      <c r="I48" s="18">
        <v>1</v>
      </c>
      <c r="J48" s="18">
        <v>1</v>
      </c>
      <c r="K48" s="23">
        <f>(G48*'Selection Criteria'!$F$49+H48*'Selection Criteria'!$F$50+I48*'Selection Criteria'!$F$51+J48*'Selection Criteria'!$F$52)/(5*'Selection Criteria'!$F$53)*100</f>
        <v>23</v>
      </c>
      <c r="L48" s="18">
        <v>4</v>
      </c>
      <c r="M48" s="18">
        <v>4</v>
      </c>
      <c r="N48" s="18">
        <v>3</v>
      </c>
      <c r="O48" s="6">
        <f>IF(INDEX('Path Scorecard'!$X$5:$X$71,MATCH($A48,'Path Scorecard'!$A$5:$A$71,0))="",3,INDEX('Path Scorecard'!$X$5:$X$71,MATCH($A48,'Path Scorecard'!$A$5:$A$71,0)))</f>
        <v>4</v>
      </c>
      <c r="P48" s="23">
        <f>(L48*'Selection Criteria'!$F$55+M48*'Selection Criteria'!$F$56+N48*'Selection Criteria'!$F$57+O48*'Selection Criteria'!$F$58)/(5*'Selection Criteria'!$F$59)*100</f>
        <v>75</v>
      </c>
      <c r="Q48" s="17" t="str">
        <f>IF(K48&gt;='Selection Criteria'!$C$62,"Hero",IF(P48&gt;='Selection Criteria'!$C$63,"Probable Hero","Non-Hero"))</f>
        <v>Probable Hero</v>
      </c>
      <c r="R48" s="17" t="str">
        <f>IF(Q48="Hero",IF(INDEX('Path Scorecard'!$T$5:$T$71,MATCH($A48,'Path Scorecard'!$A$5:$A$71,0))&lt;='Selection Criteria'!$C$64,"PROTECT","EXTEND"),IF(Q48="Probable Hero","BUILD","HOLD"))</f>
        <v>BUILD</v>
      </c>
      <c r="S48" s="6" t="str">
        <f>INDEX('Path Scorecard'!$AB$5:$AB$71,MATCH($A48,'Path Scorecard'!$A$5:$A$71,0))</f>
        <v>Tier 3</v>
      </c>
      <c r="T48" s="10"/>
      <c r="V48" s="24" t="e">
        <f t="shared" si="6"/>
        <v>#N/A</v>
      </c>
      <c r="W48" s="24" t="e">
        <f t="shared" si="7"/>
        <v>#N/A</v>
      </c>
      <c r="X48" s="24">
        <f t="shared" si="8"/>
        <v>23</v>
      </c>
      <c r="Y48" s="24">
        <f t="shared" si="9"/>
        <v>75</v>
      </c>
      <c r="Z48" s="24" t="e">
        <f t="shared" si="10"/>
        <v>#N/A</v>
      </c>
      <c r="AA48" s="24" t="e">
        <f t="shared" si="11"/>
        <v>#N/A</v>
      </c>
    </row>
    <row r="49" spans="1:27" ht="26.4" x14ac:dyDescent="0.3">
      <c r="A49" s="6" t="s">
        <v>933</v>
      </c>
      <c r="B49" s="7" t="s">
        <v>934</v>
      </c>
      <c r="C49" s="10" t="s">
        <v>768</v>
      </c>
      <c r="D49" s="10" t="s">
        <v>1090</v>
      </c>
      <c r="E49" s="16">
        <v>55</v>
      </c>
      <c r="F49" s="6" t="s">
        <v>702</v>
      </c>
      <c r="G49" s="6">
        <f>IF(E49&gt;='Selection Criteria'!$C$66,5,IF(E49&gt;='Selection Criteria'!$C$67,4,IF(E49&gt;='Selection Criteria'!$C$68,3,IF(E49&gt;='Selection Criteria'!$C$69,2,1))))</f>
        <v>1</v>
      </c>
      <c r="H49" s="6">
        <f>IF(F49="Yes",'Selection Criteria'!$C$70,'Selection Criteria'!$C$71)</f>
        <v>5</v>
      </c>
      <c r="I49" s="18">
        <v>2</v>
      </c>
      <c r="J49" s="18">
        <v>2</v>
      </c>
      <c r="K49" s="23">
        <f>(G49*'Selection Criteria'!$F$49+H49*'Selection Criteria'!$F$50+I49*'Selection Criteria'!$F$51+J49*'Selection Criteria'!$F$52)/(5*'Selection Criteria'!$F$53)*100</f>
        <v>43</v>
      </c>
      <c r="L49" s="18">
        <v>3</v>
      </c>
      <c r="M49" s="18">
        <v>4</v>
      </c>
      <c r="N49" s="18">
        <v>3</v>
      </c>
      <c r="O49" s="6">
        <f>IF(INDEX('Path Scorecard'!$X$5:$X$71,MATCH($A49,'Path Scorecard'!$A$5:$A$71,0))="",3,INDEX('Path Scorecard'!$X$5:$X$71,MATCH($A49,'Path Scorecard'!$A$5:$A$71,0)))</f>
        <v>2</v>
      </c>
      <c r="P49" s="23">
        <f>(L49*'Selection Criteria'!$F$55+M49*'Selection Criteria'!$F$56+N49*'Selection Criteria'!$F$57+O49*'Selection Criteria'!$F$58)/(5*'Selection Criteria'!$F$59)*100</f>
        <v>62</v>
      </c>
      <c r="Q49" s="17" t="str">
        <f>IF(K49&gt;='Selection Criteria'!$C$62,"Hero",IF(P49&gt;='Selection Criteria'!$C$63,"Probable Hero","Non-Hero"))</f>
        <v>Non-Hero</v>
      </c>
      <c r="R49" s="17" t="str">
        <f>IF(Q49="Hero",IF(INDEX('Path Scorecard'!$T$5:$T$71,MATCH($A49,'Path Scorecard'!$A$5:$A$71,0))&lt;='Selection Criteria'!$C$64,"PROTECT","EXTEND"),IF(Q49="Probable Hero","BUILD","HOLD"))</f>
        <v>HOLD</v>
      </c>
      <c r="S49" s="6" t="str">
        <f>INDEX('Path Scorecard'!$AB$5:$AB$71,MATCH($A49,'Path Scorecard'!$A$5:$A$71,0))</f>
        <v>Tier 3</v>
      </c>
      <c r="T49" s="10"/>
      <c r="V49" s="24" t="e">
        <f t="shared" si="6"/>
        <v>#N/A</v>
      </c>
      <c r="W49" s="24" t="e">
        <f t="shared" si="7"/>
        <v>#N/A</v>
      </c>
      <c r="X49" s="24" t="e">
        <f t="shared" si="8"/>
        <v>#N/A</v>
      </c>
      <c r="Y49" s="24" t="e">
        <f t="shared" si="9"/>
        <v>#N/A</v>
      </c>
      <c r="Z49" s="24">
        <f t="shared" si="10"/>
        <v>43</v>
      </c>
      <c r="AA49" s="24">
        <f t="shared" si="11"/>
        <v>62</v>
      </c>
    </row>
    <row r="50" spans="1:27" x14ac:dyDescent="0.3">
      <c r="A50" s="6" t="s">
        <v>939</v>
      </c>
      <c r="B50" s="7" t="s">
        <v>940</v>
      </c>
      <c r="C50" s="10" t="s">
        <v>768</v>
      </c>
      <c r="D50" s="10" t="s">
        <v>1074</v>
      </c>
      <c r="E50" s="16">
        <v>46</v>
      </c>
      <c r="F50" s="6" t="s">
        <v>702</v>
      </c>
      <c r="G50" s="6">
        <f>IF(E50&gt;='Selection Criteria'!$C$66,5,IF(E50&gt;='Selection Criteria'!$C$67,4,IF(E50&gt;='Selection Criteria'!$C$68,3,IF(E50&gt;='Selection Criteria'!$C$69,2,1))))</f>
        <v>1</v>
      </c>
      <c r="H50" s="6">
        <f>IF(F50="Yes",'Selection Criteria'!$C$70,'Selection Criteria'!$C$71)</f>
        <v>5</v>
      </c>
      <c r="I50" s="18">
        <v>1</v>
      </c>
      <c r="J50" s="18">
        <v>1</v>
      </c>
      <c r="K50" s="23">
        <f>(G50*'Selection Criteria'!$F$49+H50*'Selection Criteria'!$F$50+I50*'Selection Criteria'!$F$51+J50*'Selection Criteria'!$F$52)/(5*'Selection Criteria'!$F$53)*100</f>
        <v>32</v>
      </c>
      <c r="L50" s="18">
        <v>3</v>
      </c>
      <c r="M50" s="18">
        <v>4</v>
      </c>
      <c r="N50" s="18">
        <v>3</v>
      </c>
      <c r="O50" s="6">
        <f>IF(INDEX('Path Scorecard'!$X$5:$X$71,MATCH($A50,'Path Scorecard'!$A$5:$A$71,0))="",3,INDEX('Path Scorecard'!$X$5:$X$71,MATCH($A50,'Path Scorecard'!$A$5:$A$71,0)))</f>
        <v>2</v>
      </c>
      <c r="P50" s="23">
        <f>(L50*'Selection Criteria'!$F$55+M50*'Selection Criteria'!$F$56+N50*'Selection Criteria'!$F$57+O50*'Selection Criteria'!$F$58)/(5*'Selection Criteria'!$F$59)*100</f>
        <v>62</v>
      </c>
      <c r="Q50" s="17" t="str">
        <f>IF(K50&gt;='Selection Criteria'!$C$62,"Hero",IF(P50&gt;='Selection Criteria'!$C$63,"Probable Hero","Non-Hero"))</f>
        <v>Non-Hero</v>
      </c>
      <c r="R50" s="17" t="str">
        <f>IF(Q50="Hero",IF(INDEX('Path Scorecard'!$T$5:$T$71,MATCH($A50,'Path Scorecard'!$A$5:$A$71,0))&lt;='Selection Criteria'!$C$64,"PROTECT","EXTEND"),IF(Q50="Probable Hero","BUILD","HOLD"))</f>
        <v>HOLD</v>
      </c>
      <c r="S50" s="6" t="str">
        <f>INDEX('Path Scorecard'!$AB$5:$AB$71,MATCH($A50,'Path Scorecard'!$A$5:$A$71,0))</f>
        <v>Tier 3</v>
      </c>
      <c r="T50" s="10"/>
      <c r="V50" s="24" t="e">
        <f t="shared" si="6"/>
        <v>#N/A</v>
      </c>
      <c r="W50" s="24" t="e">
        <f t="shared" si="7"/>
        <v>#N/A</v>
      </c>
      <c r="X50" s="24" t="e">
        <f t="shared" si="8"/>
        <v>#N/A</v>
      </c>
      <c r="Y50" s="24" t="e">
        <f t="shared" si="9"/>
        <v>#N/A</v>
      </c>
      <c r="Z50" s="24">
        <f t="shared" si="10"/>
        <v>32</v>
      </c>
      <c r="AA50" s="24">
        <f t="shared" si="11"/>
        <v>62</v>
      </c>
    </row>
    <row r="51" spans="1:27" x14ac:dyDescent="0.3">
      <c r="A51" s="6" t="s">
        <v>213</v>
      </c>
      <c r="B51" s="7" t="s">
        <v>214</v>
      </c>
      <c r="C51" s="10" t="s">
        <v>810</v>
      </c>
      <c r="D51" s="10" t="s">
        <v>118</v>
      </c>
      <c r="E51" s="16">
        <v>576</v>
      </c>
      <c r="F51" s="6" t="s">
        <v>702</v>
      </c>
      <c r="G51" s="6">
        <f>IF(E51&gt;='Selection Criteria'!$C$66,5,IF(E51&gt;='Selection Criteria'!$C$67,4,IF(E51&gt;='Selection Criteria'!$C$68,3,IF(E51&gt;='Selection Criteria'!$C$69,2,1))))</f>
        <v>4</v>
      </c>
      <c r="H51" s="6">
        <f>IF(F51="Yes",'Selection Criteria'!$C$70,'Selection Criteria'!$C$71)</f>
        <v>5</v>
      </c>
      <c r="I51" s="18">
        <v>4</v>
      </c>
      <c r="J51" s="18">
        <v>4</v>
      </c>
      <c r="K51" s="23">
        <f>(G51*'Selection Criteria'!$F$49+H51*'Selection Criteria'!$F$50+I51*'Selection Criteria'!$F$51+J51*'Selection Criteria'!$F$52)/(5*'Selection Criteria'!$F$53)*100</f>
        <v>83</v>
      </c>
      <c r="L51" s="18">
        <v>3</v>
      </c>
      <c r="M51" s="18">
        <v>4</v>
      </c>
      <c r="N51" s="18">
        <v>3</v>
      </c>
      <c r="O51" s="6">
        <f>IF(INDEX('Path Scorecard'!$X$5:$X$71,MATCH($A51,'Path Scorecard'!$A$5:$A$71,0))="",3,INDEX('Path Scorecard'!$X$5:$X$71,MATCH($A51,'Path Scorecard'!$A$5:$A$71,0)))</f>
        <v>3</v>
      </c>
      <c r="P51" s="23">
        <f>(L51*'Selection Criteria'!$F$55+M51*'Selection Criteria'!$F$56+N51*'Selection Criteria'!$F$57+O51*'Selection Criteria'!$F$58)/(5*'Selection Criteria'!$F$59)*100</f>
        <v>65</v>
      </c>
      <c r="Q51" s="17" t="str">
        <f>IF(K51&gt;='Selection Criteria'!$C$62,"Hero",IF(P51&gt;='Selection Criteria'!$C$63,"Probable Hero","Non-Hero"))</f>
        <v>Hero</v>
      </c>
      <c r="R51" s="17" t="str">
        <f>IF(Q51="Hero",IF(INDEX('Path Scorecard'!$T$5:$T$71,MATCH($A51,'Path Scorecard'!$A$5:$A$71,0))&lt;='Selection Criteria'!$C$64,"PROTECT","EXTEND"),IF(Q51="Probable Hero","BUILD","HOLD"))</f>
        <v>PROTECT</v>
      </c>
      <c r="S51" s="6" t="str">
        <f>INDEX('Path Scorecard'!$AB$5:$AB$71,MATCH($A51,'Path Scorecard'!$A$5:$A$71,0))</f>
        <v>Tier 3</v>
      </c>
      <c r="T51" s="10"/>
      <c r="V51" s="24">
        <f t="shared" si="6"/>
        <v>83</v>
      </c>
      <c r="W51" s="24">
        <f t="shared" si="7"/>
        <v>65</v>
      </c>
      <c r="X51" s="24" t="e">
        <f t="shared" si="8"/>
        <v>#N/A</v>
      </c>
      <c r="Y51" s="24" t="e">
        <f t="shared" si="9"/>
        <v>#N/A</v>
      </c>
      <c r="Z51" s="24" t="e">
        <f t="shared" si="10"/>
        <v>#N/A</v>
      </c>
      <c r="AA51" s="24" t="e">
        <f t="shared" si="11"/>
        <v>#N/A</v>
      </c>
    </row>
    <row r="52" spans="1:27" x14ac:dyDescent="0.3">
      <c r="A52" s="6" t="s">
        <v>200</v>
      </c>
      <c r="B52" s="7" t="s">
        <v>201</v>
      </c>
      <c r="C52" s="10" t="s">
        <v>777</v>
      </c>
      <c r="D52" s="10" t="s">
        <v>111</v>
      </c>
      <c r="E52" s="16">
        <v>1008</v>
      </c>
      <c r="F52" s="6" t="s">
        <v>702</v>
      </c>
      <c r="G52" s="6">
        <f>IF(E52&gt;='Selection Criteria'!$C$66,5,IF(E52&gt;='Selection Criteria'!$C$67,4,IF(E52&gt;='Selection Criteria'!$C$68,3,IF(E52&gt;='Selection Criteria'!$C$69,2,1))))</f>
        <v>5</v>
      </c>
      <c r="H52" s="6">
        <f>IF(F52="Yes",'Selection Criteria'!$C$70,'Selection Criteria'!$C$71)</f>
        <v>5</v>
      </c>
      <c r="I52" s="18">
        <v>5</v>
      </c>
      <c r="J52" s="18">
        <v>5</v>
      </c>
      <c r="K52" s="23">
        <f>(G52*'Selection Criteria'!$F$49+H52*'Selection Criteria'!$F$50+I52*'Selection Criteria'!$F$51+J52*'Selection Criteria'!$F$52)/(5*'Selection Criteria'!$F$53)*100</f>
        <v>100</v>
      </c>
      <c r="L52" s="18">
        <v>3</v>
      </c>
      <c r="M52" s="18">
        <v>4</v>
      </c>
      <c r="N52" s="18">
        <v>5</v>
      </c>
      <c r="O52" s="6">
        <f>IF(INDEX('Path Scorecard'!$X$5:$X$71,MATCH($A52,'Path Scorecard'!$A$5:$A$71,0))="",3,INDEX('Path Scorecard'!$X$5:$X$71,MATCH($A52,'Path Scorecard'!$A$5:$A$71,0)))</f>
        <v>4</v>
      </c>
      <c r="P52" s="23">
        <f>(L52*'Selection Criteria'!$F$55+M52*'Selection Criteria'!$F$56+N52*'Selection Criteria'!$F$57+O52*'Selection Criteria'!$F$58)/(5*'Selection Criteria'!$F$59)*100</f>
        <v>78</v>
      </c>
      <c r="Q52" s="17" t="str">
        <f>IF(K52&gt;='Selection Criteria'!$C$62,"Hero",IF(P52&gt;='Selection Criteria'!$C$63,"Probable Hero","Non-Hero"))</f>
        <v>Hero</v>
      </c>
      <c r="R52" s="17" t="str">
        <f>IF(Q52="Hero",IF(INDEX('Path Scorecard'!$T$5:$T$71,MATCH($A52,'Path Scorecard'!$A$5:$A$71,0))&lt;='Selection Criteria'!$C$64,"PROTECT","EXTEND"),IF(Q52="Probable Hero","BUILD","HOLD"))</f>
        <v>PROTECT</v>
      </c>
      <c r="S52" s="6" t="str">
        <f>INDEX('Path Scorecard'!$AB$5:$AB$71,MATCH($A52,'Path Scorecard'!$A$5:$A$71,0))</f>
        <v>Tier 3</v>
      </c>
      <c r="T52" s="10" t="s">
        <v>1091</v>
      </c>
      <c r="V52" s="24">
        <f t="shared" si="6"/>
        <v>100</v>
      </c>
      <c r="W52" s="24">
        <f t="shared" si="7"/>
        <v>78</v>
      </c>
      <c r="X52" s="24" t="e">
        <f t="shared" si="8"/>
        <v>#N/A</v>
      </c>
      <c r="Y52" s="24" t="e">
        <f t="shared" si="9"/>
        <v>#N/A</v>
      </c>
      <c r="Z52" s="24" t="e">
        <f t="shared" si="10"/>
        <v>#N/A</v>
      </c>
      <c r="AA52" s="24" t="e">
        <f t="shared" si="11"/>
        <v>#N/A</v>
      </c>
    </row>
    <row r="53" spans="1:27" x14ac:dyDescent="0.3">
      <c r="A53" s="6" t="s">
        <v>948</v>
      </c>
      <c r="B53" s="7" t="s">
        <v>949</v>
      </c>
      <c r="C53" s="10" t="s">
        <v>768</v>
      </c>
      <c r="D53" s="10" t="s">
        <v>1092</v>
      </c>
      <c r="E53" s="16">
        <v>203</v>
      </c>
      <c r="F53" s="6" t="s">
        <v>702</v>
      </c>
      <c r="G53" s="6">
        <f>IF(E53&gt;='Selection Criteria'!$C$66,5,IF(E53&gt;='Selection Criteria'!$C$67,4,IF(E53&gt;='Selection Criteria'!$C$68,3,IF(E53&gt;='Selection Criteria'!$C$69,2,1))))</f>
        <v>3</v>
      </c>
      <c r="H53" s="6">
        <f>IF(F53="Yes",'Selection Criteria'!$C$70,'Selection Criteria'!$C$71)</f>
        <v>5</v>
      </c>
      <c r="I53" s="18">
        <v>1</v>
      </c>
      <c r="J53" s="18">
        <v>1</v>
      </c>
      <c r="K53" s="23">
        <f>(G53*'Selection Criteria'!$F$49+H53*'Selection Criteria'!$F$50+I53*'Selection Criteria'!$F$51+J53*'Selection Criteria'!$F$52)/(5*'Selection Criteria'!$F$53)*100</f>
        <v>44</v>
      </c>
      <c r="L53" s="18">
        <v>2</v>
      </c>
      <c r="M53" s="18">
        <v>5</v>
      </c>
      <c r="N53" s="18">
        <v>3</v>
      </c>
      <c r="O53" s="6">
        <f>IF(INDEX('Path Scorecard'!$X$5:$X$71,MATCH($A53,'Path Scorecard'!$A$5:$A$71,0))="",3,INDEX('Path Scorecard'!$X$5:$X$71,MATCH($A53,'Path Scorecard'!$A$5:$A$71,0)))</f>
        <v>2</v>
      </c>
      <c r="P53" s="23">
        <f>(L53*'Selection Criteria'!$F$55+M53*'Selection Criteria'!$F$56+N53*'Selection Criteria'!$F$57+O53*'Selection Criteria'!$F$58)/(5*'Selection Criteria'!$F$59)*100</f>
        <v>60</v>
      </c>
      <c r="Q53" s="17" t="str">
        <f>IF(K53&gt;='Selection Criteria'!$C$62,"Hero",IF(P53&gt;='Selection Criteria'!$C$63,"Probable Hero","Non-Hero"))</f>
        <v>Non-Hero</v>
      </c>
      <c r="R53" s="17" t="str">
        <f>IF(Q53="Hero",IF(INDEX('Path Scorecard'!$T$5:$T$71,MATCH($A53,'Path Scorecard'!$A$5:$A$71,0))&lt;='Selection Criteria'!$C$64,"PROTECT","EXTEND"),IF(Q53="Probable Hero","BUILD","HOLD"))</f>
        <v>HOLD</v>
      </c>
      <c r="S53" s="6" t="str">
        <f>INDEX('Path Scorecard'!$AB$5:$AB$71,MATCH($A53,'Path Scorecard'!$A$5:$A$71,0))</f>
        <v>Tier 3</v>
      </c>
      <c r="T53" s="10"/>
      <c r="V53" s="24" t="e">
        <f t="shared" si="6"/>
        <v>#N/A</v>
      </c>
      <c r="W53" s="24" t="e">
        <f t="shared" si="7"/>
        <v>#N/A</v>
      </c>
      <c r="X53" s="24" t="e">
        <f t="shared" si="8"/>
        <v>#N/A</v>
      </c>
      <c r="Y53" s="24" t="e">
        <f t="shared" si="9"/>
        <v>#N/A</v>
      </c>
      <c r="Z53" s="24">
        <f t="shared" si="10"/>
        <v>44</v>
      </c>
      <c r="AA53" s="24">
        <f t="shared" si="11"/>
        <v>60</v>
      </c>
    </row>
    <row r="54" spans="1:27" ht="26.4" x14ac:dyDescent="0.3">
      <c r="A54" s="6" t="s">
        <v>291</v>
      </c>
      <c r="B54" s="7" t="s">
        <v>292</v>
      </c>
      <c r="C54" s="10" t="s">
        <v>762</v>
      </c>
      <c r="D54" s="10" t="s">
        <v>1093</v>
      </c>
      <c r="E54" s="16">
        <v>66</v>
      </c>
      <c r="F54" s="6" t="s">
        <v>1063</v>
      </c>
      <c r="G54" s="6">
        <f>IF(E54&gt;='Selection Criteria'!$C$66,5,IF(E54&gt;='Selection Criteria'!$C$67,4,IF(E54&gt;='Selection Criteria'!$C$68,3,IF(E54&gt;='Selection Criteria'!$C$69,2,1))))</f>
        <v>1</v>
      </c>
      <c r="H54" s="6">
        <f>IF(F54="Yes",'Selection Criteria'!$C$70,'Selection Criteria'!$C$71)</f>
        <v>2</v>
      </c>
      <c r="I54" s="18">
        <v>1</v>
      </c>
      <c r="J54" s="18">
        <v>1</v>
      </c>
      <c r="K54" s="23">
        <f>(G54*'Selection Criteria'!$F$49+H54*'Selection Criteria'!$F$50+I54*'Selection Criteria'!$F$51+J54*'Selection Criteria'!$F$52)/(5*'Selection Criteria'!$F$53)*100</f>
        <v>23</v>
      </c>
      <c r="L54" s="18">
        <v>2</v>
      </c>
      <c r="M54" s="18">
        <v>4</v>
      </c>
      <c r="N54" s="18">
        <v>2</v>
      </c>
      <c r="O54" s="6">
        <f>IF(INDEX('Path Scorecard'!$X$5:$X$71,MATCH($A54,'Path Scorecard'!$A$5:$A$71,0))="",3,INDEX('Path Scorecard'!$X$5:$X$71,MATCH($A54,'Path Scorecard'!$A$5:$A$71,0)))</f>
        <v>2</v>
      </c>
      <c r="P54" s="23">
        <f>(L54*'Selection Criteria'!$F$55+M54*'Selection Criteria'!$F$56+N54*'Selection Criteria'!$F$57+O54*'Selection Criteria'!$F$58)/(5*'Selection Criteria'!$F$59)*100</f>
        <v>50</v>
      </c>
      <c r="Q54" s="17" t="str">
        <f>IF(K54&gt;='Selection Criteria'!$C$62,"Hero",IF(P54&gt;='Selection Criteria'!$C$63,"Probable Hero","Non-Hero"))</f>
        <v>Non-Hero</v>
      </c>
      <c r="R54" s="17" t="str">
        <f>IF(Q54="Hero",IF(INDEX('Path Scorecard'!$T$5:$T$71,MATCH($A54,'Path Scorecard'!$A$5:$A$71,0))&lt;='Selection Criteria'!$C$64,"PROTECT","EXTEND"),IF(Q54="Probable Hero","BUILD","HOLD"))</f>
        <v>HOLD</v>
      </c>
      <c r="S54" s="6" t="str">
        <f>INDEX('Path Scorecard'!$AB$5:$AB$71,MATCH($A54,'Path Scorecard'!$A$5:$A$71,0))</f>
        <v>Tier 3</v>
      </c>
      <c r="T54" s="10"/>
      <c r="V54" s="24" t="e">
        <f t="shared" si="6"/>
        <v>#N/A</v>
      </c>
      <c r="W54" s="24" t="e">
        <f t="shared" si="7"/>
        <v>#N/A</v>
      </c>
      <c r="X54" s="24" t="e">
        <f t="shared" si="8"/>
        <v>#N/A</v>
      </c>
      <c r="Y54" s="24" t="e">
        <f t="shared" si="9"/>
        <v>#N/A</v>
      </c>
      <c r="Z54" s="24">
        <f t="shared" si="10"/>
        <v>23</v>
      </c>
      <c r="AA54" s="24">
        <f t="shared" si="11"/>
        <v>50</v>
      </c>
    </row>
    <row r="55" spans="1:27" x14ac:dyDescent="0.3">
      <c r="A55" s="6" t="s">
        <v>957</v>
      </c>
      <c r="B55" s="7" t="s">
        <v>958</v>
      </c>
      <c r="C55" s="10" t="s">
        <v>768</v>
      </c>
      <c r="D55" s="10" t="s">
        <v>1094</v>
      </c>
      <c r="E55" s="16">
        <v>126</v>
      </c>
      <c r="F55" s="6" t="s">
        <v>702</v>
      </c>
      <c r="G55" s="6">
        <f>IF(E55&gt;='Selection Criteria'!$C$66,5,IF(E55&gt;='Selection Criteria'!$C$67,4,IF(E55&gt;='Selection Criteria'!$C$68,3,IF(E55&gt;='Selection Criteria'!$C$69,2,1))))</f>
        <v>2</v>
      </c>
      <c r="H55" s="6">
        <f>IF(F55="Yes",'Selection Criteria'!$C$70,'Selection Criteria'!$C$71)</f>
        <v>5</v>
      </c>
      <c r="I55" s="18">
        <v>1</v>
      </c>
      <c r="J55" s="18">
        <v>1</v>
      </c>
      <c r="K55" s="23">
        <f>(G55*'Selection Criteria'!$F$49+H55*'Selection Criteria'!$F$50+I55*'Selection Criteria'!$F$51+J55*'Selection Criteria'!$F$52)/(5*'Selection Criteria'!$F$53)*100</f>
        <v>38</v>
      </c>
      <c r="L55" s="18">
        <v>2</v>
      </c>
      <c r="M55" s="18">
        <v>4</v>
      </c>
      <c r="N55" s="18">
        <v>2</v>
      </c>
      <c r="O55" s="6">
        <f>IF(INDEX('Path Scorecard'!$X$5:$X$71,MATCH($A55,'Path Scorecard'!$A$5:$A$71,0))="",3,INDEX('Path Scorecard'!$X$5:$X$71,MATCH($A55,'Path Scorecard'!$A$5:$A$71,0)))</f>
        <v>2</v>
      </c>
      <c r="P55" s="23">
        <f>(L55*'Selection Criteria'!$F$55+M55*'Selection Criteria'!$F$56+N55*'Selection Criteria'!$F$57+O55*'Selection Criteria'!$F$58)/(5*'Selection Criteria'!$F$59)*100</f>
        <v>50</v>
      </c>
      <c r="Q55" s="17" t="str">
        <f>IF(K55&gt;='Selection Criteria'!$C$62,"Hero",IF(P55&gt;='Selection Criteria'!$C$63,"Probable Hero","Non-Hero"))</f>
        <v>Non-Hero</v>
      </c>
      <c r="R55" s="17" t="str">
        <f>IF(Q55="Hero",IF(INDEX('Path Scorecard'!$T$5:$T$71,MATCH($A55,'Path Scorecard'!$A$5:$A$71,0))&lt;='Selection Criteria'!$C$64,"PROTECT","EXTEND"),IF(Q55="Probable Hero","BUILD","HOLD"))</f>
        <v>HOLD</v>
      </c>
      <c r="S55" s="6" t="str">
        <f>INDEX('Path Scorecard'!$AB$5:$AB$71,MATCH($A55,'Path Scorecard'!$A$5:$A$71,0))</f>
        <v>Tier 3</v>
      </c>
      <c r="T55" s="10"/>
      <c r="V55" s="24" t="e">
        <f t="shared" si="6"/>
        <v>#N/A</v>
      </c>
      <c r="W55" s="24" t="e">
        <f t="shared" si="7"/>
        <v>#N/A</v>
      </c>
      <c r="X55" s="24" t="e">
        <f t="shared" si="8"/>
        <v>#N/A</v>
      </c>
      <c r="Y55" s="24" t="e">
        <f t="shared" si="9"/>
        <v>#N/A</v>
      </c>
      <c r="Z55" s="24">
        <f t="shared" si="10"/>
        <v>38</v>
      </c>
      <c r="AA55" s="24">
        <f t="shared" si="11"/>
        <v>50</v>
      </c>
    </row>
    <row r="56" spans="1:27" x14ac:dyDescent="0.3">
      <c r="A56" s="6" t="s">
        <v>963</v>
      </c>
      <c r="B56" s="7" t="s">
        <v>964</v>
      </c>
      <c r="C56" s="10" t="s">
        <v>768</v>
      </c>
      <c r="D56" s="10" t="s">
        <v>1095</v>
      </c>
      <c r="E56" s="16">
        <v>639</v>
      </c>
      <c r="F56" s="6" t="s">
        <v>702</v>
      </c>
      <c r="G56" s="6">
        <f>IF(E56&gt;='Selection Criteria'!$C$66,5,IF(E56&gt;='Selection Criteria'!$C$67,4,IF(E56&gt;='Selection Criteria'!$C$68,3,IF(E56&gt;='Selection Criteria'!$C$69,2,1))))</f>
        <v>4</v>
      </c>
      <c r="H56" s="6">
        <f>IF(F56="Yes",'Selection Criteria'!$C$70,'Selection Criteria'!$C$71)</f>
        <v>5</v>
      </c>
      <c r="I56" s="18">
        <v>3</v>
      </c>
      <c r="J56" s="18">
        <v>4</v>
      </c>
      <c r="K56" s="23">
        <f>(G56*'Selection Criteria'!$F$49+H56*'Selection Criteria'!$F$50+I56*'Selection Criteria'!$F$51+J56*'Selection Criteria'!$F$52)/(5*'Selection Criteria'!$F$53)*100</f>
        <v>78</v>
      </c>
      <c r="L56" s="18">
        <v>2</v>
      </c>
      <c r="M56" s="18">
        <v>3</v>
      </c>
      <c r="N56" s="18">
        <v>3</v>
      </c>
      <c r="O56" s="6">
        <f>IF(INDEX('Path Scorecard'!$X$5:$X$71,MATCH($A56,'Path Scorecard'!$A$5:$A$71,0))="",3,INDEX('Path Scorecard'!$X$5:$X$71,MATCH($A56,'Path Scorecard'!$A$5:$A$71,0)))</f>
        <v>2</v>
      </c>
      <c r="P56" s="23">
        <f>(L56*'Selection Criteria'!$F$55+M56*'Selection Criteria'!$F$56+N56*'Selection Criteria'!$F$57+O56*'Selection Criteria'!$F$58)/(5*'Selection Criteria'!$F$59)*100</f>
        <v>50</v>
      </c>
      <c r="Q56" s="17" t="str">
        <f>IF(K56&gt;='Selection Criteria'!$C$62,"Hero",IF(P56&gt;='Selection Criteria'!$C$63,"Probable Hero","Non-Hero"))</f>
        <v>Hero</v>
      </c>
      <c r="R56" s="17" t="str">
        <f>IF(Q56="Hero",IF(INDEX('Path Scorecard'!$T$5:$T$71,MATCH($A56,'Path Scorecard'!$A$5:$A$71,0))&lt;='Selection Criteria'!$C$64,"PROTECT","EXTEND"),IF(Q56="Probable Hero","BUILD","HOLD"))</f>
        <v>EXTEND</v>
      </c>
      <c r="S56" s="6" t="str">
        <f>INDEX('Path Scorecard'!$AB$5:$AB$71,MATCH($A56,'Path Scorecard'!$A$5:$A$71,0))</f>
        <v>Tier 3</v>
      </c>
      <c r="T56" s="10"/>
      <c r="V56" s="24">
        <f t="shared" si="6"/>
        <v>78</v>
      </c>
      <c r="W56" s="24">
        <f t="shared" si="7"/>
        <v>50</v>
      </c>
      <c r="X56" s="24" t="e">
        <f t="shared" si="8"/>
        <v>#N/A</v>
      </c>
      <c r="Y56" s="24" t="e">
        <f t="shared" si="9"/>
        <v>#N/A</v>
      </c>
      <c r="Z56" s="24" t="e">
        <f t="shared" si="10"/>
        <v>#N/A</v>
      </c>
      <c r="AA56" s="24" t="e">
        <f t="shared" si="11"/>
        <v>#N/A</v>
      </c>
    </row>
    <row r="57" spans="1:27" ht="26.4" x14ac:dyDescent="0.3">
      <c r="A57" s="6" t="s">
        <v>970</v>
      </c>
      <c r="B57" s="7" t="s">
        <v>971</v>
      </c>
      <c r="C57" s="10" t="s">
        <v>768</v>
      </c>
      <c r="D57" s="10" t="s">
        <v>1090</v>
      </c>
      <c r="E57" s="16">
        <v>139</v>
      </c>
      <c r="F57" s="6" t="s">
        <v>702</v>
      </c>
      <c r="G57" s="6">
        <f>IF(E57&gt;='Selection Criteria'!$C$66,5,IF(E57&gt;='Selection Criteria'!$C$67,4,IF(E57&gt;='Selection Criteria'!$C$68,3,IF(E57&gt;='Selection Criteria'!$C$69,2,1))))</f>
        <v>2</v>
      </c>
      <c r="H57" s="6">
        <f>IF(F57="Yes",'Selection Criteria'!$C$70,'Selection Criteria'!$C$71)</f>
        <v>5</v>
      </c>
      <c r="I57" s="18">
        <v>3</v>
      </c>
      <c r="J57" s="18">
        <v>3</v>
      </c>
      <c r="K57" s="23">
        <f>(G57*'Selection Criteria'!$F$49+H57*'Selection Criteria'!$F$50+I57*'Selection Criteria'!$F$51+J57*'Selection Criteria'!$F$52)/(5*'Selection Criteria'!$F$53)*100</f>
        <v>60</v>
      </c>
      <c r="L57" s="18">
        <v>3</v>
      </c>
      <c r="M57" s="18">
        <v>4</v>
      </c>
      <c r="N57" s="18">
        <v>4</v>
      </c>
      <c r="O57" s="6">
        <f>IF(INDEX('Path Scorecard'!$X$5:$X$71,MATCH($A57,'Path Scorecard'!$A$5:$A$71,0))="",3,INDEX('Path Scorecard'!$X$5:$X$71,MATCH($A57,'Path Scorecard'!$A$5:$A$71,0)))</f>
        <v>2</v>
      </c>
      <c r="P57" s="23">
        <f>(L57*'Selection Criteria'!$F$55+M57*'Selection Criteria'!$F$56+N57*'Selection Criteria'!$F$57+O57*'Selection Criteria'!$F$58)/(5*'Selection Criteria'!$F$59)*100</f>
        <v>67</v>
      </c>
      <c r="Q57" s="17" t="str">
        <f>IF(K57&gt;='Selection Criteria'!$C$62,"Hero",IF(P57&gt;='Selection Criteria'!$C$63,"Probable Hero","Non-Hero"))</f>
        <v>Probable Hero</v>
      </c>
      <c r="R57" s="17" t="str">
        <f>IF(Q57="Hero",IF(INDEX('Path Scorecard'!$T$5:$T$71,MATCH($A57,'Path Scorecard'!$A$5:$A$71,0))&lt;='Selection Criteria'!$C$64,"PROTECT","EXTEND"),IF(Q57="Probable Hero","BUILD","HOLD"))</f>
        <v>BUILD</v>
      </c>
      <c r="S57" s="6" t="str">
        <f>INDEX('Path Scorecard'!$AB$5:$AB$71,MATCH($A57,'Path Scorecard'!$A$5:$A$71,0))</f>
        <v>Tier 3</v>
      </c>
      <c r="T57" s="10"/>
      <c r="V57" s="24" t="e">
        <f t="shared" si="6"/>
        <v>#N/A</v>
      </c>
      <c r="W57" s="24" t="e">
        <f t="shared" si="7"/>
        <v>#N/A</v>
      </c>
      <c r="X57" s="24">
        <f t="shared" si="8"/>
        <v>60</v>
      </c>
      <c r="Y57" s="24">
        <f t="shared" si="9"/>
        <v>67</v>
      </c>
      <c r="Z57" s="24" t="e">
        <f t="shared" si="10"/>
        <v>#N/A</v>
      </c>
      <c r="AA57" s="24" t="e">
        <f t="shared" si="11"/>
        <v>#N/A</v>
      </c>
    </row>
    <row r="58" spans="1:27" x14ac:dyDescent="0.3">
      <c r="A58" s="6" t="s">
        <v>975</v>
      </c>
      <c r="B58" s="7" t="s">
        <v>976</v>
      </c>
      <c r="C58" s="10" t="s">
        <v>768</v>
      </c>
      <c r="D58" s="10" t="s">
        <v>1078</v>
      </c>
      <c r="E58" s="16">
        <v>745</v>
      </c>
      <c r="F58" s="6" t="s">
        <v>702</v>
      </c>
      <c r="G58" s="6">
        <f>IF(E58&gt;='Selection Criteria'!$C$66,5,IF(E58&gt;='Selection Criteria'!$C$67,4,IF(E58&gt;='Selection Criteria'!$C$68,3,IF(E58&gt;='Selection Criteria'!$C$69,2,1))))</f>
        <v>4</v>
      </c>
      <c r="H58" s="6">
        <f>IF(F58="Yes",'Selection Criteria'!$C$70,'Selection Criteria'!$C$71)</f>
        <v>5</v>
      </c>
      <c r="I58" s="18">
        <v>4</v>
      </c>
      <c r="J58" s="18">
        <v>5</v>
      </c>
      <c r="K58" s="23">
        <f>(G58*'Selection Criteria'!$F$49+H58*'Selection Criteria'!$F$50+I58*'Selection Criteria'!$F$51+J58*'Selection Criteria'!$F$52)/(5*'Selection Criteria'!$F$53)*100</f>
        <v>89</v>
      </c>
      <c r="L58" s="18">
        <v>2</v>
      </c>
      <c r="M58" s="18">
        <v>3</v>
      </c>
      <c r="N58" s="18">
        <v>4</v>
      </c>
      <c r="O58" s="6">
        <f>IF(INDEX('Path Scorecard'!$X$5:$X$71,MATCH($A58,'Path Scorecard'!$A$5:$A$71,0))="",3,INDEX('Path Scorecard'!$X$5:$X$71,MATCH($A58,'Path Scorecard'!$A$5:$A$71,0)))</f>
        <v>3</v>
      </c>
      <c r="P58" s="23">
        <f>(L58*'Selection Criteria'!$F$55+M58*'Selection Criteria'!$F$56+N58*'Selection Criteria'!$F$57+O58*'Selection Criteria'!$F$58)/(5*'Selection Criteria'!$F$59)*100</f>
        <v>57.999999999999993</v>
      </c>
      <c r="Q58" s="17" t="str">
        <f>IF(K58&gt;='Selection Criteria'!$C$62,"Hero",IF(P58&gt;='Selection Criteria'!$C$63,"Probable Hero","Non-Hero"))</f>
        <v>Hero</v>
      </c>
      <c r="R58" s="17" t="str">
        <f>IF(Q58="Hero",IF(INDEX('Path Scorecard'!$T$5:$T$71,MATCH($A58,'Path Scorecard'!$A$5:$A$71,0))&lt;='Selection Criteria'!$C$64,"PROTECT","EXTEND"),IF(Q58="Probable Hero","BUILD","HOLD"))</f>
        <v>PROTECT</v>
      </c>
      <c r="S58" s="6" t="str">
        <f>INDEX('Path Scorecard'!$AB$5:$AB$71,MATCH($A58,'Path Scorecard'!$A$5:$A$71,0))</f>
        <v>Tier 3</v>
      </c>
      <c r="T58" s="10"/>
      <c r="V58" s="24">
        <f t="shared" si="6"/>
        <v>89</v>
      </c>
      <c r="W58" s="24">
        <f t="shared" si="7"/>
        <v>57.999999999999993</v>
      </c>
      <c r="X58" s="24" t="e">
        <f t="shared" si="8"/>
        <v>#N/A</v>
      </c>
      <c r="Y58" s="24" t="e">
        <f t="shared" si="9"/>
        <v>#N/A</v>
      </c>
      <c r="Z58" s="24" t="e">
        <f t="shared" si="10"/>
        <v>#N/A</v>
      </c>
      <c r="AA58" s="24" t="e">
        <f t="shared" si="11"/>
        <v>#N/A</v>
      </c>
    </row>
    <row r="59" spans="1:27" x14ac:dyDescent="0.3">
      <c r="A59" s="6" t="s">
        <v>204</v>
      </c>
      <c r="B59" s="7" t="s">
        <v>205</v>
      </c>
      <c r="C59" s="10" t="s">
        <v>777</v>
      </c>
      <c r="D59" s="10" t="s">
        <v>111</v>
      </c>
      <c r="E59" s="16">
        <v>147</v>
      </c>
      <c r="F59" s="6" t="s">
        <v>702</v>
      </c>
      <c r="G59" s="6">
        <f>IF(E59&gt;='Selection Criteria'!$C$66,5,IF(E59&gt;='Selection Criteria'!$C$67,4,IF(E59&gt;='Selection Criteria'!$C$68,3,IF(E59&gt;='Selection Criteria'!$C$69,2,1))))</f>
        <v>2</v>
      </c>
      <c r="H59" s="6">
        <f>IF(F59="Yes",'Selection Criteria'!$C$70,'Selection Criteria'!$C$71)</f>
        <v>5</v>
      </c>
      <c r="I59" s="18">
        <v>2</v>
      </c>
      <c r="J59" s="18">
        <v>2</v>
      </c>
      <c r="K59" s="23">
        <f>(G59*'Selection Criteria'!$F$49+H59*'Selection Criteria'!$F$50+I59*'Selection Criteria'!$F$51+J59*'Selection Criteria'!$F$52)/(5*'Selection Criteria'!$F$53)*100</f>
        <v>49</v>
      </c>
      <c r="L59" s="18">
        <v>2</v>
      </c>
      <c r="M59" s="18">
        <v>3</v>
      </c>
      <c r="N59" s="18">
        <v>2</v>
      </c>
      <c r="O59" s="6">
        <f>IF(INDEX('Path Scorecard'!$X$5:$X$71,MATCH($A59,'Path Scorecard'!$A$5:$A$71,0))="",3,INDEX('Path Scorecard'!$X$5:$X$71,MATCH($A59,'Path Scorecard'!$A$5:$A$71,0)))</f>
        <v>4</v>
      </c>
      <c r="P59" s="23">
        <f>(L59*'Selection Criteria'!$F$55+M59*'Selection Criteria'!$F$56+N59*'Selection Criteria'!$F$57+O59*'Selection Criteria'!$F$58)/(5*'Selection Criteria'!$F$59)*100</f>
        <v>51</v>
      </c>
      <c r="Q59" s="17" t="str">
        <f>IF(K59&gt;='Selection Criteria'!$C$62,"Hero",IF(P59&gt;='Selection Criteria'!$C$63,"Probable Hero","Non-Hero"))</f>
        <v>Non-Hero</v>
      </c>
      <c r="R59" s="17" t="str">
        <f>IF(Q59="Hero",IF(INDEX('Path Scorecard'!$T$5:$T$71,MATCH($A59,'Path Scorecard'!$A$5:$A$71,0))&lt;='Selection Criteria'!$C$64,"PROTECT","EXTEND"),IF(Q59="Probable Hero","BUILD","HOLD"))</f>
        <v>HOLD</v>
      </c>
      <c r="S59" s="6" t="str">
        <f>INDEX('Path Scorecard'!$AB$5:$AB$71,MATCH($A59,'Path Scorecard'!$A$5:$A$71,0))</f>
        <v>Tier 3</v>
      </c>
      <c r="T59" s="10"/>
      <c r="V59" s="24" t="e">
        <f t="shared" si="6"/>
        <v>#N/A</v>
      </c>
      <c r="W59" s="24" t="e">
        <f t="shared" si="7"/>
        <v>#N/A</v>
      </c>
      <c r="X59" s="24" t="e">
        <f t="shared" si="8"/>
        <v>#N/A</v>
      </c>
      <c r="Y59" s="24" t="e">
        <f t="shared" si="9"/>
        <v>#N/A</v>
      </c>
      <c r="Z59" s="24">
        <f t="shared" si="10"/>
        <v>49</v>
      </c>
      <c r="AA59" s="24">
        <f t="shared" si="11"/>
        <v>51</v>
      </c>
    </row>
    <row r="60" spans="1:27" x14ac:dyDescent="0.3">
      <c r="A60" s="6" t="s">
        <v>982</v>
      </c>
      <c r="B60" s="7" t="s">
        <v>983</v>
      </c>
      <c r="C60" s="10" t="s">
        <v>768</v>
      </c>
      <c r="D60" s="10" t="s">
        <v>1096</v>
      </c>
      <c r="E60" s="16">
        <v>91</v>
      </c>
      <c r="F60" s="6" t="s">
        <v>702</v>
      </c>
      <c r="G60" s="6">
        <f>IF(E60&gt;='Selection Criteria'!$C$66,5,IF(E60&gt;='Selection Criteria'!$C$67,4,IF(E60&gt;='Selection Criteria'!$C$68,3,IF(E60&gt;='Selection Criteria'!$C$69,2,1))))</f>
        <v>2</v>
      </c>
      <c r="H60" s="6">
        <f>IF(F60="Yes",'Selection Criteria'!$C$70,'Selection Criteria'!$C$71)</f>
        <v>5</v>
      </c>
      <c r="I60" s="18">
        <v>2</v>
      </c>
      <c r="J60" s="18">
        <v>2</v>
      </c>
      <c r="K60" s="23">
        <f>(G60*'Selection Criteria'!$F$49+H60*'Selection Criteria'!$F$50+I60*'Selection Criteria'!$F$51+J60*'Selection Criteria'!$F$52)/(5*'Selection Criteria'!$F$53)*100</f>
        <v>49</v>
      </c>
      <c r="L60" s="18">
        <v>3</v>
      </c>
      <c r="M60" s="18">
        <v>4</v>
      </c>
      <c r="N60" s="18">
        <v>3</v>
      </c>
      <c r="O60" s="6">
        <f>IF(INDEX('Path Scorecard'!$X$5:$X$71,MATCH($A60,'Path Scorecard'!$A$5:$A$71,0))="",3,INDEX('Path Scorecard'!$X$5:$X$71,MATCH($A60,'Path Scorecard'!$A$5:$A$71,0)))</f>
        <v>2</v>
      </c>
      <c r="P60" s="23">
        <f>(L60*'Selection Criteria'!$F$55+M60*'Selection Criteria'!$F$56+N60*'Selection Criteria'!$F$57+O60*'Selection Criteria'!$F$58)/(5*'Selection Criteria'!$F$59)*100</f>
        <v>62</v>
      </c>
      <c r="Q60" s="17" t="str">
        <f>IF(K60&gt;='Selection Criteria'!$C$62,"Hero",IF(P60&gt;='Selection Criteria'!$C$63,"Probable Hero","Non-Hero"))</f>
        <v>Non-Hero</v>
      </c>
      <c r="R60" s="17" t="str">
        <f>IF(Q60="Hero",IF(INDEX('Path Scorecard'!$T$5:$T$71,MATCH($A60,'Path Scorecard'!$A$5:$A$71,0))&lt;='Selection Criteria'!$C$64,"PROTECT","EXTEND"),IF(Q60="Probable Hero","BUILD","HOLD"))</f>
        <v>HOLD</v>
      </c>
      <c r="S60" s="6" t="str">
        <f>INDEX('Path Scorecard'!$AB$5:$AB$71,MATCH($A60,'Path Scorecard'!$A$5:$A$71,0))</f>
        <v>Tier 3</v>
      </c>
      <c r="T60" s="10"/>
      <c r="V60" s="24" t="e">
        <f t="shared" si="6"/>
        <v>#N/A</v>
      </c>
      <c r="W60" s="24" t="e">
        <f t="shared" si="7"/>
        <v>#N/A</v>
      </c>
      <c r="X60" s="24" t="e">
        <f t="shared" si="8"/>
        <v>#N/A</v>
      </c>
      <c r="Y60" s="24" t="e">
        <f t="shared" si="9"/>
        <v>#N/A</v>
      </c>
      <c r="Z60" s="24">
        <f t="shared" si="10"/>
        <v>49</v>
      </c>
      <c r="AA60" s="24">
        <f t="shared" si="11"/>
        <v>62</v>
      </c>
    </row>
    <row r="61" spans="1:27" x14ac:dyDescent="0.3">
      <c r="A61" s="6" t="s">
        <v>216</v>
      </c>
      <c r="B61" s="7" t="s">
        <v>217</v>
      </c>
      <c r="C61" s="10" t="s">
        <v>810</v>
      </c>
      <c r="D61" s="10" t="s">
        <v>118</v>
      </c>
      <c r="E61" s="16">
        <v>77</v>
      </c>
      <c r="F61" s="6" t="s">
        <v>702</v>
      </c>
      <c r="G61" s="6">
        <f>IF(E61&gt;='Selection Criteria'!$C$66,5,IF(E61&gt;='Selection Criteria'!$C$67,4,IF(E61&gt;='Selection Criteria'!$C$68,3,IF(E61&gt;='Selection Criteria'!$C$69,2,1))))</f>
        <v>2</v>
      </c>
      <c r="H61" s="6">
        <f>IF(F61="Yes",'Selection Criteria'!$C$70,'Selection Criteria'!$C$71)</f>
        <v>5</v>
      </c>
      <c r="I61" s="18">
        <v>2</v>
      </c>
      <c r="J61" s="18">
        <v>3</v>
      </c>
      <c r="K61" s="23">
        <f>(G61*'Selection Criteria'!$F$49+H61*'Selection Criteria'!$F$50+I61*'Selection Criteria'!$F$51+J61*'Selection Criteria'!$F$52)/(5*'Selection Criteria'!$F$53)*100</f>
        <v>55.000000000000007</v>
      </c>
      <c r="L61" s="18">
        <v>1</v>
      </c>
      <c r="M61" s="18">
        <v>2</v>
      </c>
      <c r="N61" s="18">
        <v>1</v>
      </c>
      <c r="O61" s="6">
        <f>IF(INDEX('Path Scorecard'!$X$5:$X$71,MATCH($A61,'Path Scorecard'!$A$5:$A$71,0))="",3,INDEX('Path Scorecard'!$X$5:$X$71,MATCH($A61,'Path Scorecard'!$A$5:$A$71,0)))</f>
        <v>2</v>
      </c>
      <c r="P61" s="23">
        <f>(L61*'Selection Criteria'!$F$55+M61*'Selection Criteria'!$F$56+N61*'Selection Criteria'!$F$57+O61*'Selection Criteria'!$F$58)/(5*'Selection Criteria'!$F$59)*100</f>
        <v>28.000000000000004</v>
      </c>
      <c r="Q61" s="17" t="str">
        <f>IF(K61&gt;='Selection Criteria'!$C$62,"Hero",IF(P61&gt;='Selection Criteria'!$C$63,"Probable Hero","Non-Hero"))</f>
        <v>Non-Hero</v>
      </c>
      <c r="R61" s="17" t="str">
        <f>IF(Q61="Hero",IF(INDEX('Path Scorecard'!$T$5:$T$71,MATCH($A61,'Path Scorecard'!$A$5:$A$71,0))&lt;='Selection Criteria'!$C$64,"PROTECT","EXTEND"),IF(Q61="Probable Hero","BUILD","HOLD"))</f>
        <v>HOLD</v>
      </c>
      <c r="S61" s="6" t="str">
        <f>INDEX('Path Scorecard'!$AB$5:$AB$71,MATCH($A61,'Path Scorecard'!$A$5:$A$71,0))</f>
        <v>Tier 3</v>
      </c>
      <c r="T61" s="10"/>
      <c r="V61" s="24" t="e">
        <f t="shared" si="6"/>
        <v>#N/A</v>
      </c>
      <c r="W61" s="24" t="e">
        <f t="shared" si="7"/>
        <v>#N/A</v>
      </c>
      <c r="X61" s="24" t="e">
        <f t="shared" si="8"/>
        <v>#N/A</v>
      </c>
      <c r="Y61" s="24" t="e">
        <f t="shared" si="9"/>
        <v>#N/A</v>
      </c>
      <c r="Z61" s="24">
        <f t="shared" si="10"/>
        <v>55.000000000000007</v>
      </c>
      <c r="AA61" s="24">
        <f t="shared" si="11"/>
        <v>28.000000000000004</v>
      </c>
    </row>
    <row r="62" spans="1:27" x14ac:dyDescent="0.3">
      <c r="A62" s="6" t="s">
        <v>207</v>
      </c>
      <c r="B62" s="7" t="s">
        <v>208</v>
      </c>
      <c r="C62" s="10" t="s">
        <v>777</v>
      </c>
      <c r="D62" s="10" t="s">
        <v>111</v>
      </c>
      <c r="E62" s="16">
        <v>87</v>
      </c>
      <c r="F62" s="6" t="s">
        <v>702</v>
      </c>
      <c r="G62" s="6">
        <f>IF(E62&gt;='Selection Criteria'!$C$66,5,IF(E62&gt;='Selection Criteria'!$C$67,4,IF(E62&gt;='Selection Criteria'!$C$68,3,IF(E62&gt;='Selection Criteria'!$C$69,2,1))))</f>
        <v>2</v>
      </c>
      <c r="H62" s="6">
        <f>IF(F62="Yes",'Selection Criteria'!$C$70,'Selection Criteria'!$C$71)</f>
        <v>5</v>
      </c>
      <c r="I62" s="18">
        <v>2</v>
      </c>
      <c r="J62" s="18">
        <v>2</v>
      </c>
      <c r="K62" s="23">
        <f>(G62*'Selection Criteria'!$F$49+H62*'Selection Criteria'!$F$50+I62*'Selection Criteria'!$F$51+J62*'Selection Criteria'!$F$52)/(5*'Selection Criteria'!$F$53)*100</f>
        <v>49</v>
      </c>
      <c r="L62" s="18">
        <v>3</v>
      </c>
      <c r="M62" s="18">
        <v>4</v>
      </c>
      <c r="N62" s="18">
        <v>3</v>
      </c>
      <c r="O62" s="6">
        <f>IF(INDEX('Path Scorecard'!$X$5:$X$71,MATCH($A62,'Path Scorecard'!$A$5:$A$71,0))="",3,INDEX('Path Scorecard'!$X$5:$X$71,MATCH($A62,'Path Scorecard'!$A$5:$A$71,0)))</f>
        <v>2</v>
      </c>
      <c r="P62" s="23">
        <f>(L62*'Selection Criteria'!$F$55+M62*'Selection Criteria'!$F$56+N62*'Selection Criteria'!$F$57+O62*'Selection Criteria'!$F$58)/(5*'Selection Criteria'!$F$59)*100</f>
        <v>62</v>
      </c>
      <c r="Q62" s="17" t="str">
        <f>IF(K62&gt;='Selection Criteria'!$C$62,"Hero",IF(P62&gt;='Selection Criteria'!$C$63,"Probable Hero","Non-Hero"))</f>
        <v>Non-Hero</v>
      </c>
      <c r="R62" s="17" t="str">
        <f>IF(Q62="Hero",IF(INDEX('Path Scorecard'!$T$5:$T$71,MATCH($A62,'Path Scorecard'!$A$5:$A$71,0))&lt;='Selection Criteria'!$C$64,"PROTECT","EXTEND"),IF(Q62="Probable Hero","BUILD","HOLD"))</f>
        <v>HOLD</v>
      </c>
      <c r="S62" s="6" t="str">
        <f>INDEX('Path Scorecard'!$AB$5:$AB$71,MATCH($A62,'Path Scorecard'!$A$5:$A$71,0))</f>
        <v>Tier 3</v>
      </c>
      <c r="T62" s="10"/>
      <c r="V62" s="24" t="e">
        <f t="shared" si="6"/>
        <v>#N/A</v>
      </c>
      <c r="W62" s="24" t="e">
        <f t="shared" si="7"/>
        <v>#N/A</v>
      </c>
      <c r="X62" s="24" t="e">
        <f t="shared" si="8"/>
        <v>#N/A</v>
      </c>
      <c r="Y62" s="24" t="e">
        <f t="shared" si="9"/>
        <v>#N/A</v>
      </c>
      <c r="Z62" s="24">
        <f t="shared" si="10"/>
        <v>49</v>
      </c>
      <c r="AA62" s="24">
        <f t="shared" si="11"/>
        <v>62</v>
      </c>
    </row>
    <row r="63" spans="1:27" ht="26.4" x14ac:dyDescent="0.3">
      <c r="A63" s="6" t="s">
        <v>227</v>
      </c>
      <c r="B63" s="7" t="s">
        <v>228</v>
      </c>
      <c r="C63" s="10" t="s">
        <v>993</v>
      </c>
      <c r="D63" s="10" t="s">
        <v>228</v>
      </c>
      <c r="E63" s="16">
        <v>804</v>
      </c>
      <c r="F63" s="6" t="s">
        <v>1063</v>
      </c>
      <c r="G63" s="6">
        <f>IF(E63&gt;='Selection Criteria'!$C$66,5,IF(E63&gt;='Selection Criteria'!$C$67,4,IF(E63&gt;='Selection Criteria'!$C$68,3,IF(E63&gt;='Selection Criteria'!$C$69,2,1))))</f>
        <v>4</v>
      </c>
      <c r="H63" s="6">
        <f>IF(F63="Yes",'Selection Criteria'!$C$70,'Selection Criteria'!$C$71)</f>
        <v>2</v>
      </c>
      <c r="I63" s="18">
        <v>1</v>
      </c>
      <c r="J63" s="18">
        <v>1</v>
      </c>
      <c r="K63" s="23">
        <f>(G63*'Selection Criteria'!$F$49+H63*'Selection Criteria'!$F$50+I63*'Selection Criteria'!$F$51+J63*'Selection Criteria'!$F$52)/(5*'Selection Criteria'!$F$53)*100</f>
        <v>41</v>
      </c>
      <c r="L63" s="18">
        <v>3</v>
      </c>
      <c r="M63" s="18">
        <v>5</v>
      </c>
      <c r="N63" s="18">
        <v>4</v>
      </c>
      <c r="O63" s="6">
        <f>IF(INDEX('Path Scorecard'!$X$5:$X$71,MATCH($A63,'Path Scorecard'!$A$5:$A$71,0))="",3,INDEX('Path Scorecard'!$X$5:$X$71,MATCH($A63,'Path Scorecard'!$A$5:$A$71,0)))</f>
        <v>3</v>
      </c>
      <c r="P63" s="23">
        <f>(L63*'Selection Criteria'!$F$55+M63*'Selection Criteria'!$F$56+N63*'Selection Criteria'!$F$57+O63*'Selection Criteria'!$F$58)/(5*'Selection Criteria'!$F$59)*100</f>
        <v>75</v>
      </c>
      <c r="Q63" s="17" t="str">
        <f>IF(K63&gt;='Selection Criteria'!$C$62,"Hero",IF(P63&gt;='Selection Criteria'!$C$63,"Probable Hero","Non-Hero"))</f>
        <v>Probable Hero</v>
      </c>
      <c r="R63" s="17" t="str">
        <f>IF(Q63="Hero",IF(INDEX('Path Scorecard'!$T$5:$T$71,MATCH($A63,'Path Scorecard'!$A$5:$A$71,0))&lt;='Selection Criteria'!$C$64,"PROTECT","EXTEND"),IF(Q63="Probable Hero","BUILD","HOLD"))</f>
        <v>BUILD</v>
      </c>
      <c r="S63" s="6" t="str">
        <f>INDEX('Path Scorecard'!$AB$5:$AB$71,MATCH($A63,'Path Scorecard'!$A$5:$A$71,0))</f>
        <v>Parked (gate)</v>
      </c>
      <c r="T63" s="10"/>
      <c r="V63" s="24" t="e">
        <f t="shared" si="6"/>
        <v>#N/A</v>
      </c>
      <c r="W63" s="24" t="e">
        <f t="shared" si="7"/>
        <v>#N/A</v>
      </c>
      <c r="X63" s="24" t="e">
        <f t="shared" si="8"/>
        <v>#N/A</v>
      </c>
      <c r="Y63" s="24" t="e">
        <f t="shared" si="9"/>
        <v>#N/A</v>
      </c>
      <c r="Z63" s="24" t="e">
        <f t="shared" si="10"/>
        <v>#N/A</v>
      </c>
      <c r="AA63" s="24" t="e">
        <f t="shared" si="11"/>
        <v>#N/A</v>
      </c>
    </row>
    <row r="64" spans="1:27" ht="26.4" x14ac:dyDescent="0.3">
      <c r="A64" s="6" t="s">
        <v>995</v>
      </c>
      <c r="B64" s="7" t="s">
        <v>996</v>
      </c>
      <c r="C64" s="10" t="s">
        <v>768</v>
      </c>
      <c r="D64" s="10" t="s">
        <v>996</v>
      </c>
      <c r="E64" s="16">
        <v>308</v>
      </c>
      <c r="F64" s="6" t="s">
        <v>702</v>
      </c>
      <c r="G64" s="6">
        <f>IF(E64&gt;='Selection Criteria'!$C$66,5,IF(E64&gt;='Selection Criteria'!$C$67,4,IF(E64&gt;='Selection Criteria'!$C$68,3,IF(E64&gt;='Selection Criteria'!$C$69,2,1))))</f>
        <v>3</v>
      </c>
      <c r="H64" s="6">
        <f>IF(F64="Yes",'Selection Criteria'!$C$70,'Selection Criteria'!$C$71)</f>
        <v>5</v>
      </c>
      <c r="I64" s="18">
        <v>3</v>
      </c>
      <c r="J64" s="18">
        <v>5</v>
      </c>
      <c r="K64" s="23">
        <f>(G64*'Selection Criteria'!$F$49+H64*'Selection Criteria'!$F$50+I64*'Selection Criteria'!$F$51+J64*'Selection Criteria'!$F$52)/(5*'Selection Criteria'!$F$53)*100</f>
        <v>78</v>
      </c>
      <c r="L64" s="18">
        <v>3</v>
      </c>
      <c r="M64" s="18">
        <v>3</v>
      </c>
      <c r="N64" s="18">
        <v>3</v>
      </c>
      <c r="O64" s="6">
        <f>IF(INDEX('Path Scorecard'!$X$5:$X$71,MATCH($A64,'Path Scorecard'!$A$5:$A$71,0))="",3,INDEX('Path Scorecard'!$X$5:$X$71,MATCH($A64,'Path Scorecard'!$A$5:$A$71,0)))</f>
        <v>3</v>
      </c>
      <c r="P64" s="23">
        <f>(L64*'Selection Criteria'!$F$55+M64*'Selection Criteria'!$F$56+N64*'Selection Criteria'!$F$57+O64*'Selection Criteria'!$F$58)/(5*'Selection Criteria'!$F$59)*100</f>
        <v>60</v>
      </c>
      <c r="Q64" s="17" t="str">
        <f>IF(K64&gt;='Selection Criteria'!$C$62,"Hero",IF(P64&gt;='Selection Criteria'!$C$63,"Probable Hero","Non-Hero"))</f>
        <v>Hero</v>
      </c>
      <c r="R64" s="17" t="str">
        <f>IF(Q64="Hero",IF(INDEX('Path Scorecard'!$T$5:$T$71,MATCH($A64,'Path Scorecard'!$A$5:$A$71,0))&lt;='Selection Criteria'!$C$64,"PROTECT","EXTEND"),IF(Q64="Probable Hero","BUILD","HOLD"))</f>
        <v>PROTECT</v>
      </c>
      <c r="S64" s="6" t="str">
        <f>INDEX('Path Scorecard'!$AB$5:$AB$71,MATCH($A64,'Path Scorecard'!$A$5:$A$71,0))</f>
        <v>Parked (gate)</v>
      </c>
      <c r="T64" s="10"/>
      <c r="V64" s="24" t="e">
        <f t="shared" si="6"/>
        <v>#N/A</v>
      </c>
      <c r="W64" s="24" t="e">
        <f t="shared" si="7"/>
        <v>#N/A</v>
      </c>
      <c r="X64" s="24" t="e">
        <f t="shared" si="8"/>
        <v>#N/A</v>
      </c>
      <c r="Y64" s="24" t="e">
        <f t="shared" si="9"/>
        <v>#N/A</v>
      </c>
      <c r="Z64" s="24" t="e">
        <f t="shared" si="10"/>
        <v>#N/A</v>
      </c>
      <c r="AA64" s="24" t="e">
        <f t="shared" si="11"/>
        <v>#N/A</v>
      </c>
    </row>
    <row r="65" spans="1:27" ht="26.4" x14ac:dyDescent="0.3">
      <c r="A65" s="6" t="s">
        <v>263</v>
      </c>
      <c r="B65" s="7" t="s">
        <v>264</v>
      </c>
      <c r="C65" s="10" t="s">
        <v>848</v>
      </c>
      <c r="D65" s="10" t="s">
        <v>264</v>
      </c>
      <c r="E65" s="16">
        <v>11493</v>
      </c>
      <c r="F65" s="6" t="s">
        <v>702</v>
      </c>
      <c r="G65" s="6">
        <f>IF(E65&gt;='Selection Criteria'!$C$66,5,IF(E65&gt;='Selection Criteria'!$C$67,4,IF(E65&gt;='Selection Criteria'!$C$68,3,IF(E65&gt;='Selection Criteria'!$C$69,2,1))))</f>
        <v>5</v>
      </c>
      <c r="H65" s="6">
        <f>IF(F65="Yes",'Selection Criteria'!$C$70,'Selection Criteria'!$C$71)</f>
        <v>5</v>
      </c>
      <c r="I65" s="18">
        <v>5</v>
      </c>
      <c r="J65" s="18">
        <v>5</v>
      </c>
      <c r="K65" s="23">
        <f>(G65*'Selection Criteria'!$F$49+H65*'Selection Criteria'!$F$50+I65*'Selection Criteria'!$F$51+J65*'Selection Criteria'!$F$52)/(5*'Selection Criteria'!$F$53)*100</f>
        <v>100</v>
      </c>
      <c r="L65" s="18">
        <v>2</v>
      </c>
      <c r="M65" s="18">
        <v>3</v>
      </c>
      <c r="N65" s="18">
        <v>5</v>
      </c>
      <c r="O65" s="6">
        <f>IF(INDEX('Path Scorecard'!$X$5:$X$71,MATCH($A65,'Path Scorecard'!$A$5:$A$71,0))="",3,INDEX('Path Scorecard'!$X$5:$X$71,MATCH($A65,'Path Scorecard'!$A$5:$A$71,0)))</f>
        <v>3</v>
      </c>
      <c r="P65" s="23">
        <f>(L65*'Selection Criteria'!$F$55+M65*'Selection Criteria'!$F$56+N65*'Selection Criteria'!$F$57+O65*'Selection Criteria'!$F$58)/(5*'Selection Criteria'!$F$59)*100</f>
        <v>63</v>
      </c>
      <c r="Q65" s="17" t="str">
        <f>IF(K65&gt;='Selection Criteria'!$C$62,"Hero",IF(P65&gt;='Selection Criteria'!$C$63,"Probable Hero","Non-Hero"))</f>
        <v>Hero</v>
      </c>
      <c r="R65" s="17" t="str">
        <f>IF(Q65="Hero",IF(INDEX('Path Scorecard'!$T$5:$T$71,MATCH($A65,'Path Scorecard'!$A$5:$A$71,0))&lt;='Selection Criteria'!$C$64,"PROTECT","EXTEND"),IF(Q65="Probable Hero","BUILD","HOLD"))</f>
        <v>PROTECT</v>
      </c>
      <c r="S65" s="6" t="str">
        <f>INDEX('Path Scorecard'!$AB$5:$AB$71,MATCH($A65,'Path Scorecard'!$A$5:$A$71,0))</f>
        <v>Parked (gate)</v>
      </c>
      <c r="T65" s="10" t="s">
        <v>1097</v>
      </c>
      <c r="V65" s="24" t="e">
        <f t="shared" si="6"/>
        <v>#N/A</v>
      </c>
      <c r="W65" s="24" t="e">
        <f t="shared" si="7"/>
        <v>#N/A</v>
      </c>
      <c r="X65" s="24" t="e">
        <f t="shared" si="8"/>
        <v>#N/A</v>
      </c>
      <c r="Y65" s="24" t="e">
        <f t="shared" si="9"/>
        <v>#N/A</v>
      </c>
      <c r="Z65" s="24" t="e">
        <f t="shared" si="10"/>
        <v>#N/A</v>
      </c>
      <c r="AA65" s="24" t="e">
        <f t="shared" si="11"/>
        <v>#N/A</v>
      </c>
    </row>
    <row r="66" spans="1:27" ht="26.4" x14ac:dyDescent="0.3">
      <c r="A66" s="6" t="s">
        <v>267</v>
      </c>
      <c r="B66" s="7" t="s">
        <v>268</v>
      </c>
      <c r="C66" s="10" t="s">
        <v>848</v>
      </c>
      <c r="D66" s="10" t="s">
        <v>1098</v>
      </c>
      <c r="E66" s="16">
        <v>123</v>
      </c>
      <c r="F66" s="6" t="s">
        <v>702</v>
      </c>
      <c r="G66" s="6">
        <f>IF(E66&gt;='Selection Criteria'!$C$66,5,IF(E66&gt;='Selection Criteria'!$C$67,4,IF(E66&gt;='Selection Criteria'!$C$68,3,IF(E66&gt;='Selection Criteria'!$C$69,2,1))))</f>
        <v>2</v>
      </c>
      <c r="H66" s="6">
        <f>IF(F66="Yes",'Selection Criteria'!$C$70,'Selection Criteria'!$C$71)</f>
        <v>5</v>
      </c>
      <c r="I66" s="18">
        <v>4</v>
      </c>
      <c r="J66" s="18">
        <v>3</v>
      </c>
      <c r="K66" s="23">
        <f>(G66*'Selection Criteria'!$F$49+H66*'Selection Criteria'!$F$50+I66*'Selection Criteria'!$F$51+J66*'Selection Criteria'!$F$52)/(5*'Selection Criteria'!$F$53)*100</f>
        <v>65</v>
      </c>
      <c r="L66" s="18">
        <v>3</v>
      </c>
      <c r="M66" s="18">
        <v>4</v>
      </c>
      <c r="N66" s="18">
        <v>3</v>
      </c>
      <c r="O66" s="6">
        <f>IF(INDEX('Path Scorecard'!$X$5:$X$71,MATCH($A66,'Path Scorecard'!$A$5:$A$71,0))="",3,INDEX('Path Scorecard'!$X$5:$X$71,MATCH($A66,'Path Scorecard'!$A$5:$A$71,0)))</f>
        <v>3</v>
      </c>
      <c r="P66" s="23">
        <f>(L66*'Selection Criteria'!$F$55+M66*'Selection Criteria'!$F$56+N66*'Selection Criteria'!$F$57+O66*'Selection Criteria'!$F$58)/(5*'Selection Criteria'!$F$59)*100</f>
        <v>65</v>
      </c>
      <c r="Q66" s="17" t="str">
        <f>IF(K66&gt;='Selection Criteria'!$C$62,"Hero",IF(P66&gt;='Selection Criteria'!$C$63,"Probable Hero","Non-Hero"))</f>
        <v>Hero</v>
      </c>
      <c r="R66" s="17" t="str">
        <f>IF(Q66="Hero",IF(INDEX('Path Scorecard'!$T$5:$T$71,MATCH($A66,'Path Scorecard'!$A$5:$A$71,0))&lt;='Selection Criteria'!$C$64,"PROTECT","EXTEND"),IF(Q66="Probable Hero","BUILD","HOLD"))</f>
        <v>PROTECT</v>
      </c>
      <c r="S66" s="6" t="str">
        <f>INDEX('Path Scorecard'!$AB$5:$AB$71,MATCH($A66,'Path Scorecard'!$A$5:$A$71,0))</f>
        <v>Parked (gate)</v>
      </c>
      <c r="T66" s="10" t="s">
        <v>1099</v>
      </c>
      <c r="V66" s="24" t="e">
        <f t="shared" si="6"/>
        <v>#N/A</v>
      </c>
      <c r="W66" s="24" t="e">
        <f t="shared" si="7"/>
        <v>#N/A</v>
      </c>
      <c r="X66" s="24" t="e">
        <f t="shared" si="8"/>
        <v>#N/A</v>
      </c>
      <c r="Y66" s="24" t="e">
        <f t="shared" si="9"/>
        <v>#N/A</v>
      </c>
      <c r="Z66" s="24" t="e">
        <f t="shared" si="10"/>
        <v>#N/A</v>
      </c>
      <c r="AA66" s="24" t="e">
        <f t="shared" si="11"/>
        <v>#N/A</v>
      </c>
    </row>
    <row r="67" spans="1:27" ht="26.4" x14ac:dyDescent="0.3">
      <c r="A67" s="6" t="s">
        <v>271</v>
      </c>
      <c r="B67" s="7" t="s">
        <v>272</v>
      </c>
      <c r="C67" s="10" t="s">
        <v>848</v>
      </c>
      <c r="D67" s="10" t="s">
        <v>1098</v>
      </c>
      <c r="E67" s="16">
        <v>149</v>
      </c>
      <c r="F67" s="6" t="s">
        <v>702</v>
      </c>
      <c r="G67" s="6">
        <f>IF(E67&gt;='Selection Criteria'!$C$66,5,IF(E67&gt;='Selection Criteria'!$C$67,4,IF(E67&gt;='Selection Criteria'!$C$68,3,IF(E67&gt;='Selection Criteria'!$C$69,2,1))))</f>
        <v>2</v>
      </c>
      <c r="H67" s="6">
        <f>IF(F67="Yes",'Selection Criteria'!$C$70,'Selection Criteria'!$C$71)</f>
        <v>5</v>
      </c>
      <c r="I67" s="18">
        <v>4</v>
      </c>
      <c r="J67" s="18">
        <v>3</v>
      </c>
      <c r="K67" s="23">
        <f>(G67*'Selection Criteria'!$F$49+H67*'Selection Criteria'!$F$50+I67*'Selection Criteria'!$F$51+J67*'Selection Criteria'!$F$52)/(5*'Selection Criteria'!$F$53)*100</f>
        <v>65</v>
      </c>
      <c r="L67" s="18">
        <v>3</v>
      </c>
      <c r="M67" s="18">
        <v>4</v>
      </c>
      <c r="N67" s="18">
        <v>4</v>
      </c>
      <c r="O67" s="6">
        <f>IF(INDEX('Path Scorecard'!$X$5:$X$71,MATCH($A67,'Path Scorecard'!$A$5:$A$71,0))="",3,INDEX('Path Scorecard'!$X$5:$X$71,MATCH($A67,'Path Scorecard'!$A$5:$A$71,0)))</f>
        <v>3</v>
      </c>
      <c r="P67" s="23">
        <f>(L67*'Selection Criteria'!$F$55+M67*'Selection Criteria'!$F$56+N67*'Selection Criteria'!$F$57+O67*'Selection Criteria'!$F$58)/(5*'Selection Criteria'!$F$59)*100</f>
        <v>70</v>
      </c>
      <c r="Q67" s="17" t="str">
        <f>IF(K67&gt;='Selection Criteria'!$C$62,"Hero",IF(P67&gt;='Selection Criteria'!$C$63,"Probable Hero","Non-Hero"))</f>
        <v>Hero</v>
      </c>
      <c r="R67" s="17" t="str">
        <f>IF(Q67="Hero",IF(INDEX('Path Scorecard'!$T$5:$T$71,MATCH($A67,'Path Scorecard'!$A$5:$A$71,0))&lt;='Selection Criteria'!$C$64,"PROTECT","EXTEND"),IF(Q67="Probable Hero","BUILD","HOLD"))</f>
        <v>PROTECT</v>
      </c>
      <c r="S67" s="6" t="str">
        <f>INDEX('Path Scorecard'!$AB$5:$AB$71,MATCH($A67,'Path Scorecard'!$A$5:$A$71,0))</f>
        <v>Parked (gate)</v>
      </c>
      <c r="T67" s="10" t="s">
        <v>1099</v>
      </c>
      <c r="V67" s="24" t="e">
        <f t="shared" si="6"/>
        <v>#N/A</v>
      </c>
      <c r="W67" s="24" t="e">
        <f t="shared" si="7"/>
        <v>#N/A</v>
      </c>
      <c r="X67" s="24" t="e">
        <f t="shared" si="8"/>
        <v>#N/A</v>
      </c>
      <c r="Y67" s="24" t="e">
        <f t="shared" si="9"/>
        <v>#N/A</v>
      </c>
      <c r="Z67" s="24" t="e">
        <f t="shared" si="10"/>
        <v>#N/A</v>
      </c>
      <c r="AA67" s="24" t="e">
        <f t="shared" si="11"/>
        <v>#N/A</v>
      </c>
    </row>
    <row r="68" spans="1:27" ht="26.4" x14ac:dyDescent="0.3">
      <c r="A68" s="6" t="s">
        <v>250</v>
      </c>
      <c r="B68" s="7" t="s">
        <v>251</v>
      </c>
      <c r="C68" s="10" t="s">
        <v>773</v>
      </c>
      <c r="D68" s="10" t="s">
        <v>1100</v>
      </c>
      <c r="E68" s="16">
        <v>15</v>
      </c>
      <c r="F68" s="6" t="s">
        <v>1063</v>
      </c>
      <c r="G68" s="6">
        <f>IF(E68&gt;='Selection Criteria'!$C$66,5,IF(E68&gt;='Selection Criteria'!$C$67,4,IF(E68&gt;='Selection Criteria'!$C$68,3,IF(E68&gt;='Selection Criteria'!$C$69,2,1))))</f>
        <v>1</v>
      </c>
      <c r="H68" s="6">
        <f>IF(F68="Yes",'Selection Criteria'!$C$70,'Selection Criteria'!$C$71)</f>
        <v>2</v>
      </c>
      <c r="I68" s="18">
        <v>1</v>
      </c>
      <c r="J68" s="18">
        <v>1</v>
      </c>
      <c r="K68" s="23">
        <f>(G68*'Selection Criteria'!$F$49+H68*'Selection Criteria'!$F$50+I68*'Selection Criteria'!$F$51+J68*'Selection Criteria'!$F$52)/(5*'Selection Criteria'!$F$53)*100</f>
        <v>23</v>
      </c>
      <c r="L68" s="18">
        <v>4</v>
      </c>
      <c r="M68" s="18">
        <v>4</v>
      </c>
      <c r="N68" s="18">
        <v>4</v>
      </c>
      <c r="O68" s="6">
        <f>IF(INDEX('Path Scorecard'!$X$5:$X$71,MATCH($A68,'Path Scorecard'!$A$5:$A$71,0))="",3,INDEX('Path Scorecard'!$X$5:$X$71,MATCH($A68,'Path Scorecard'!$A$5:$A$71,0)))</f>
        <v>3</v>
      </c>
      <c r="P68" s="23">
        <f>(L68*'Selection Criteria'!$F$55+M68*'Selection Criteria'!$F$56+N68*'Selection Criteria'!$F$57+O68*'Selection Criteria'!$F$58)/(5*'Selection Criteria'!$F$59)*100</f>
        <v>77</v>
      </c>
      <c r="Q68" s="17" t="str">
        <f>IF(K68&gt;='Selection Criteria'!$C$62,"Hero",IF(P68&gt;='Selection Criteria'!$C$63,"Probable Hero","Non-Hero"))</f>
        <v>Probable Hero</v>
      </c>
      <c r="R68" s="17" t="str">
        <f>IF(Q68="Hero",IF(INDEX('Path Scorecard'!$T$5:$T$71,MATCH($A68,'Path Scorecard'!$A$5:$A$71,0))&lt;='Selection Criteria'!$C$64,"PROTECT","EXTEND"),IF(Q68="Probable Hero","BUILD","HOLD"))</f>
        <v>BUILD</v>
      </c>
      <c r="S68" s="6" t="str">
        <f>INDEX('Path Scorecard'!$AB$5:$AB$71,MATCH($A68,'Path Scorecard'!$A$5:$A$71,0))</f>
        <v>Parked (gate)</v>
      </c>
      <c r="T68" s="10"/>
      <c r="V68" s="24" t="e">
        <f t="shared" si="6"/>
        <v>#N/A</v>
      </c>
      <c r="W68" s="24" t="e">
        <f t="shared" si="7"/>
        <v>#N/A</v>
      </c>
      <c r="X68" s="24" t="e">
        <f t="shared" si="8"/>
        <v>#N/A</v>
      </c>
      <c r="Y68" s="24" t="e">
        <f t="shared" si="9"/>
        <v>#N/A</v>
      </c>
      <c r="Z68" s="24" t="e">
        <f t="shared" si="10"/>
        <v>#N/A</v>
      </c>
      <c r="AA68" s="24" t="e">
        <f t="shared" si="11"/>
        <v>#N/A</v>
      </c>
    </row>
    <row r="69" spans="1:27" ht="26.4" x14ac:dyDescent="0.3">
      <c r="A69" s="6" t="s">
        <v>1013</v>
      </c>
      <c r="B69" s="7" t="s">
        <v>1014</v>
      </c>
      <c r="C69" s="10" t="s">
        <v>768</v>
      </c>
      <c r="D69" s="10" t="s">
        <v>1014</v>
      </c>
      <c r="E69" s="16">
        <v>437</v>
      </c>
      <c r="F69" s="6" t="s">
        <v>702</v>
      </c>
      <c r="G69" s="6">
        <f>IF(E69&gt;='Selection Criteria'!$C$66,5,IF(E69&gt;='Selection Criteria'!$C$67,4,IF(E69&gt;='Selection Criteria'!$C$68,3,IF(E69&gt;='Selection Criteria'!$C$69,2,1))))</f>
        <v>3</v>
      </c>
      <c r="H69" s="6">
        <f>IF(F69="Yes",'Selection Criteria'!$C$70,'Selection Criteria'!$C$71)</f>
        <v>5</v>
      </c>
      <c r="I69" s="18">
        <v>2</v>
      </c>
      <c r="J69" s="18">
        <v>2</v>
      </c>
      <c r="K69" s="23">
        <f>(G69*'Selection Criteria'!$F$49+H69*'Selection Criteria'!$F$50+I69*'Selection Criteria'!$F$51+J69*'Selection Criteria'!$F$52)/(5*'Selection Criteria'!$F$53)*100</f>
        <v>55.000000000000007</v>
      </c>
      <c r="L69" s="18">
        <v>3</v>
      </c>
      <c r="M69" s="18">
        <v>3</v>
      </c>
      <c r="N69" s="18">
        <v>3</v>
      </c>
      <c r="O69" s="6">
        <f>IF(INDEX('Path Scorecard'!$X$5:$X$71,MATCH($A69,'Path Scorecard'!$A$5:$A$71,0))="",3,INDEX('Path Scorecard'!$X$5:$X$71,MATCH($A69,'Path Scorecard'!$A$5:$A$71,0)))</f>
        <v>3</v>
      </c>
      <c r="P69" s="23">
        <f>(L69*'Selection Criteria'!$F$55+M69*'Selection Criteria'!$F$56+N69*'Selection Criteria'!$F$57+O69*'Selection Criteria'!$F$58)/(5*'Selection Criteria'!$F$59)*100</f>
        <v>60</v>
      </c>
      <c r="Q69" s="17" t="str">
        <f>IF(K69&gt;='Selection Criteria'!$C$62,"Hero",IF(P69&gt;='Selection Criteria'!$C$63,"Probable Hero","Non-Hero"))</f>
        <v>Non-Hero</v>
      </c>
      <c r="R69" s="17" t="str">
        <f>IF(Q69="Hero",IF(INDEX('Path Scorecard'!$T$5:$T$71,MATCH($A69,'Path Scorecard'!$A$5:$A$71,0))&lt;='Selection Criteria'!$C$64,"PROTECT","EXTEND"),IF(Q69="Probable Hero","BUILD","HOLD"))</f>
        <v>HOLD</v>
      </c>
      <c r="S69" s="6" t="str">
        <f>INDEX('Path Scorecard'!$AB$5:$AB$71,MATCH($A69,'Path Scorecard'!$A$5:$A$71,0))</f>
        <v>Parked (gate)</v>
      </c>
      <c r="T69" s="10"/>
      <c r="V69" s="24" t="e">
        <f t="shared" si="6"/>
        <v>#N/A</v>
      </c>
      <c r="W69" s="24" t="e">
        <f t="shared" si="7"/>
        <v>#N/A</v>
      </c>
      <c r="X69" s="24" t="e">
        <f t="shared" si="8"/>
        <v>#N/A</v>
      </c>
      <c r="Y69" s="24" t="e">
        <f t="shared" si="9"/>
        <v>#N/A</v>
      </c>
      <c r="Z69" s="24" t="e">
        <f t="shared" si="10"/>
        <v>#N/A</v>
      </c>
      <c r="AA69" s="24" t="e">
        <f t="shared" si="11"/>
        <v>#N/A</v>
      </c>
    </row>
    <row r="70" spans="1:27" ht="26.4" x14ac:dyDescent="0.3">
      <c r="A70" s="6" t="s">
        <v>1019</v>
      </c>
      <c r="B70" s="7" t="s">
        <v>1020</v>
      </c>
      <c r="C70" s="10" t="s">
        <v>768</v>
      </c>
      <c r="D70" s="10" t="s">
        <v>1101</v>
      </c>
      <c r="E70" s="16">
        <v>1116</v>
      </c>
      <c r="F70" s="6" t="s">
        <v>702</v>
      </c>
      <c r="G70" s="6">
        <f>IF(E70&gt;='Selection Criteria'!$C$66,5,IF(E70&gt;='Selection Criteria'!$C$67,4,IF(E70&gt;='Selection Criteria'!$C$68,3,IF(E70&gt;='Selection Criteria'!$C$69,2,1))))</f>
        <v>5</v>
      </c>
      <c r="H70" s="6">
        <f>IF(F70="Yes",'Selection Criteria'!$C$70,'Selection Criteria'!$C$71)</f>
        <v>5</v>
      </c>
      <c r="I70" s="18">
        <v>1</v>
      </c>
      <c r="J70" s="18">
        <v>1</v>
      </c>
      <c r="K70" s="23">
        <f>(G70*'Selection Criteria'!$F$49+H70*'Selection Criteria'!$F$50+I70*'Selection Criteria'!$F$51+J70*'Selection Criteria'!$F$52)/(5*'Selection Criteria'!$F$53)*100</f>
        <v>56.000000000000007</v>
      </c>
      <c r="L70" s="18">
        <v>3</v>
      </c>
      <c r="M70" s="18">
        <v>5</v>
      </c>
      <c r="N70" s="18">
        <v>4</v>
      </c>
      <c r="O70" s="6">
        <f>IF(INDEX('Path Scorecard'!$X$5:$X$71,MATCH($A70,'Path Scorecard'!$A$5:$A$71,0))="",3,INDEX('Path Scorecard'!$X$5:$X$71,MATCH($A70,'Path Scorecard'!$A$5:$A$71,0)))</f>
        <v>3</v>
      </c>
      <c r="P70" s="23">
        <f>(L70*'Selection Criteria'!$F$55+M70*'Selection Criteria'!$F$56+N70*'Selection Criteria'!$F$57+O70*'Selection Criteria'!$F$58)/(5*'Selection Criteria'!$F$59)*100</f>
        <v>75</v>
      </c>
      <c r="Q70" s="17" t="str">
        <f>IF(K70&gt;='Selection Criteria'!$C$62,"Hero",IF(P70&gt;='Selection Criteria'!$C$63,"Probable Hero","Non-Hero"))</f>
        <v>Probable Hero</v>
      </c>
      <c r="R70" s="17" t="str">
        <f>IF(Q70="Hero",IF(INDEX('Path Scorecard'!$T$5:$T$71,MATCH($A70,'Path Scorecard'!$A$5:$A$71,0))&lt;='Selection Criteria'!$C$64,"PROTECT","EXTEND"),IF(Q70="Probable Hero","BUILD","HOLD"))</f>
        <v>BUILD</v>
      </c>
      <c r="S70" s="6" t="str">
        <f>INDEX('Path Scorecard'!$AB$5:$AB$71,MATCH($A70,'Path Scorecard'!$A$5:$A$71,0))</f>
        <v>Parked (gate)</v>
      </c>
      <c r="T70" s="10"/>
      <c r="V70" s="24" t="e">
        <f t="shared" si="6"/>
        <v>#N/A</v>
      </c>
      <c r="W70" s="24" t="e">
        <f t="shared" si="7"/>
        <v>#N/A</v>
      </c>
      <c r="X70" s="24" t="e">
        <f t="shared" si="8"/>
        <v>#N/A</v>
      </c>
      <c r="Y70" s="24" t="e">
        <f t="shared" si="9"/>
        <v>#N/A</v>
      </c>
      <c r="Z70" s="24" t="e">
        <f t="shared" si="10"/>
        <v>#N/A</v>
      </c>
      <c r="AA70" s="24" t="e">
        <f t="shared" si="11"/>
        <v>#N/A</v>
      </c>
    </row>
    <row r="71" spans="1:27" ht="26.4" x14ac:dyDescent="0.3">
      <c r="A71" s="6" t="s">
        <v>244</v>
      </c>
      <c r="B71" s="7" t="s">
        <v>245</v>
      </c>
      <c r="C71" s="10" t="s">
        <v>790</v>
      </c>
      <c r="D71" s="10" t="s">
        <v>1102</v>
      </c>
      <c r="E71" s="16">
        <v>881</v>
      </c>
      <c r="F71" s="6" t="s">
        <v>1063</v>
      </c>
      <c r="G71" s="6">
        <f>IF(E71&gt;='Selection Criteria'!$C$66,5,IF(E71&gt;='Selection Criteria'!$C$67,4,IF(E71&gt;='Selection Criteria'!$C$68,3,IF(E71&gt;='Selection Criteria'!$C$69,2,1))))</f>
        <v>4</v>
      </c>
      <c r="H71" s="6">
        <f>IF(F71="Yes",'Selection Criteria'!$C$70,'Selection Criteria'!$C$71)</f>
        <v>2</v>
      </c>
      <c r="I71" s="18">
        <v>2</v>
      </c>
      <c r="J71" s="18">
        <v>2</v>
      </c>
      <c r="K71" s="23">
        <f>(G71*'Selection Criteria'!$F$49+H71*'Selection Criteria'!$F$50+I71*'Selection Criteria'!$F$51+J71*'Selection Criteria'!$F$52)/(5*'Selection Criteria'!$F$53)*100</f>
        <v>52</v>
      </c>
      <c r="L71" s="18">
        <v>3</v>
      </c>
      <c r="M71" s="18">
        <v>4</v>
      </c>
      <c r="N71" s="18">
        <v>3</v>
      </c>
      <c r="O71" s="6">
        <f>IF(INDEX('Path Scorecard'!$X$5:$X$71,MATCH($A71,'Path Scorecard'!$A$5:$A$71,0))="",3,INDEX('Path Scorecard'!$X$5:$X$71,MATCH($A71,'Path Scorecard'!$A$5:$A$71,0)))</f>
        <v>3</v>
      </c>
      <c r="P71" s="23">
        <f>(L71*'Selection Criteria'!$F$55+M71*'Selection Criteria'!$F$56+N71*'Selection Criteria'!$F$57+O71*'Selection Criteria'!$F$58)/(5*'Selection Criteria'!$F$59)*100</f>
        <v>65</v>
      </c>
      <c r="Q71" s="17" t="str">
        <f>IF(K71&gt;='Selection Criteria'!$C$62,"Hero",IF(P71&gt;='Selection Criteria'!$C$63,"Probable Hero","Non-Hero"))</f>
        <v>Probable Hero</v>
      </c>
      <c r="R71" s="17" t="str">
        <f>IF(Q71="Hero",IF(INDEX('Path Scorecard'!$T$5:$T$71,MATCH($A71,'Path Scorecard'!$A$5:$A$71,0))&lt;='Selection Criteria'!$C$64,"PROTECT","EXTEND"),IF(Q71="Probable Hero","BUILD","HOLD"))</f>
        <v>BUILD</v>
      </c>
      <c r="S71" s="6" t="str">
        <f>INDEX('Path Scorecard'!$AB$5:$AB$71,MATCH($A71,'Path Scorecard'!$A$5:$A$71,0))</f>
        <v>Parked (gate)</v>
      </c>
      <c r="T71" s="10"/>
      <c r="V71" s="24" t="e">
        <f t="shared" si="6"/>
        <v>#N/A</v>
      </c>
      <c r="W71" s="24" t="e">
        <f t="shared" si="7"/>
        <v>#N/A</v>
      </c>
      <c r="X71" s="24" t="e">
        <f t="shared" si="8"/>
        <v>#N/A</v>
      </c>
      <c r="Y71" s="24" t="e">
        <f t="shared" si="9"/>
        <v>#N/A</v>
      </c>
      <c r="Z71" s="24" t="e">
        <f t="shared" si="10"/>
        <v>#N/A</v>
      </c>
      <c r="AA71" s="24" t="e">
        <f t="shared" si="11"/>
        <v>#N/A</v>
      </c>
    </row>
    <row r="73" spans="1:27" ht="15.6" x14ac:dyDescent="0.3">
      <c r="A73" s="4" t="s">
        <v>1103</v>
      </c>
    </row>
    <row r="74" spans="1:27" ht="26.4" x14ac:dyDescent="0.3">
      <c r="B74" s="5" t="s">
        <v>1032</v>
      </c>
      <c r="C74" s="5" t="s">
        <v>721</v>
      </c>
      <c r="D74" s="5" t="s">
        <v>728</v>
      </c>
      <c r="E74" s="5" t="s">
        <v>732</v>
      </c>
      <c r="F74" s="5" t="s">
        <v>1104</v>
      </c>
      <c r="G74" s="5" t="s">
        <v>1105</v>
      </c>
    </row>
    <row r="75" spans="1:27" ht="39.6" x14ac:dyDescent="0.3">
      <c r="B75" s="7" t="s">
        <v>1100</v>
      </c>
      <c r="C75" s="6">
        <f t="shared" ref="C75:C114" si="12">COUNTIFS($D$5:$D$71,$B75,$Q$5:$Q$71,"Hero",$S$5:$S$71,"&lt;&gt;Parked (gate)")</f>
        <v>0</v>
      </c>
      <c r="D75" s="6">
        <f t="shared" ref="D75:D114" si="13">COUNTIFS($D$5:$D$71,$B75,$Q$5:$Q$71,"Probable Hero",$S$5:$S$71,"&lt;&gt;Parked (gate)")</f>
        <v>0</v>
      </c>
      <c r="E75" s="6">
        <f t="shared" ref="E75:E114" si="14">COUNTIFS($D$5:$D$71,$B75,$Q$5:$Q$71,"Non-Hero",$S$5:$S$71,"&lt;&gt;Parked (gate)")</f>
        <v>0</v>
      </c>
      <c r="F75" s="6">
        <f t="shared" ref="F75:F114" si="15">COUNTIFS($D$5:$D$71,$B75,$S$5:$S$71,"Parked (gate)")</f>
        <v>1</v>
      </c>
      <c r="G75" s="10" t="str">
        <f t="shared" ref="G75:G114" si="16">IF((C75&gt;0)+(D75&gt;0)+(E75&gt;0)&gt;=2,"Mixed: one L2 holds several segments, so decide at L3/L4",IF(C75+D75+E75=0,"Only parked paths","Single segment"))</f>
        <v>Only parked paths</v>
      </c>
    </row>
    <row r="76" spans="1:27" ht="39.6" x14ac:dyDescent="0.3">
      <c r="B76" s="7" t="s">
        <v>1093</v>
      </c>
      <c r="C76" s="6">
        <f t="shared" si="12"/>
        <v>0</v>
      </c>
      <c r="D76" s="6">
        <f t="shared" si="13"/>
        <v>0</v>
      </c>
      <c r="E76" s="6">
        <f t="shared" si="14"/>
        <v>1</v>
      </c>
      <c r="F76" s="6">
        <f t="shared" si="15"/>
        <v>0</v>
      </c>
      <c r="G76" s="10" t="str">
        <f t="shared" si="16"/>
        <v>Single segment</v>
      </c>
    </row>
    <row r="77" spans="1:27" ht="39.6" x14ac:dyDescent="0.3">
      <c r="B77" s="7" t="s">
        <v>1076</v>
      </c>
      <c r="C77" s="6">
        <f t="shared" si="12"/>
        <v>0</v>
      </c>
      <c r="D77" s="6">
        <f t="shared" si="13"/>
        <v>1</v>
      </c>
      <c r="E77" s="6">
        <f t="shared" si="14"/>
        <v>0</v>
      </c>
      <c r="F77" s="6">
        <f t="shared" si="15"/>
        <v>0</v>
      </c>
      <c r="G77" s="10" t="str">
        <f t="shared" si="16"/>
        <v>Single segment</v>
      </c>
    </row>
    <row r="78" spans="1:27" ht="39.6" x14ac:dyDescent="0.3">
      <c r="B78" s="7" t="s">
        <v>1086</v>
      </c>
      <c r="C78" s="6">
        <f t="shared" si="12"/>
        <v>0</v>
      </c>
      <c r="D78" s="6">
        <f t="shared" si="13"/>
        <v>1</v>
      </c>
      <c r="E78" s="6">
        <f t="shared" si="14"/>
        <v>0</v>
      </c>
      <c r="F78" s="6">
        <f t="shared" si="15"/>
        <v>0</v>
      </c>
      <c r="G78" s="10" t="str">
        <f t="shared" si="16"/>
        <v>Single segment</v>
      </c>
    </row>
    <row r="79" spans="1:27" ht="118.8" x14ac:dyDescent="0.3">
      <c r="B79" s="7" t="s">
        <v>1062</v>
      </c>
      <c r="C79" s="6">
        <f t="shared" si="12"/>
        <v>1</v>
      </c>
      <c r="D79" s="6">
        <f t="shared" si="13"/>
        <v>1</v>
      </c>
      <c r="E79" s="6">
        <f t="shared" si="14"/>
        <v>0</v>
      </c>
      <c r="F79" s="6">
        <f t="shared" si="15"/>
        <v>0</v>
      </c>
      <c r="G79" s="10" t="str">
        <f t="shared" si="16"/>
        <v>Mixed: one L2 holds several segments, so decide at L3/L4</v>
      </c>
    </row>
    <row r="80" spans="1:27" ht="39.6" x14ac:dyDescent="0.3">
      <c r="B80" s="7" t="s">
        <v>1071</v>
      </c>
      <c r="C80" s="6">
        <f t="shared" si="12"/>
        <v>0</v>
      </c>
      <c r="D80" s="6">
        <f t="shared" si="13"/>
        <v>1</v>
      </c>
      <c r="E80" s="6">
        <f t="shared" si="14"/>
        <v>0</v>
      </c>
      <c r="F80" s="6">
        <f t="shared" si="15"/>
        <v>0</v>
      </c>
      <c r="G80" s="10" t="str">
        <f t="shared" si="16"/>
        <v>Single segment</v>
      </c>
    </row>
    <row r="81" spans="2:7" ht="39.6" x14ac:dyDescent="0.3">
      <c r="B81" s="7" t="s">
        <v>1102</v>
      </c>
      <c r="C81" s="6">
        <f t="shared" si="12"/>
        <v>0</v>
      </c>
      <c r="D81" s="6">
        <f t="shared" si="13"/>
        <v>0</v>
      </c>
      <c r="E81" s="6">
        <f t="shared" si="14"/>
        <v>0</v>
      </c>
      <c r="F81" s="6">
        <f t="shared" si="15"/>
        <v>1</v>
      </c>
      <c r="G81" s="10" t="str">
        <f t="shared" si="16"/>
        <v>Only parked paths</v>
      </c>
    </row>
    <row r="82" spans="2:7" ht="39.6" x14ac:dyDescent="0.3">
      <c r="B82" s="7" t="s">
        <v>1065</v>
      </c>
      <c r="C82" s="6">
        <f t="shared" si="12"/>
        <v>0</v>
      </c>
      <c r="D82" s="6">
        <f t="shared" si="13"/>
        <v>1</v>
      </c>
      <c r="E82" s="6">
        <f t="shared" si="14"/>
        <v>0</v>
      </c>
      <c r="F82" s="6">
        <f t="shared" si="15"/>
        <v>0</v>
      </c>
      <c r="G82" s="10" t="str">
        <f t="shared" si="16"/>
        <v>Single segment</v>
      </c>
    </row>
    <row r="83" spans="2:7" ht="39.6" x14ac:dyDescent="0.3">
      <c r="B83" s="7" t="s">
        <v>1088</v>
      </c>
      <c r="C83" s="6">
        <f t="shared" si="12"/>
        <v>1</v>
      </c>
      <c r="D83" s="6">
        <f t="shared" si="13"/>
        <v>0</v>
      </c>
      <c r="E83" s="6">
        <f t="shared" si="14"/>
        <v>0</v>
      </c>
      <c r="F83" s="6">
        <f t="shared" si="15"/>
        <v>0</v>
      </c>
      <c r="G83" s="10" t="str">
        <f t="shared" si="16"/>
        <v>Single segment</v>
      </c>
    </row>
    <row r="84" spans="2:7" ht="118.8" x14ac:dyDescent="0.3">
      <c r="B84" s="7" t="s">
        <v>1090</v>
      </c>
      <c r="C84" s="6">
        <f t="shared" si="12"/>
        <v>0</v>
      </c>
      <c r="D84" s="6">
        <f t="shared" si="13"/>
        <v>1</v>
      </c>
      <c r="E84" s="6">
        <f t="shared" si="14"/>
        <v>1</v>
      </c>
      <c r="F84" s="6">
        <f t="shared" si="15"/>
        <v>0</v>
      </c>
      <c r="G84" s="10" t="str">
        <f t="shared" si="16"/>
        <v>Mixed: one L2 holds several segments, so decide at L3/L4</v>
      </c>
    </row>
    <row r="85" spans="2:7" ht="39.6" x14ac:dyDescent="0.3">
      <c r="B85" s="7" t="s">
        <v>1056</v>
      </c>
      <c r="C85" s="6">
        <f t="shared" si="12"/>
        <v>0</v>
      </c>
      <c r="D85" s="6">
        <f t="shared" si="13"/>
        <v>1</v>
      </c>
      <c r="E85" s="6">
        <f t="shared" si="14"/>
        <v>0</v>
      </c>
      <c r="F85" s="6">
        <f t="shared" si="15"/>
        <v>0</v>
      </c>
      <c r="G85" s="10" t="str">
        <f t="shared" si="16"/>
        <v>Single segment</v>
      </c>
    </row>
    <row r="86" spans="2:7" ht="118.8" x14ac:dyDescent="0.3">
      <c r="B86" s="7" t="s">
        <v>1077</v>
      </c>
      <c r="C86" s="6">
        <f t="shared" si="12"/>
        <v>1</v>
      </c>
      <c r="D86" s="6">
        <f t="shared" si="13"/>
        <v>2</v>
      </c>
      <c r="E86" s="6">
        <f t="shared" si="14"/>
        <v>0</v>
      </c>
      <c r="F86" s="6">
        <f t="shared" si="15"/>
        <v>0</v>
      </c>
      <c r="G86" s="10" t="str">
        <f t="shared" si="16"/>
        <v>Mixed: one L2 holds several segments, so decide at L3/L4</v>
      </c>
    </row>
    <row r="87" spans="2:7" ht="39.6" x14ac:dyDescent="0.3">
      <c r="B87" s="7" t="s">
        <v>1087</v>
      </c>
      <c r="C87" s="6">
        <f t="shared" si="12"/>
        <v>1</v>
      </c>
      <c r="D87" s="6">
        <f t="shared" si="13"/>
        <v>0</v>
      </c>
      <c r="E87" s="6">
        <f t="shared" si="14"/>
        <v>0</v>
      </c>
      <c r="F87" s="6">
        <f t="shared" si="15"/>
        <v>0</v>
      </c>
      <c r="G87" s="10" t="str">
        <f t="shared" si="16"/>
        <v>Single segment</v>
      </c>
    </row>
    <row r="88" spans="2:7" ht="39.6" x14ac:dyDescent="0.3">
      <c r="B88" s="7" t="s">
        <v>228</v>
      </c>
      <c r="C88" s="6">
        <f t="shared" si="12"/>
        <v>0</v>
      </c>
      <c r="D88" s="6">
        <f t="shared" si="13"/>
        <v>0</v>
      </c>
      <c r="E88" s="6">
        <f t="shared" si="14"/>
        <v>0</v>
      </c>
      <c r="F88" s="6">
        <f t="shared" si="15"/>
        <v>1</v>
      </c>
      <c r="G88" s="10" t="str">
        <f t="shared" si="16"/>
        <v>Only parked paths</v>
      </c>
    </row>
    <row r="89" spans="2:7" ht="39.6" x14ac:dyDescent="0.3">
      <c r="B89" s="7" t="s">
        <v>1096</v>
      </c>
      <c r="C89" s="6">
        <f t="shared" si="12"/>
        <v>0</v>
      </c>
      <c r="D89" s="6">
        <f t="shared" si="13"/>
        <v>0</v>
      </c>
      <c r="E89" s="6">
        <f t="shared" si="14"/>
        <v>1</v>
      </c>
      <c r="F89" s="6">
        <f t="shared" si="15"/>
        <v>0</v>
      </c>
      <c r="G89" s="10" t="str">
        <f t="shared" si="16"/>
        <v>Single segment</v>
      </c>
    </row>
    <row r="90" spans="2:7" ht="39.6" x14ac:dyDescent="0.3">
      <c r="B90" s="7" t="s">
        <v>1095</v>
      </c>
      <c r="C90" s="6">
        <f t="shared" si="12"/>
        <v>1</v>
      </c>
      <c r="D90" s="6">
        <f t="shared" si="13"/>
        <v>0</v>
      </c>
      <c r="E90" s="6">
        <f t="shared" si="14"/>
        <v>0</v>
      </c>
      <c r="F90" s="6">
        <f t="shared" si="15"/>
        <v>0</v>
      </c>
      <c r="G90" s="10" t="str">
        <f t="shared" si="16"/>
        <v>Single segment</v>
      </c>
    </row>
    <row r="91" spans="2:7" ht="39.6" x14ac:dyDescent="0.3">
      <c r="B91" s="7" t="s">
        <v>1089</v>
      </c>
      <c r="C91" s="6">
        <f t="shared" si="12"/>
        <v>0</v>
      </c>
      <c r="D91" s="6">
        <f t="shared" si="13"/>
        <v>1</v>
      </c>
      <c r="E91" s="6">
        <f t="shared" si="14"/>
        <v>0</v>
      </c>
      <c r="F91" s="6">
        <f t="shared" si="15"/>
        <v>0</v>
      </c>
      <c r="G91" s="10" t="str">
        <f t="shared" si="16"/>
        <v>Single segment</v>
      </c>
    </row>
    <row r="92" spans="2:7" ht="118.8" x14ac:dyDescent="0.3">
      <c r="B92" s="7" t="s">
        <v>1078</v>
      </c>
      <c r="C92" s="6">
        <f t="shared" si="12"/>
        <v>2</v>
      </c>
      <c r="D92" s="6">
        <f t="shared" si="13"/>
        <v>1</v>
      </c>
      <c r="E92" s="6">
        <f t="shared" si="14"/>
        <v>0</v>
      </c>
      <c r="F92" s="6">
        <f t="shared" si="15"/>
        <v>0</v>
      </c>
      <c r="G92" s="10" t="str">
        <f t="shared" si="16"/>
        <v>Mixed: one L2 holds several segments, so decide at L3/L4</v>
      </c>
    </row>
    <row r="93" spans="2:7" ht="39.6" x14ac:dyDescent="0.3">
      <c r="B93" s="7" t="s">
        <v>996</v>
      </c>
      <c r="C93" s="6">
        <f t="shared" si="12"/>
        <v>0</v>
      </c>
      <c r="D93" s="6">
        <f t="shared" si="13"/>
        <v>0</v>
      </c>
      <c r="E93" s="6">
        <f t="shared" si="14"/>
        <v>0</v>
      </c>
      <c r="F93" s="6">
        <f t="shared" si="15"/>
        <v>1</v>
      </c>
      <c r="G93" s="10" t="str">
        <f t="shared" si="16"/>
        <v>Only parked paths</v>
      </c>
    </row>
    <row r="94" spans="2:7" ht="118.8" x14ac:dyDescent="0.3">
      <c r="B94" s="7" t="s">
        <v>111</v>
      </c>
      <c r="C94" s="6">
        <f t="shared" si="12"/>
        <v>1</v>
      </c>
      <c r="D94" s="6">
        <f t="shared" si="13"/>
        <v>5</v>
      </c>
      <c r="E94" s="6">
        <f t="shared" si="14"/>
        <v>2</v>
      </c>
      <c r="F94" s="6">
        <f t="shared" si="15"/>
        <v>0</v>
      </c>
      <c r="G94" s="10" t="str">
        <f t="shared" si="16"/>
        <v>Mixed: one L2 holds several segments, so decide at L3/L4</v>
      </c>
    </row>
    <row r="95" spans="2:7" ht="39.6" x14ac:dyDescent="0.3">
      <c r="B95" s="7" t="s">
        <v>1084</v>
      </c>
      <c r="C95" s="6">
        <f t="shared" si="12"/>
        <v>0</v>
      </c>
      <c r="D95" s="6">
        <f t="shared" si="13"/>
        <v>0</v>
      </c>
      <c r="E95" s="6">
        <f t="shared" si="14"/>
        <v>2</v>
      </c>
      <c r="F95" s="6">
        <f t="shared" si="15"/>
        <v>0</v>
      </c>
      <c r="G95" s="10" t="str">
        <f t="shared" si="16"/>
        <v>Single segment</v>
      </c>
    </row>
    <row r="96" spans="2:7" ht="118.8" x14ac:dyDescent="0.3">
      <c r="B96" s="7" t="s">
        <v>1074</v>
      </c>
      <c r="C96" s="6">
        <f t="shared" si="12"/>
        <v>0</v>
      </c>
      <c r="D96" s="6">
        <f t="shared" si="13"/>
        <v>2</v>
      </c>
      <c r="E96" s="6">
        <f t="shared" si="14"/>
        <v>2</v>
      </c>
      <c r="F96" s="6">
        <f t="shared" si="15"/>
        <v>0</v>
      </c>
      <c r="G96" s="10" t="str">
        <f t="shared" si="16"/>
        <v>Mixed: one L2 holds several segments, so decide at L3/L4</v>
      </c>
    </row>
    <row r="97" spans="2:7" ht="118.8" x14ac:dyDescent="0.3">
      <c r="B97" s="7" t="s">
        <v>118</v>
      </c>
      <c r="C97" s="6">
        <f t="shared" si="12"/>
        <v>2</v>
      </c>
      <c r="D97" s="6">
        <f t="shared" si="13"/>
        <v>0</v>
      </c>
      <c r="E97" s="6">
        <f t="shared" si="14"/>
        <v>1</v>
      </c>
      <c r="F97" s="6">
        <f t="shared" si="15"/>
        <v>0</v>
      </c>
      <c r="G97" s="10" t="str">
        <f t="shared" si="16"/>
        <v>Mixed: one L2 holds several segments, so decide at L3/L4</v>
      </c>
    </row>
    <row r="98" spans="2:7" ht="39.6" x14ac:dyDescent="0.3">
      <c r="B98" s="7" t="s">
        <v>1092</v>
      </c>
      <c r="C98" s="6">
        <f t="shared" si="12"/>
        <v>0</v>
      </c>
      <c r="D98" s="6">
        <f t="shared" si="13"/>
        <v>0</v>
      </c>
      <c r="E98" s="6">
        <f t="shared" si="14"/>
        <v>1</v>
      </c>
      <c r="F98" s="6">
        <f t="shared" si="15"/>
        <v>0</v>
      </c>
      <c r="G98" s="10" t="str">
        <f t="shared" si="16"/>
        <v>Single segment</v>
      </c>
    </row>
    <row r="99" spans="2:7" ht="39.6" x14ac:dyDescent="0.3">
      <c r="B99" s="7" t="s">
        <v>124</v>
      </c>
      <c r="C99" s="6">
        <f t="shared" si="12"/>
        <v>0</v>
      </c>
      <c r="D99" s="6">
        <f t="shared" si="13"/>
        <v>3</v>
      </c>
      <c r="E99" s="6">
        <f t="shared" si="14"/>
        <v>0</v>
      </c>
      <c r="F99" s="6">
        <f t="shared" si="15"/>
        <v>0</v>
      </c>
      <c r="G99" s="10" t="str">
        <f t="shared" si="16"/>
        <v>Single segment</v>
      </c>
    </row>
    <row r="100" spans="2:7" ht="39.6" x14ac:dyDescent="0.3">
      <c r="B100" s="7" t="s">
        <v>1094</v>
      </c>
      <c r="C100" s="6">
        <f t="shared" si="12"/>
        <v>0</v>
      </c>
      <c r="D100" s="6">
        <f t="shared" si="13"/>
        <v>0</v>
      </c>
      <c r="E100" s="6">
        <f t="shared" si="14"/>
        <v>1</v>
      </c>
      <c r="F100" s="6">
        <f t="shared" si="15"/>
        <v>0</v>
      </c>
      <c r="G100" s="10" t="str">
        <f t="shared" si="16"/>
        <v>Single segment</v>
      </c>
    </row>
    <row r="101" spans="2:7" ht="39.6" x14ac:dyDescent="0.3">
      <c r="B101" s="7" t="s">
        <v>1101</v>
      </c>
      <c r="C101" s="6">
        <f t="shared" si="12"/>
        <v>0</v>
      </c>
      <c r="D101" s="6">
        <f t="shared" si="13"/>
        <v>0</v>
      </c>
      <c r="E101" s="6">
        <f t="shared" si="14"/>
        <v>0</v>
      </c>
      <c r="F101" s="6">
        <f t="shared" si="15"/>
        <v>1</v>
      </c>
      <c r="G101" s="10" t="str">
        <f t="shared" si="16"/>
        <v>Only parked paths</v>
      </c>
    </row>
    <row r="102" spans="2:7" ht="39.6" x14ac:dyDescent="0.3">
      <c r="B102" s="7" t="s">
        <v>1014</v>
      </c>
      <c r="C102" s="6">
        <f t="shared" si="12"/>
        <v>0</v>
      </c>
      <c r="D102" s="6">
        <f t="shared" si="13"/>
        <v>0</v>
      </c>
      <c r="E102" s="6">
        <f t="shared" si="14"/>
        <v>0</v>
      </c>
      <c r="F102" s="6">
        <f t="shared" si="15"/>
        <v>1</v>
      </c>
      <c r="G102" s="10" t="str">
        <f t="shared" si="16"/>
        <v>Only parked paths</v>
      </c>
    </row>
    <row r="103" spans="2:7" ht="39.6" x14ac:dyDescent="0.3">
      <c r="B103" s="7" t="s">
        <v>1052</v>
      </c>
      <c r="C103" s="6">
        <f t="shared" si="12"/>
        <v>2</v>
      </c>
      <c r="D103" s="6">
        <f t="shared" si="13"/>
        <v>0</v>
      </c>
      <c r="E103" s="6">
        <f t="shared" si="14"/>
        <v>0</v>
      </c>
      <c r="F103" s="6">
        <f t="shared" si="15"/>
        <v>0</v>
      </c>
      <c r="G103" s="10" t="str">
        <f t="shared" si="16"/>
        <v>Single segment</v>
      </c>
    </row>
    <row r="104" spans="2:7" ht="118.8" x14ac:dyDescent="0.3">
      <c r="B104" s="7" t="s">
        <v>1054</v>
      </c>
      <c r="C104" s="6">
        <f t="shared" si="12"/>
        <v>1</v>
      </c>
      <c r="D104" s="6">
        <f t="shared" si="13"/>
        <v>0</v>
      </c>
      <c r="E104" s="6">
        <f t="shared" si="14"/>
        <v>1</v>
      </c>
      <c r="F104" s="6">
        <f t="shared" si="15"/>
        <v>0</v>
      </c>
      <c r="G104" s="10" t="str">
        <f t="shared" si="16"/>
        <v>Mixed: one L2 holds several segments, so decide at L3/L4</v>
      </c>
    </row>
    <row r="105" spans="2:7" ht="39.6" x14ac:dyDescent="0.3">
      <c r="B105" s="7" t="s">
        <v>1082</v>
      </c>
      <c r="C105" s="6">
        <f t="shared" si="12"/>
        <v>1</v>
      </c>
      <c r="D105" s="6">
        <f t="shared" si="13"/>
        <v>0</v>
      </c>
      <c r="E105" s="6">
        <f t="shared" si="14"/>
        <v>0</v>
      </c>
      <c r="F105" s="6">
        <f t="shared" si="15"/>
        <v>0</v>
      </c>
      <c r="G105" s="10" t="str">
        <f t="shared" si="16"/>
        <v>Single segment</v>
      </c>
    </row>
    <row r="106" spans="2:7" ht="39.6" x14ac:dyDescent="0.3">
      <c r="B106" s="7" t="s">
        <v>264</v>
      </c>
      <c r="C106" s="6">
        <f t="shared" si="12"/>
        <v>0</v>
      </c>
      <c r="D106" s="6">
        <f t="shared" si="13"/>
        <v>0</v>
      </c>
      <c r="E106" s="6">
        <f t="shared" si="14"/>
        <v>0</v>
      </c>
      <c r="F106" s="6">
        <f t="shared" si="15"/>
        <v>1</v>
      </c>
      <c r="G106" s="10" t="str">
        <f t="shared" si="16"/>
        <v>Only parked paths</v>
      </c>
    </row>
    <row r="107" spans="2:7" ht="39.6" x14ac:dyDescent="0.3">
      <c r="B107" s="7" t="s">
        <v>1073</v>
      </c>
      <c r="C107" s="6">
        <f t="shared" si="12"/>
        <v>0</v>
      </c>
      <c r="D107" s="6">
        <f t="shared" si="13"/>
        <v>1</v>
      </c>
      <c r="E107" s="6">
        <f t="shared" si="14"/>
        <v>0</v>
      </c>
      <c r="F107" s="6">
        <f t="shared" si="15"/>
        <v>0</v>
      </c>
      <c r="G107" s="10" t="str">
        <f t="shared" si="16"/>
        <v>Single segment</v>
      </c>
    </row>
    <row r="108" spans="2:7" ht="118.8" x14ac:dyDescent="0.3">
      <c r="B108" s="7" t="s">
        <v>1069</v>
      </c>
      <c r="C108" s="6">
        <f t="shared" si="12"/>
        <v>1</v>
      </c>
      <c r="D108" s="6">
        <f t="shared" si="13"/>
        <v>1</v>
      </c>
      <c r="E108" s="6">
        <f t="shared" si="14"/>
        <v>0</v>
      </c>
      <c r="F108" s="6">
        <f t="shared" si="15"/>
        <v>0</v>
      </c>
      <c r="G108" s="10" t="str">
        <f t="shared" si="16"/>
        <v>Mixed: one L2 holds several segments, so decide at L3/L4</v>
      </c>
    </row>
    <row r="109" spans="2:7" ht="39.6" x14ac:dyDescent="0.3">
      <c r="B109" s="7" t="s">
        <v>1075</v>
      </c>
      <c r="C109" s="6">
        <f t="shared" si="12"/>
        <v>0</v>
      </c>
      <c r="D109" s="6">
        <f t="shared" si="13"/>
        <v>1</v>
      </c>
      <c r="E109" s="6">
        <f t="shared" si="14"/>
        <v>0</v>
      </c>
      <c r="F109" s="6">
        <f t="shared" si="15"/>
        <v>0</v>
      </c>
      <c r="G109" s="10" t="str">
        <f t="shared" si="16"/>
        <v>Single segment</v>
      </c>
    </row>
    <row r="110" spans="2:7" ht="118.8" x14ac:dyDescent="0.3">
      <c r="B110" s="7" t="s">
        <v>1060</v>
      </c>
      <c r="C110" s="6">
        <f t="shared" si="12"/>
        <v>1</v>
      </c>
      <c r="D110" s="6">
        <f t="shared" si="13"/>
        <v>1</v>
      </c>
      <c r="E110" s="6">
        <f t="shared" si="14"/>
        <v>0</v>
      </c>
      <c r="F110" s="6">
        <f t="shared" si="15"/>
        <v>0</v>
      </c>
      <c r="G110" s="10" t="str">
        <f t="shared" si="16"/>
        <v>Mixed: one L2 holds several segments, so decide at L3/L4</v>
      </c>
    </row>
    <row r="111" spans="2:7" ht="39.6" x14ac:dyDescent="0.3">
      <c r="B111" s="7" t="s">
        <v>1098</v>
      </c>
      <c r="C111" s="6">
        <f t="shared" si="12"/>
        <v>0</v>
      </c>
      <c r="D111" s="6">
        <f t="shared" si="13"/>
        <v>0</v>
      </c>
      <c r="E111" s="6">
        <f t="shared" si="14"/>
        <v>0</v>
      </c>
      <c r="F111" s="6">
        <f t="shared" si="15"/>
        <v>2</v>
      </c>
      <c r="G111" s="10" t="str">
        <f t="shared" si="16"/>
        <v>Only parked paths</v>
      </c>
    </row>
    <row r="112" spans="2:7" ht="39.6" x14ac:dyDescent="0.3">
      <c r="B112" s="7" t="s">
        <v>1080</v>
      </c>
      <c r="C112" s="6">
        <f t="shared" si="12"/>
        <v>0</v>
      </c>
      <c r="D112" s="6">
        <f t="shared" si="13"/>
        <v>1</v>
      </c>
      <c r="E112" s="6">
        <f t="shared" si="14"/>
        <v>0</v>
      </c>
      <c r="F112" s="6">
        <f t="shared" si="15"/>
        <v>0</v>
      </c>
      <c r="G112" s="10" t="str">
        <f t="shared" si="16"/>
        <v>Single segment</v>
      </c>
    </row>
    <row r="113" spans="2:7" ht="39.6" x14ac:dyDescent="0.3">
      <c r="B113" s="7" t="s">
        <v>1067</v>
      </c>
      <c r="C113" s="6">
        <f t="shared" si="12"/>
        <v>2</v>
      </c>
      <c r="D113" s="6">
        <f t="shared" si="13"/>
        <v>0</v>
      </c>
      <c r="E113" s="6">
        <f t="shared" si="14"/>
        <v>0</v>
      </c>
      <c r="F113" s="6">
        <f t="shared" si="15"/>
        <v>0</v>
      </c>
      <c r="G113" s="10" t="str">
        <f t="shared" si="16"/>
        <v>Single segment</v>
      </c>
    </row>
    <row r="114" spans="2:7" ht="39.6" x14ac:dyDescent="0.3">
      <c r="B114" s="7" t="s">
        <v>1083</v>
      </c>
      <c r="C114" s="6">
        <f t="shared" si="12"/>
        <v>1</v>
      </c>
      <c r="D114" s="6">
        <f t="shared" si="13"/>
        <v>0</v>
      </c>
      <c r="E114" s="6">
        <f t="shared" si="14"/>
        <v>0</v>
      </c>
      <c r="F114" s="6">
        <f t="shared" si="15"/>
        <v>0</v>
      </c>
      <c r="G114" s="10" t="str">
        <f t="shared" si="16"/>
        <v>Single segment</v>
      </c>
    </row>
  </sheetData>
  <autoFilter ref="A4:T71" xr:uid="{00000000-0009-0000-0000-000006000000}"/>
  <conditionalFormatting sqref="Q5:Q71">
    <cfRule type="expression" dxfId="15" priority="1">
      <formula>$Q5="Hero"</formula>
    </cfRule>
    <cfRule type="expression" dxfId="14" priority="2">
      <formula>$Q5="Probable Hero"</formula>
    </cfRule>
    <cfRule type="expression" dxfId="13" priority="3">
      <formula>$Q5="Non-Hero"</formula>
    </cfRule>
  </conditionalFormatting>
  <conditionalFormatting sqref="S5:S71">
    <cfRule type="expression" dxfId="12" priority="4">
      <formula>LEFT($S5,6)="Tier 1"</formula>
    </cfRule>
    <cfRule type="expression" dxfId="11" priority="5">
      <formula>LEFT($S5,6)="Tier 2"</formula>
    </cfRule>
    <cfRule type="expression" dxfId="10" priority="6">
      <formula>LEFT($S5,6)="Tier 3"</formula>
    </cfRule>
    <cfRule type="expression" dxfId="9" priority="7">
      <formula>LEFT($S5,6)="Parked"</formula>
    </cfRule>
  </conditionalFormatting>
  <dataValidations count="1">
    <dataValidation type="whole" showErrorMessage="1" sqref="I5:J71 L5:N71" xr:uid="{00000000-0002-0000-0600-000000000000}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L103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2" customWidth="1"/>
    <col min="3" max="3" width="22" customWidth="1"/>
    <col min="4" max="4" width="9" customWidth="1"/>
    <col min="5" max="6" width="10" customWidth="1"/>
    <col min="7" max="7" width="11" customWidth="1"/>
    <col min="8" max="8" width="10" customWidth="1"/>
    <col min="9" max="10" width="9" customWidth="1"/>
    <col min="11" max="11" width="22" customWidth="1"/>
    <col min="12" max="12" width="18" customWidth="1"/>
  </cols>
  <sheetData>
    <row r="1" spans="1:12" ht="21" x14ac:dyDescent="0.4">
      <c r="A1" s="1" t="s">
        <v>1106</v>
      </c>
    </row>
    <row r="2" spans="1:12" x14ac:dyDescent="0.3">
      <c r="A2" s="2" t="s">
        <v>1107</v>
      </c>
    </row>
    <row r="4" spans="1:12" ht="30" customHeight="1" x14ac:dyDescent="0.3">
      <c r="A4" s="5" t="s">
        <v>174</v>
      </c>
      <c r="B4" s="5" t="s">
        <v>175</v>
      </c>
      <c r="C4" s="5" t="s">
        <v>1108</v>
      </c>
      <c r="D4" s="5" t="s">
        <v>1109</v>
      </c>
      <c r="E4" s="5" t="s">
        <v>1110</v>
      </c>
      <c r="F4" s="5" t="s">
        <v>1111</v>
      </c>
      <c r="G4" s="5" t="s">
        <v>1112</v>
      </c>
      <c r="H4" s="5" t="s">
        <v>1113</v>
      </c>
      <c r="I4" s="5" t="s">
        <v>1114</v>
      </c>
      <c r="J4" s="5" t="s">
        <v>1115</v>
      </c>
      <c r="K4" s="5" t="s">
        <v>1116</v>
      </c>
      <c r="L4" s="5" t="s">
        <v>1117</v>
      </c>
    </row>
    <row r="5" spans="1:12" ht="26.4" x14ac:dyDescent="0.3">
      <c r="A5" s="10" t="s">
        <v>274</v>
      </c>
      <c r="B5" s="10" t="s">
        <v>20</v>
      </c>
      <c r="C5" s="10" t="s">
        <v>160</v>
      </c>
      <c r="D5" s="18">
        <v>5</v>
      </c>
      <c r="E5" s="18">
        <v>5</v>
      </c>
      <c r="F5" s="18">
        <v>4</v>
      </c>
      <c r="G5" s="6">
        <v>3</v>
      </c>
      <c r="H5" s="6">
        <v>3</v>
      </c>
      <c r="I5" s="8">
        <f>(D5*'Selection Criteria'!$F$32+E5*'Selection Criteria'!$F$33+F5*'Selection Criteria'!$F$34+G5*'Selection Criteria'!$F$35+H5*'Selection Criteria'!$F$36)/(5*'Selection Criteria'!$F$37)*100+D5/1000</f>
        <v>85.004999999999995</v>
      </c>
      <c r="J5" s="6">
        <f t="shared" ref="J5:J36" si="0">COUNTIFS($A$5:$A$103,A5,$I$5:$I$103,"&gt;"&amp;I5)+1</f>
        <v>2</v>
      </c>
      <c r="K5" s="10" t="str">
        <f t="shared" ref="K5:K36" si="1">IF(J5=1,"Primary",IF(J5=2,"Secondary","Alternate / style reference"))</f>
        <v>Secondary</v>
      </c>
      <c r="L5" s="10" t="str">
        <f t="shared" ref="L5:L36" si="2">A5&amp;"|"&amp;K5</f>
        <v>P01|Secondary</v>
      </c>
    </row>
    <row r="6" spans="1:12" ht="26.4" x14ac:dyDescent="0.3">
      <c r="A6" s="10" t="s">
        <v>274</v>
      </c>
      <c r="B6" s="10" t="s">
        <v>20</v>
      </c>
      <c r="C6" s="10" t="s">
        <v>138</v>
      </c>
      <c r="D6" s="18">
        <v>5</v>
      </c>
      <c r="E6" s="18">
        <v>4</v>
      </c>
      <c r="F6" s="18">
        <v>4</v>
      </c>
      <c r="G6" s="6">
        <v>5</v>
      </c>
      <c r="H6" s="6">
        <v>3</v>
      </c>
      <c r="I6" s="8">
        <f>(D6*'Selection Criteria'!$F$32+E6*'Selection Criteria'!$F$33+F6*'Selection Criteria'!$F$34+G6*'Selection Criteria'!$F$35+H6*'Selection Criteria'!$F$36)/(5*'Selection Criteria'!$F$37)*100+D6/1000</f>
        <v>86.004999999999995</v>
      </c>
      <c r="J6" s="6">
        <f t="shared" si="0"/>
        <v>1</v>
      </c>
      <c r="K6" s="10" t="str">
        <f t="shared" si="1"/>
        <v>Primary</v>
      </c>
      <c r="L6" s="10" t="str">
        <f t="shared" si="2"/>
        <v>P01|Primary</v>
      </c>
    </row>
    <row r="7" spans="1:12" ht="26.4" x14ac:dyDescent="0.3">
      <c r="A7" s="10" t="s">
        <v>274</v>
      </c>
      <c r="B7" s="10" t="s">
        <v>20</v>
      </c>
      <c r="C7" s="10" t="s">
        <v>1118</v>
      </c>
      <c r="D7" s="18">
        <v>3</v>
      </c>
      <c r="E7" s="18">
        <v>5</v>
      </c>
      <c r="F7" s="18">
        <v>5</v>
      </c>
      <c r="G7" s="6">
        <v>3</v>
      </c>
      <c r="H7" s="6">
        <v>3</v>
      </c>
      <c r="I7" s="8">
        <f>(D7*'Selection Criteria'!$F$32+E7*'Selection Criteria'!$F$33+F7*'Selection Criteria'!$F$34+G7*'Selection Criteria'!$F$35+H7*'Selection Criteria'!$F$36)/(5*'Selection Criteria'!$F$37)*100+D7/1000</f>
        <v>76.003</v>
      </c>
      <c r="J7" s="6">
        <f t="shared" si="0"/>
        <v>3</v>
      </c>
      <c r="K7" s="10" t="str">
        <f t="shared" si="1"/>
        <v>Alternate / style reference</v>
      </c>
      <c r="L7" s="10" t="str">
        <f t="shared" si="2"/>
        <v>P01|Alternate / style reference</v>
      </c>
    </row>
    <row r="8" spans="1:12" ht="26.4" x14ac:dyDescent="0.3">
      <c r="A8" s="10" t="s">
        <v>274</v>
      </c>
      <c r="B8" s="10" t="s">
        <v>20</v>
      </c>
      <c r="C8" s="10" t="s">
        <v>1119</v>
      </c>
      <c r="D8" s="18">
        <v>3</v>
      </c>
      <c r="E8" s="18">
        <v>4</v>
      </c>
      <c r="F8" s="18">
        <v>3</v>
      </c>
      <c r="G8" s="6">
        <v>3</v>
      </c>
      <c r="H8" s="6">
        <v>2</v>
      </c>
      <c r="I8" s="8">
        <f>(D8*'Selection Criteria'!$F$32+E8*'Selection Criteria'!$F$33+F8*'Selection Criteria'!$F$34+G8*'Selection Criteria'!$F$35+H8*'Selection Criteria'!$F$36)/(5*'Selection Criteria'!$F$37)*100+D8/1000</f>
        <v>62.003</v>
      </c>
      <c r="J8" s="6">
        <f t="shared" si="0"/>
        <v>4</v>
      </c>
      <c r="K8" s="10" t="str">
        <f t="shared" si="1"/>
        <v>Alternate / style reference</v>
      </c>
      <c r="L8" s="10" t="str">
        <f t="shared" si="2"/>
        <v>P01|Alternate / style reference</v>
      </c>
    </row>
    <row r="9" spans="1:12" ht="26.4" x14ac:dyDescent="0.3">
      <c r="A9" s="10" t="s">
        <v>248</v>
      </c>
      <c r="B9" s="10" t="s">
        <v>27</v>
      </c>
      <c r="C9" s="10" t="s">
        <v>1120</v>
      </c>
      <c r="D9" s="18">
        <v>5</v>
      </c>
      <c r="E9" s="18">
        <v>5</v>
      </c>
      <c r="F9" s="18">
        <v>3</v>
      </c>
      <c r="G9" s="6">
        <v>4</v>
      </c>
      <c r="H9" s="6">
        <v>2</v>
      </c>
      <c r="I9" s="8">
        <f>(D9*'Selection Criteria'!$F$32+E9*'Selection Criteria'!$F$33+F9*'Selection Criteria'!$F$34+G9*'Selection Criteria'!$F$35+H9*'Selection Criteria'!$F$36)/(5*'Selection Criteria'!$F$37)*100+D9/1000</f>
        <v>82.004999999999995</v>
      </c>
      <c r="J9" s="6">
        <f t="shared" si="0"/>
        <v>1</v>
      </c>
      <c r="K9" s="10" t="str">
        <f t="shared" si="1"/>
        <v>Primary</v>
      </c>
      <c r="L9" s="10" t="str">
        <f t="shared" si="2"/>
        <v>P03|Primary</v>
      </c>
    </row>
    <row r="10" spans="1:12" ht="26.4" x14ac:dyDescent="0.3">
      <c r="A10" s="10" t="s">
        <v>248</v>
      </c>
      <c r="B10" s="10" t="s">
        <v>27</v>
      </c>
      <c r="C10" s="10" t="s">
        <v>1118</v>
      </c>
      <c r="D10" s="18">
        <v>4</v>
      </c>
      <c r="E10" s="18">
        <v>5</v>
      </c>
      <c r="F10" s="18">
        <v>5</v>
      </c>
      <c r="G10" s="6">
        <v>3</v>
      </c>
      <c r="H10" s="6">
        <v>3</v>
      </c>
      <c r="I10" s="8">
        <f>(D10*'Selection Criteria'!$F$32+E10*'Selection Criteria'!$F$33+F10*'Selection Criteria'!$F$34+G10*'Selection Criteria'!$F$35+H10*'Selection Criteria'!$F$36)/(5*'Selection Criteria'!$F$37)*100+D10/1000</f>
        <v>82.004000000000005</v>
      </c>
      <c r="J10" s="6">
        <f t="shared" si="0"/>
        <v>2</v>
      </c>
      <c r="K10" s="10" t="str">
        <f t="shared" si="1"/>
        <v>Secondary</v>
      </c>
      <c r="L10" s="10" t="str">
        <f t="shared" si="2"/>
        <v>P03|Secondary</v>
      </c>
    </row>
    <row r="11" spans="1:12" ht="26.4" x14ac:dyDescent="0.3">
      <c r="A11" s="10" t="s">
        <v>248</v>
      </c>
      <c r="B11" s="10" t="s">
        <v>27</v>
      </c>
      <c r="C11" s="10" t="s">
        <v>138</v>
      </c>
      <c r="D11" s="18">
        <v>5</v>
      </c>
      <c r="E11" s="18">
        <v>3</v>
      </c>
      <c r="F11" s="18">
        <v>4</v>
      </c>
      <c r="G11" s="6">
        <v>5</v>
      </c>
      <c r="H11" s="6">
        <v>3</v>
      </c>
      <c r="I11" s="8">
        <f>(D11*'Selection Criteria'!$F$32+E11*'Selection Criteria'!$F$33+F11*'Selection Criteria'!$F$34+G11*'Selection Criteria'!$F$35+H11*'Selection Criteria'!$F$36)/(5*'Selection Criteria'!$F$37)*100+D11/1000</f>
        <v>81.004999999999995</v>
      </c>
      <c r="J11" s="6">
        <f t="shared" si="0"/>
        <v>3</v>
      </c>
      <c r="K11" s="10" t="str">
        <f t="shared" si="1"/>
        <v>Alternate / style reference</v>
      </c>
      <c r="L11" s="10" t="str">
        <f t="shared" si="2"/>
        <v>P03|Alternate / style reference</v>
      </c>
    </row>
    <row r="12" spans="1:12" ht="26.4" x14ac:dyDescent="0.3">
      <c r="A12" s="10" t="s">
        <v>248</v>
      </c>
      <c r="B12" s="10" t="s">
        <v>27</v>
      </c>
      <c r="C12" s="10" t="s">
        <v>146</v>
      </c>
      <c r="D12" s="18">
        <v>4</v>
      </c>
      <c r="E12" s="18">
        <v>4</v>
      </c>
      <c r="F12" s="18">
        <v>3</v>
      </c>
      <c r="G12" s="6">
        <v>4</v>
      </c>
      <c r="H12" s="6">
        <v>2</v>
      </c>
      <c r="I12" s="8">
        <f>(D12*'Selection Criteria'!$F$32+E12*'Selection Criteria'!$F$33+F12*'Selection Criteria'!$F$34+G12*'Selection Criteria'!$F$35+H12*'Selection Criteria'!$F$36)/(5*'Selection Criteria'!$F$37)*100+D12/1000</f>
        <v>71.004000000000005</v>
      </c>
      <c r="J12" s="6">
        <f t="shared" si="0"/>
        <v>4</v>
      </c>
      <c r="K12" s="10" t="str">
        <f t="shared" si="1"/>
        <v>Alternate / style reference</v>
      </c>
      <c r="L12" s="10" t="str">
        <f t="shared" si="2"/>
        <v>P03|Alternate / style reference</v>
      </c>
    </row>
    <row r="13" spans="1:12" x14ac:dyDescent="0.3">
      <c r="A13" s="10" t="s">
        <v>765</v>
      </c>
      <c r="B13" s="10" t="s">
        <v>24</v>
      </c>
      <c r="C13" s="10" t="s">
        <v>1118</v>
      </c>
      <c r="D13" s="18">
        <v>4</v>
      </c>
      <c r="E13" s="18">
        <v>5</v>
      </c>
      <c r="F13" s="18">
        <v>5</v>
      </c>
      <c r="G13" s="6">
        <v>3</v>
      </c>
      <c r="H13" s="6">
        <v>3</v>
      </c>
      <c r="I13" s="8">
        <f>(D13*'Selection Criteria'!$F$32+E13*'Selection Criteria'!$F$33+F13*'Selection Criteria'!$F$34+G13*'Selection Criteria'!$F$35+H13*'Selection Criteria'!$F$36)/(5*'Selection Criteria'!$F$37)*100+D13/1000</f>
        <v>82.004000000000005</v>
      </c>
      <c r="J13" s="6">
        <f t="shared" si="0"/>
        <v>1</v>
      </c>
      <c r="K13" s="10" t="str">
        <f t="shared" si="1"/>
        <v>Primary</v>
      </c>
      <c r="L13" s="10" t="str">
        <f t="shared" si="2"/>
        <v>P02|Primary</v>
      </c>
    </row>
    <row r="14" spans="1:12" x14ac:dyDescent="0.3">
      <c r="A14" s="10" t="s">
        <v>765</v>
      </c>
      <c r="B14" s="10" t="s">
        <v>24</v>
      </c>
      <c r="C14" s="10" t="s">
        <v>138</v>
      </c>
      <c r="D14" s="18">
        <v>5</v>
      </c>
      <c r="E14" s="18">
        <v>3</v>
      </c>
      <c r="F14" s="18">
        <v>4</v>
      </c>
      <c r="G14" s="6">
        <v>5</v>
      </c>
      <c r="H14" s="6">
        <v>3</v>
      </c>
      <c r="I14" s="8">
        <f>(D14*'Selection Criteria'!$F$32+E14*'Selection Criteria'!$F$33+F14*'Selection Criteria'!$F$34+G14*'Selection Criteria'!$F$35+H14*'Selection Criteria'!$F$36)/(5*'Selection Criteria'!$F$37)*100+D14/1000</f>
        <v>81.004999999999995</v>
      </c>
      <c r="J14" s="6">
        <f t="shared" si="0"/>
        <v>2</v>
      </c>
      <c r="K14" s="10" t="str">
        <f t="shared" si="1"/>
        <v>Secondary</v>
      </c>
      <c r="L14" s="10" t="str">
        <f t="shared" si="2"/>
        <v>P02|Secondary</v>
      </c>
    </row>
    <row r="15" spans="1:12" x14ac:dyDescent="0.3">
      <c r="A15" s="10" t="s">
        <v>765</v>
      </c>
      <c r="B15" s="10" t="s">
        <v>24</v>
      </c>
      <c r="C15" s="10" t="s">
        <v>1121</v>
      </c>
      <c r="D15" s="18">
        <v>5</v>
      </c>
      <c r="E15" s="18">
        <v>5</v>
      </c>
      <c r="F15" s="18">
        <v>4</v>
      </c>
      <c r="G15" s="6">
        <v>2</v>
      </c>
      <c r="H15" s="6">
        <v>2</v>
      </c>
      <c r="I15" s="8">
        <f>(D15*'Selection Criteria'!$F$32+E15*'Selection Criteria'!$F$33+F15*'Selection Criteria'!$F$34+G15*'Selection Criteria'!$F$35+H15*'Selection Criteria'!$F$36)/(5*'Selection Criteria'!$F$37)*100+D15/1000</f>
        <v>79.004999999999995</v>
      </c>
      <c r="J15" s="6">
        <f t="shared" si="0"/>
        <v>3</v>
      </c>
      <c r="K15" s="10" t="str">
        <f t="shared" si="1"/>
        <v>Alternate / style reference</v>
      </c>
      <c r="L15" s="10" t="str">
        <f t="shared" si="2"/>
        <v>P02|Alternate / style reference</v>
      </c>
    </row>
    <row r="16" spans="1:12" x14ac:dyDescent="0.3">
      <c r="A16" s="10" t="s">
        <v>765</v>
      </c>
      <c r="B16" s="10" t="s">
        <v>24</v>
      </c>
      <c r="C16" s="10" t="s">
        <v>110</v>
      </c>
      <c r="D16" s="18">
        <v>3</v>
      </c>
      <c r="E16" s="18">
        <v>4</v>
      </c>
      <c r="F16" s="18">
        <v>3</v>
      </c>
      <c r="G16" s="6">
        <v>3</v>
      </c>
      <c r="H16" s="6">
        <v>4</v>
      </c>
      <c r="I16" s="8">
        <f>(D16*'Selection Criteria'!$F$32+E16*'Selection Criteria'!$F$33+F16*'Selection Criteria'!$F$34+G16*'Selection Criteria'!$F$35+H16*'Selection Criteria'!$F$36)/(5*'Selection Criteria'!$F$37)*100+D16/1000</f>
        <v>68.003</v>
      </c>
      <c r="J16" s="6">
        <f t="shared" si="0"/>
        <v>4</v>
      </c>
      <c r="K16" s="10" t="str">
        <f t="shared" si="1"/>
        <v>Alternate / style reference</v>
      </c>
      <c r="L16" s="10" t="str">
        <f t="shared" si="2"/>
        <v>P02|Alternate / style reference</v>
      </c>
    </row>
    <row r="17" spans="1:12" x14ac:dyDescent="0.3">
      <c r="A17" s="10" t="s">
        <v>183</v>
      </c>
      <c r="B17" s="10" t="s">
        <v>30</v>
      </c>
      <c r="C17" s="10" t="s">
        <v>110</v>
      </c>
      <c r="D17" s="18">
        <v>5</v>
      </c>
      <c r="E17" s="18">
        <v>5</v>
      </c>
      <c r="F17" s="18">
        <v>4</v>
      </c>
      <c r="G17" s="6">
        <v>3</v>
      </c>
      <c r="H17" s="6">
        <v>4</v>
      </c>
      <c r="I17" s="8">
        <f>(D17*'Selection Criteria'!$F$32+E17*'Selection Criteria'!$F$33+F17*'Selection Criteria'!$F$34+G17*'Selection Criteria'!$F$35+H17*'Selection Criteria'!$F$36)/(5*'Selection Criteria'!$F$37)*100+D17/1000</f>
        <v>88.004999999999995</v>
      </c>
      <c r="J17" s="6">
        <f t="shared" si="0"/>
        <v>1</v>
      </c>
      <c r="K17" s="10" t="str">
        <f t="shared" si="1"/>
        <v>Primary</v>
      </c>
      <c r="L17" s="10" t="str">
        <f t="shared" si="2"/>
        <v>P04|Primary</v>
      </c>
    </row>
    <row r="18" spans="1:12" x14ac:dyDescent="0.3">
      <c r="A18" s="10" t="s">
        <v>183</v>
      </c>
      <c r="B18" s="10" t="s">
        <v>30</v>
      </c>
      <c r="C18" s="10" t="s">
        <v>138</v>
      </c>
      <c r="D18" s="18">
        <v>5</v>
      </c>
      <c r="E18" s="18">
        <v>3</v>
      </c>
      <c r="F18" s="18">
        <v>3</v>
      </c>
      <c r="G18" s="6">
        <v>5</v>
      </c>
      <c r="H18" s="6">
        <v>3</v>
      </c>
      <c r="I18" s="8">
        <f>(D18*'Selection Criteria'!$F$32+E18*'Selection Criteria'!$F$33+F18*'Selection Criteria'!$F$34+G18*'Selection Criteria'!$F$35+H18*'Selection Criteria'!$F$36)/(5*'Selection Criteria'!$F$37)*100+D18/1000</f>
        <v>78.004999999999995</v>
      </c>
      <c r="J18" s="6">
        <f t="shared" si="0"/>
        <v>2</v>
      </c>
      <c r="K18" s="10" t="str">
        <f t="shared" si="1"/>
        <v>Secondary</v>
      </c>
      <c r="L18" s="10" t="str">
        <f t="shared" si="2"/>
        <v>P04|Secondary</v>
      </c>
    </row>
    <row r="19" spans="1:12" x14ac:dyDescent="0.3">
      <c r="A19" s="10" t="s">
        <v>183</v>
      </c>
      <c r="B19" s="10" t="s">
        <v>30</v>
      </c>
      <c r="C19" s="10" t="s">
        <v>1118</v>
      </c>
      <c r="D19" s="18">
        <v>3</v>
      </c>
      <c r="E19" s="18">
        <v>5</v>
      </c>
      <c r="F19" s="18">
        <v>4</v>
      </c>
      <c r="G19" s="6">
        <v>3</v>
      </c>
      <c r="H19" s="6">
        <v>3</v>
      </c>
      <c r="I19" s="8">
        <f>(D19*'Selection Criteria'!$F$32+E19*'Selection Criteria'!$F$33+F19*'Selection Criteria'!$F$34+G19*'Selection Criteria'!$F$35+H19*'Selection Criteria'!$F$36)/(5*'Selection Criteria'!$F$37)*100+D19/1000</f>
        <v>73.003</v>
      </c>
      <c r="J19" s="6">
        <f t="shared" si="0"/>
        <v>3</v>
      </c>
      <c r="K19" s="10" t="str">
        <f t="shared" si="1"/>
        <v>Alternate / style reference</v>
      </c>
      <c r="L19" s="10" t="str">
        <f t="shared" si="2"/>
        <v>P04|Alternate / style reference</v>
      </c>
    </row>
    <row r="20" spans="1:12" ht="26.4" x14ac:dyDescent="0.3">
      <c r="A20" s="10" t="s">
        <v>782</v>
      </c>
      <c r="B20" s="10" t="s">
        <v>36</v>
      </c>
      <c r="C20" s="10" t="s">
        <v>138</v>
      </c>
      <c r="D20" s="18">
        <v>5</v>
      </c>
      <c r="E20" s="18">
        <v>4</v>
      </c>
      <c r="F20" s="18">
        <v>4</v>
      </c>
      <c r="G20" s="6">
        <v>5</v>
      </c>
      <c r="H20" s="6">
        <v>3</v>
      </c>
      <c r="I20" s="8">
        <f>(D20*'Selection Criteria'!$F$32+E20*'Selection Criteria'!$F$33+F20*'Selection Criteria'!$F$34+G20*'Selection Criteria'!$F$35+H20*'Selection Criteria'!$F$36)/(5*'Selection Criteria'!$F$37)*100+D20/1000</f>
        <v>86.004999999999995</v>
      </c>
      <c r="J20" s="6">
        <f t="shared" si="0"/>
        <v>1</v>
      </c>
      <c r="K20" s="10" t="str">
        <f t="shared" si="1"/>
        <v>Primary</v>
      </c>
      <c r="L20" s="10" t="str">
        <f t="shared" si="2"/>
        <v>P06|Primary</v>
      </c>
    </row>
    <row r="21" spans="1:12" ht="26.4" x14ac:dyDescent="0.3">
      <c r="A21" s="10" t="s">
        <v>782</v>
      </c>
      <c r="B21" s="10" t="s">
        <v>36</v>
      </c>
      <c r="C21" s="10" t="s">
        <v>1118</v>
      </c>
      <c r="D21" s="18">
        <v>4</v>
      </c>
      <c r="E21" s="18">
        <v>5</v>
      </c>
      <c r="F21" s="18">
        <v>5</v>
      </c>
      <c r="G21" s="6">
        <v>3</v>
      </c>
      <c r="H21" s="6">
        <v>3</v>
      </c>
      <c r="I21" s="8">
        <f>(D21*'Selection Criteria'!$F$32+E21*'Selection Criteria'!$F$33+F21*'Selection Criteria'!$F$34+G21*'Selection Criteria'!$F$35+H21*'Selection Criteria'!$F$36)/(5*'Selection Criteria'!$F$37)*100+D21/1000</f>
        <v>82.004000000000005</v>
      </c>
      <c r="J21" s="6">
        <f t="shared" si="0"/>
        <v>2</v>
      </c>
      <c r="K21" s="10" t="str">
        <f t="shared" si="1"/>
        <v>Secondary</v>
      </c>
      <c r="L21" s="10" t="str">
        <f t="shared" si="2"/>
        <v>P06|Secondary</v>
      </c>
    </row>
    <row r="22" spans="1:12" ht="26.4" x14ac:dyDescent="0.3">
      <c r="A22" s="10" t="s">
        <v>782</v>
      </c>
      <c r="B22" s="10" t="s">
        <v>36</v>
      </c>
      <c r="C22" s="10" t="s">
        <v>1119</v>
      </c>
      <c r="D22" s="18">
        <v>4</v>
      </c>
      <c r="E22" s="18">
        <v>5</v>
      </c>
      <c r="F22" s="18">
        <v>3</v>
      </c>
      <c r="G22" s="6">
        <v>3</v>
      </c>
      <c r="H22" s="6">
        <v>2</v>
      </c>
      <c r="I22" s="8">
        <f>(D22*'Selection Criteria'!$F$32+E22*'Selection Criteria'!$F$33+F22*'Selection Criteria'!$F$34+G22*'Selection Criteria'!$F$35+H22*'Selection Criteria'!$F$36)/(5*'Selection Criteria'!$F$37)*100+D22/1000</f>
        <v>73.004000000000005</v>
      </c>
      <c r="J22" s="6">
        <f t="shared" si="0"/>
        <v>3</v>
      </c>
      <c r="K22" s="10" t="str">
        <f t="shared" si="1"/>
        <v>Alternate / style reference</v>
      </c>
      <c r="L22" s="10" t="str">
        <f t="shared" si="2"/>
        <v>P06|Alternate / style reference</v>
      </c>
    </row>
    <row r="23" spans="1:12" x14ac:dyDescent="0.3">
      <c r="A23" s="10" t="s">
        <v>236</v>
      </c>
      <c r="B23" s="10" t="s">
        <v>43</v>
      </c>
      <c r="C23" s="10" t="s">
        <v>138</v>
      </c>
      <c r="D23" s="18">
        <v>5</v>
      </c>
      <c r="E23" s="18">
        <v>4</v>
      </c>
      <c r="F23" s="18">
        <v>4</v>
      </c>
      <c r="G23" s="6">
        <v>5</v>
      </c>
      <c r="H23" s="6">
        <v>3</v>
      </c>
      <c r="I23" s="8">
        <f>(D23*'Selection Criteria'!$F$32+E23*'Selection Criteria'!$F$33+F23*'Selection Criteria'!$F$34+G23*'Selection Criteria'!$F$35+H23*'Selection Criteria'!$F$36)/(5*'Selection Criteria'!$F$37)*100+D23/1000</f>
        <v>86.004999999999995</v>
      </c>
      <c r="J23" s="6">
        <f t="shared" si="0"/>
        <v>1</v>
      </c>
      <c r="K23" s="10" t="str">
        <f t="shared" si="1"/>
        <v>Primary</v>
      </c>
      <c r="L23" s="10" t="str">
        <f t="shared" si="2"/>
        <v>P08|Primary</v>
      </c>
    </row>
    <row r="24" spans="1:12" x14ac:dyDescent="0.3">
      <c r="A24" s="10" t="s">
        <v>236</v>
      </c>
      <c r="B24" s="10" t="s">
        <v>43</v>
      </c>
      <c r="C24" s="10" t="s">
        <v>1118</v>
      </c>
      <c r="D24" s="18">
        <v>4</v>
      </c>
      <c r="E24" s="18">
        <v>5</v>
      </c>
      <c r="F24" s="18">
        <v>5</v>
      </c>
      <c r="G24" s="6">
        <v>3</v>
      </c>
      <c r="H24" s="6">
        <v>3</v>
      </c>
      <c r="I24" s="8">
        <f>(D24*'Selection Criteria'!$F$32+E24*'Selection Criteria'!$F$33+F24*'Selection Criteria'!$F$34+G24*'Selection Criteria'!$F$35+H24*'Selection Criteria'!$F$36)/(5*'Selection Criteria'!$F$37)*100+D24/1000</f>
        <v>82.004000000000005</v>
      </c>
      <c r="J24" s="6">
        <f t="shared" si="0"/>
        <v>2</v>
      </c>
      <c r="K24" s="10" t="str">
        <f t="shared" si="1"/>
        <v>Secondary</v>
      </c>
      <c r="L24" s="10" t="str">
        <f t="shared" si="2"/>
        <v>P08|Secondary</v>
      </c>
    </row>
    <row r="25" spans="1:12" x14ac:dyDescent="0.3">
      <c r="A25" s="10" t="s">
        <v>236</v>
      </c>
      <c r="B25" s="10" t="s">
        <v>43</v>
      </c>
      <c r="C25" s="10" t="s">
        <v>1121</v>
      </c>
      <c r="D25" s="18">
        <v>3</v>
      </c>
      <c r="E25" s="18">
        <v>4</v>
      </c>
      <c r="F25" s="18">
        <v>3</v>
      </c>
      <c r="G25" s="6">
        <v>2</v>
      </c>
      <c r="H25" s="6">
        <v>2</v>
      </c>
      <c r="I25" s="8">
        <f>(D25*'Selection Criteria'!$F$32+E25*'Selection Criteria'!$F$33+F25*'Selection Criteria'!$F$34+G25*'Selection Criteria'!$F$35+H25*'Selection Criteria'!$F$36)/(5*'Selection Criteria'!$F$37)*100+D25/1000</f>
        <v>59.003</v>
      </c>
      <c r="J25" s="6">
        <f t="shared" si="0"/>
        <v>3</v>
      </c>
      <c r="K25" s="10" t="str">
        <f t="shared" si="1"/>
        <v>Alternate / style reference</v>
      </c>
      <c r="L25" s="10" t="str">
        <f t="shared" si="2"/>
        <v>P08|Alternate / style reference</v>
      </c>
    </row>
    <row r="26" spans="1:12" x14ac:dyDescent="0.3">
      <c r="A26" s="10" t="s">
        <v>219</v>
      </c>
      <c r="B26" s="10" t="s">
        <v>33</v>
      </c>
      <c r="C26" s="10" t="s">
        <v>110</v>
      </c>
      <c r="D26" s="18">
        <v>5</v>
      </c>
      <c r="E26" s="18">
        <v>5</v>
      </c>
      <c r="F26" s="18">
        <v>4</v>
      </c>
      <c r="G26" s="6">
        <v>3</v>
      </c>
      <c r="H26" s="6">
        <v>4</v>
      </c>
      <c r="I26" s="8">
        <f>(D26*'Selection Criteria'!$F$32+E26*'Selection Criteria'!$F$33+F26*'Selection Criteria'!$F$34+G26*'Selection Criteria'!$F$35+H26*'Selection Criteria'!$F$36)/(5*'Selection Criteria'!$F$37)*100+D26/1000</f>
        <v>88.004999999999995</v>
      </c>
      <c r="J26" s="6">
        <f t="shared" si="0"/>
        <v>1</v>
      </c>
      <c r="K26" s="10" t="str">
        <f t="shared" si="1"/>
        <v>Primary</v>
      </c>
      <c r="L26" s="10" t="str">
        <f t="shared" si="2"/>
        <v>P05|Primary</v>
      </c>
    </row>
    <row r="27" spans="1:12" x14ac:dyDescent="0.3">
      <c r="A27" s="10" t="s">
        <v>219</v>
      </c>
      <c r="B27" s="10" t="s">
        <v>33</v>
      </c>
      <c r="C27" s="10" t="s">
        <v>138</v>
      </c>
      <c r="D27" s="18">
        <v>5</v>
      </c>
      <c r="E27" s="18">
        <v>3</v>
      </c>
      <c r="F27" s="18">
        <v>4</v>
      </c>
      <c r="G27" s="6">
        <v>5</v>
      </c>
      <c r="H27" s="6">
        <v>3</v>
      </c>
      <c r="I27" s="8">
        <f>(D27*'Selection Criteria'!$F$32+E27*'Selection Criteria'!$F$33+F27*'Selection Criteria'!$F$34+G27*'Selection Criteria'!$F$35+H27*'Selection Criteria'!$F$36)/(5*'Selection Criteria'!$F$37)*100+D27/1000</f>
        <v>81.004999999999995</v>
      </c>
      <c r="J27" s="6">
        <f t="shared" si="0"/>
        <v>2</v>
      </c>
      <c r="K27" s="10" t="str">
        <f t="shared" si="1"/>
        <v>Secondary</v>
      </c>
      <c r="L27" s="10" t="str">
        <f t="shared" si="2"/>
        <v>P05|Secondary</v>
      </c>
    </row>
    <row r="28" spans="1:12" x14ac:dyDescent="0.3">
      <c r="A28" s="10" t="s">
        <v>219</v>
      </c>
      <c r="B28" s="10" t="s">
        <v>33</v>
      </c>
      <c r="C28" s="10" t="s">
        <v>1118</v>
      </c>
      <c r="D28" s="18">
        <v>3</v>
      </c>
      <c r="E28" s="18">
        <v>5</v>
      </c>
      <c r="F28" s="18">
        <v>5</v>
      </c>
      <c r="G28" s="6">
        <v>3</v>
      </c>
      <c r="H28" s="6">
        <v>3</v>
      </c>
      <c r="I28" s="8">
        <f>(D28*'Selection Criteria'!$F$32+E28*'Selection Criteria'!$F$33+F28*'Selection Criteria'!$F$34+G28*'Selection Criteria'!$F$35+H28*'Selection Criteria'!$F$36)/(5*'Selection Criteria'!$F$37)*100+D28/1000</f>
        <v>76.003</v>
      </c>
      <c r="J28" s="6">
        <f t="shared" si="0"/>
        <v>3</v>
      </c>
      <c r="K28" s="10" t="str">
        <f t="shared" si="1"/>
        <v>Alternate / style reference</v>
      </c>
      <c r="L28" s="10" t="str">
        <f t="shared" si="2"/>
        <v>P05|Alternate / style reference</v>
      </c>
    </row>
    <row r="29" spans="1:12" ht="26.4" x14ac:dyDescent="0.3">
      <c r="A29" s="10" t="s">
        <v>795</v>
      </c>
      <c r="B29" s="10" t="s">
        <v>46</v>
      </c>
      <c r="C29" s="10" t="s">
        <v>138</v>
      </c>
      <c r="D29" s="18">
        <v>5</v>
      </c>
      <c r="E29" s="18">
        <v>4</v>
      </c>
      <c r="F29" s="18">
        <v>4</v>
      </c>
      <c r="G29" s="6">
        <v>5</v>
      </c>
      <c r="H29" s="6">
        <v>3</v>
      </c>
      <c r="I29" s="8">
        <f>(D29*'Selection Criteria'!$F$32+E29*'Selection Criteria'!$F$33+F29*'Selection Criteria'!$F$34+G29*'Selection Criteria'!$F$35+H29*'Selection Criteria'!$F$36)/(5*'Selection Criteria'!$F$37)*100+D29/1000</f>
        <v>86.004999999999995</v>
      </c>
      <c r="J29" s="6">
        <f t="shared" si="0"/>
        <v>1</v>
      </c>
      <c r="K29" s="10" t="str">
        <f t="shared" si="1"/>
        <v>Primary</v>
      </c>
      <c r="L29" s="10" t="str">
        <f t="shared" si="2"/>
        <v>P09|Primary</v>
      </c>
    </row>
    <row r="30" spans="1:12" ht="26.4" x14ac:dyDescent="0.3">
      <c r="A30" s="10" t="s">
        <v>795</v>
      </c>
      <c r="B30" s="10" t="s">
        <v>46</v>
      </c>
      <c r="C30" s="10" t="s">
        <v>1122</v>
      </c>
      <c r="D30" s="18">
        <v>5</v>
      </c>
      <c r="E30" s="18">
        <v>4</v>
      </c>
      <c r="F30" s="18">
        <v>5</v>
      </c>
      <c r="G30" s="6">
        <v>2</v>
      </c>
      <c r="H30" s="6">
        <v>2</v>
      </c>
      <c r="I30" s="8">
        <f>(D30*'Selection Criteria'!$F$32+E30*'Selection Criteria'!$F$33+F30*'Selection Criteria'!$F$34+G30*'Selection Criteria'!$F$35+H30*'Selection Criteria'!$F$36)/(5*'Selection Criteria'!$F$37)*100+D30/1000</f>
        <v>77.004999999999995</v>
      </c>
      <c r="J30" s="6">
        <f t="shared" si="0"/>
        <v>2</v>
      </c>
      <c r="K30" s="10" t="str">
        <f t="shared" si="1"/>
        <v>Secondary</v>
      </c>
      <c r="L30" s="10" t="str">
        <f t="shared" si="2"/>
        <v>P09|Secondary</v>
      </c>
    </row>
    <row r="31" spans="1:12" ht="26.4" x14ac:dyDescent="0.3">
      <c r="A31" s="10" t="s">
        <v>795</v>
      </c>
      <c r="B31" s="10" t="s">
        <v>46</v>
      </c>
      <c r="C31" s="10" t="s">
        <v>160</v>
      </c>
      <c r="D31" s="18">
        <v>3</v>
      </c>
      <c r="E31" s="18">
        <v>4</v>
      </c>
      <c r="F31" s="18">
        <v>4</v>
      </c>
      <c r="G31" s="6">
        <v>3</v>
      </c>
      <c r="H31" s="6">
        <v>3</v>
      </c>
      <c r="I31" s="8">
        <f>(D31*'Selection Criteria'!$F$32+E31*'Selection Criteria'!$F$33+F31*'Selection Criteria'!$F$34+G31*'Selection Criteria'!$F$35+H31*'Selection Criteria'!$F$36)/(5*'Selection Criteria'!$F$37)*100+D31/1000</f>
        <v>68.003</v>
      </c>
      <c r="J31" s="6">
        <f t="shared" si="0"/>
        <v>3</v>
      </c>
      <c r="K31" s="10" t="str">
        <f t="shared" si="1"/>
        <v>Alternate / style reference</v>
      </c>
      <c r="L31" s="10" t="str">
        <f t="shared" si="2"/>
        <v>P09|Alternate / style reference</v>
      </c>
    </row>
    <row r="32" spans="1:12" ht="26.4" x14ac:dyDescent="0.3">
      <c r="A32" s="10" t="s">
        <v>795</v>
      </c>
      <c r="B32" s="10" t="s">
        <v>46</v>
      </c>
      <c r="C32" s="10" t="s">
        <v>1118</v>
      </c>
      <c r="D32" s="18">
        <v>2</v>
      </c>
      <c r="E32" s="18">
        <v>5</v>
      </c>
      <c r="F32" s="18">
        <v>4</v>
      </c>
      <c r="G32" s="6">
        <v>3</v>
      </c>
      <c r="H32" s="6">
        <v>3</v>
      </c>
      <c r="I32" s="8">
        <f>(D32*'Selection Criteria'!$F$32+E32*'Selection Criteria'!$F$33+F32*'Selection Criteria'!$F$34+G32*'Selection Criteria'!$F$35+H32*'Selection Criteria'!$F$36)/(5*'Selection Criteria'!$F$37)*100+D32/1000</f>
        <v>67.001999999999995</v>
      </c>
      <c r="J32" s="6">
        <f t="shared" si="0"/>
        <v>4</v>
      </c>
      <c r="K32" s="10" t="str">
        <f t="shared" si="1"/>
        <v>Alternate / style reference</v>
      </c>
      <c r="L32" s="10" t="str">
        <f t="shared" si="2"/>
        <v>P09|Alternate / style reference</v>
      </c>
    </row>
    <row r="33" spans="1:12" x14ac:dyDescent="0.3">
      <c r="A33" s="10" t="s">
        <v>234</v>
      </c>
      <c r="B33" s="10" t="s">
        <v>40</v>
      </c>
      <c r="C33" s="10" t="s">
        <v>138</v>
      </c>
      <c r="D33" s="18">
        <v>5</v>
      </c>
      <c r="E33" s="18">
        <v>4</v>
      </c>
      <c r="F33" s="18">
        <v>4</v>
      </c>
      <c r="G33" s="6">
        <v>5</v>
      </c>
      <c r="H33" s="6">
        <v>3</v>
      </c>
      <c r="I33" s="8">
        <f>(D33*'Selection Criteria'!$F$32+E33*'Selection Criteria'!$F$33+F33*'Selection Criteria'!$F$34+G33*'Selection Criteria'!$F$35+H33*'Selection Criteria'!$F$36)/(5*'Selection Criteria'!$F$37)*100+D33/1000</f>
        <v>86.004999999999995</v>
      </c>
      <c r="J33" s="6">
        <f t="shared" si="0"/>
        <v>1</v>
      </c>
      <c r="K33" s="10" t="str">
        <f t="shared" si="1"/>
        <v>Primary</v>
      </c>
      <c r="L33" s="10" t="str">
        <f t="shared" si="2"/>
        <v>P07|Primary</v>
      </c>
    </row>
    <row r="34" spans="1:12" x14ac:dyDescent="0.3">
      <c r="A34" s="10" t="s">
        <v>234</v>
      </c>
      <c r="B34" s="10" t="s">
        <v>40</v>
      </c>
      <c r="C34" s="10" t="s">
        <v>1118</v>
      </c>
      <c r="D34" s="18">
        <v>4</v>
      </c>
      <c r="E34" s="18">
        <v>5</v>
      </c>
      <c r="F34" s="18">
        <v>5</v>
      </c>
      <c r="G34" s="6">
        <v>3</v>
      </c>
      <c r="H34" s="6">
        <v>3</v>
      </c>
      <c r="I34" s="8">
        <f>(D34*'Selection Criteria'!$F$32+E34*'Selection Criteria'!$F$33+F34*'Selection Criteria'!$F$34+G34*'Selection Criteria'!$F$35+H34*'Selection Criteria'!$F$36)/(5*'Selection Criteria'!$F$37)*100+D34/1000</f>
        <v>82.004000000000005</v>
      </c>
      <c r="J34" s="6">
        <f t="shared" si="0"/>
        <v>2</v>
      </c>
      <c r="K34" s="10" t="str">
        <f t="shared" si="1"/>
        <v>Secondary</v>
      </c>
      <c r="L34" s="10" t="str">
        <f t="shared" si="2"/>
        <v>P07|Secondary</v>
      </c>
    </row>
    <row r="35" spans="1:12" ht="26.4" x14ac:dyDescent="0.3">
      <c r="A35" s="10" t="s">
        <v>234</v>
      </c>
      <c r="B35" s="10" t="s">
        <v>40</v>
      </c>
      <c r="C35" s="10" t="s">
        <v>1120</v>
      </c>
      <c r="D35" s="18">
        <v>4</v>
      </c>
      <c r="E35" s="18">
        <v>4</v>
      </c>
      <c r="F35" s="18">
        <v>3</v>
      </c>
      <c r="G35" s="6">
        <v>4</v>
      </c>
      <c r="H35" s="6">
        <v>2</v>
      </c>
      <c r="I35" s="8">
        <f>(D35*'Selection Criteria'!$F$32+E35*'Selection Criteria'!$F$33+F35*'Selection Criteria'!$F$34+G35*'Selection Criteria'!$F$35+H35*'Selection Criteria'!$F$36)/(5*'Selection Criteria'!$F$37)*100+D35/1000</f>
        <v>71.004000000000005</v>
      </c>
      <c r="J35" s="6">
        <f t="shared" si="0"/>
        <v>3</v>
      </c>
      <c r="K35" s="10" t="str">
        <f t="shared" si="1"/>
        <v>Alternate / style reference</v>
      </c>
      <c r="L35" s="10" t="str">
        <f t="shared" si="2"/>
        <v>P07|Alternate / style reference</v>
      </c>
    </row>
    <row r="36" spans="1:12" ht="26.4" x14ac:dyDescent="0.3">
      <c r="A36" s="10" t="s">
        <v>234</v>
      </c>
      <c r="B36" s="10" t="s">
        <v>40</v>
      </c>
      <c r="C36" s="10" t="s">
        <v>146</v>
      </c>
      <c r="D36" s="18">
        <v>3</v>
      </c>
      <c r="E36" s="18">
        <v>4</v>
      </c>
      <c r="F36" s="18">
        <v>2</v>
      </c>
      <c r="G36" s="6">
        <v>4</v>
      </c>
      <c r="H36" s="6">
        <v>2</v>
      </c>
      <c r="I36" s="8">
        <f>(D36*'Selection Criteria'!$F$32+E36*'Selection Criteria'!$F$33+F36*'Selection Criteria'!$F$34+G36*'Selection Criteria'!$F$35+H36*'Selection Criteria'!$F$36)/(5*'Selection Criteria'!$F$37)*100+D36/1000</f>
        <v>62.003</v>
      </c>
      <c r="J36" s="6">
        <f t="shared" si="0"/>
        <v>4</v>
      </c>
      <c r="K36" s="10" t="str">
        <f t="shared" si="1"/>
        <v>Alternate / style reference</v>
      </c>
      <c r="L36" s="10" t="str">
        <f t="shared" si="2"/>
        <v>P07|Alternate / style reference</v>
      </c>
    </row>
    <row r="37" spans="1:12" x14ac:dyDescent="0.3">
      <c r="A37" s="10" t="s">
        <v>801</v>
      </c>
      <c r="B37" s="10" t="s">
        <v>49</v>
      </c>
      <c r="C37" s="10" t="s">
        <v>110</v>
      </c>
      <c r="D37" s="18">
        <v>5</v>
      </c>
      <c r="E37" s="18">
        <v>5</v>
      </c>
      <c r="F37" s="18">
        <v>4</v>
      </c>
      <c r="G37" s="6">
        <v>3</v>
      </c>
      <c r="H37" s="6">
        <v>4</v>
      </c>
      <c r="I37" s="8">
        <f>(D37*'Selection Criteria'!$F$32+E37*'Selection Criteria'!$F$33+F37*'Selection Criteria'!$F$34+G37*'Selection Criteria'!$F$35+H37*'Selection Criteria'!$F$36)/(5*'Selection Criteria'!$F$37)*100+D37/1000</f>
        <v>88.004999999999995</v>
      </c>
      <c r="J37" s="6">
        <f t="shared" ref="J37:J68" si="3">COUNTIFS($A$5:$A$103,A37,$I$5:$I$103,"&gt;"&amp;I37)+1</f>
        <v>1</v>
      </c>
      <c r="K37" s="10" t="str">
        <f t="shared" ref="K37:K68" si="4">IF(J37=1,"Primary",IF(J37=2,"Secondary","Alternate / style reference"))</f>
        <v>Primary</v>
      </c>
      <c r="L37" s="10" t="str">
        <f t="shared" ref="L37:L68" si="5">A37&amp;"|"&amp;K37</f>
        <v>P10|Primary</v>
      </c>
    </row>
    <row r="38" spans="1:12" x14ac:dyDescent="0.3">
      <c r="A38" s="10" t="s">
        <v>801</v>
      </c>
      <c r="B38" s="10" t="s">
        <v>49</v>
      </c>
      <c r="C38" s="10" t="s">
        <v>1118</v>
      </c>
      <c r="D38" s="18">
        <v>4</v>
      </c>
      <c r="E38" s="18">
        <v>5</v>
      </c>
      <c r="F38" s="18">
        <v>5</v>
      </c>
      <c r="G38" s="6">
        <v>3</v>
      </c>
      <c r="H38" s="6">
        <v>3</v>
      </c>
      <c r="I38" s="8">
        <f>(D38*'Selection Criteria'!$F$32+E38*'Selection Criteria'!$F$33+F38*'Selection Criteria'!$F$34+G38*'Selection Criteria'!$F$35+H38*'Selection Criteria'!$F$36)/(5*'Selection Criteria'!$F$37)*100+D38/1000</f>
        <v>82.004000000000005</v>
      </c>
      <c r="J38" s="6">
        <f t="shared" si="3"/>
        <v>2</v>
      </c>
      <c r="K38" s="10" t="str">
        <f t="shared" si="4"/>
        <v>Secondary</v>
      </c>
      <c r="L38" s="10" t="str">
        <f t="shared" si="5"/>
        <v>P10|Secondary</v>
      </c>
    </row>
    <row r="39" spans="1:12" ht="26.4" x14ac:dyDescent="0.3">
      <c r="A39" s="10" t="s">
        <v>801</v>
      </c>
      <c r="B39" s="10" t="s">
        <v>49</v>
      </c>
      <c r="C39" s="10" t="s">
        <v>1121</v>
      </c>
      <c r="D39" s="18">
        <v>4</v>
      </c>
      <c r="E39" s="18">
        <v>5</v>
      </c>
      <c r="F39" s="18">
        <v>4</v>
      </c>
      <c r="G39" s="6">
        <v>2</v>
      </c>
      <c r="H39" s="6">
        <v>2</v>
      </c>
      <c r="I39" s="8">
        <f>(D39*'Selection Criteria'!$F$32+E39*'Selection Criteria'!$F$33+F39*'Selection Criteria'!$F$34+G39*'Selection Criteria'!$F$35+H39*'Selection Criteria'!$F$36)/(5*'Selection Criteria'!$F$37)*100+D39/1000</f>
        <v>73.004000000000005</v>
      </c>
      <c r="J39" s="6">
        <f t="shared" si="3"/>
        <v>3</v>
      </c>
      <c r="K39" s="10" t="str">
        <f t="shared" si="4"/>
        <v>Alternate / style reference</v>
      </c>
      <c r="L39" s="10" t="str">
        <f t="shared" si="5"/>
        <v>P10|Alternate / style reference</v>
      </c>
    </row>
    <row r="40" spans="1:12" ht="26.4" x14ac:dyDescent="0.3">
      <c r="A40" s="10" t="s">
        <v>238</v>
      </c>
      <c r="B40" s="10" t="s">
        <v>239</v>
      </c>
      <c r="C40" s="10" t="s">
        <v>138</v>
      </c>
      <c r="D40" s="18">
        <v>5</v>
      </c>
      <c r="E40" s="18">
        <v>4</v>
      </c>
      <c r="F40" s="18">
        <v>4</v>
      </c>
      <c r="G40" s="6">
        <v>5</v>
      </c>
      <c r="H40" s="6">
        <v>3</v>
      </c>
      <c r="I40" s="8">
        <f>(D40*'Selection Criteria'!$F$32+E40*'Selection Criteria'!$F$33+F40*'Selection Criteria'!$F$34+G40*'Selection Criteria'!$F$35+H40*'Selection Criteria'!$F$36)/(5*'Selection Criteria'!$F$37)*100+D40/1000</f>
        <v>86.004999999999995</v>
      </c>
      <c r="J40" s="6">
        <f t="shared" si="3"/>
        <v>1</v>
      </c>
      <c r="K40" s="10" t="str">
        <f t="shared" si="4"/>
        <v>Primary</v>
      </c>
      <c r="L40" s="10" t="str">
        <f t="shared" si="5"/>
        <v>P11|Primary</v>
      </c>
    </row>
    <row r="41" spans="1:12" ht="26.4" x14ac:dyDescent="0.3">
      <c r="A41" s="10" t="s">
        <v>238</v>
      </c>
      <c r="B41" s="10" t="s">
        <v>239</v>
      </c>
      <c r="C41" s="10" t="s">
        <v>1118</v>
      </c>
      <c r="D41" s="18">
        <v>3</v>
      </c>
      <c r="E41" s="18">
        <v>4</v>
      </c>
      <c r="F41" s="18">
        <v>5</v>
      </c>
      <c r="G41" s="6">
        <v>3</v>
      </c>
      <c r="H41" s="6">
        <v>3</v>
      </c>
      <c r="I41" s="8">
        <f>(D41*'Selection Criteria'!$F$32+E41*'Selection Criteria'!$F$33+F41*'Selection Criteria'!$F$34+G41*'Selection Criteria'!$F$35+H41*'Selection Criteria'!$F$36)/(5*'Selection Criteria'!$F$37)*100+D41/1000</f>
        <v>71.003</v>
      </c>
      <c r="J41" s="6">
        <f t="shared" si="3"/>
        <v>2</v>
      </c>
      <c r="K41" s="10" t="str">
        <f t="shared" si="4"/>
        <v>Secondary</v>
      </c>
      <c r="L41" s="10" t="str">
        <f t="shared" si="5"/>
        <v>P11|Secondary</v>
      </c>
    </row>
    <row r="42" spans="1:12" ht="26.4" x14ac:dyDescent="0.3">
      <c r="A42" s="10" t="s">
        <v>238</v>
      </c>
      <c r="B42" s="10" t="s">
        <v>239</v>
      </c>
      <c r="C42" s="10" t="s">
        <v>1123</v>
      </c>
      <c r="D42" s="18">
        <v>3</v>
      </c>
      <c r="E42" s="18">
        <v>3</v>
      </c>
      <c r="F42" s="18">
        <v>4</v>
      </c>
      <c r="G42" s="6">
        <v>3</v>
      </c>
      <c r="H42" s="6">
        <v>4</v>
      </c>
      <c r="I42" s="8">
        <f>(D42*'Selection Criteria'!$F$32+E42*'Selection Criteria'!$F$33+F42*'Selection Criteria'!$F$34+G42*'Selection Criteria'!$F$35+H42*'Selection Criteria'!$F$36)/(5*'Selection Criteria'!$F$37)*100+D42/1000</f>
        <v>66.003</v>
      </c>
      <c r="J42" s="6">
        <f t="shared" si="3"/>
        <v>3</v>
      </c>
      <c r="K42" s="10" t="str">
        <f t="shared" si="4"/>
        <v>Alternate / style reference</v>
      </c>
      <c r="L42" s="10" t="str">
        <f t="shared" si="5"/>
        <v>P11|Alternate / style reference</v>
      </c>
    </row>
    <row r="43" spans="1:12" ht="26.4" x14ac:dyDescent="0.3">
      <c r="A43" s="10" t="s">
        <v>241</v>
      </c>
      <c r="B43" s="10" t="s">
        <v>242</v>
      </c>
      <c r="C43" s="10" t="s">
        <v>138</v>
      </c>
      <c r="D43" s="18">
        <v>5</v>
      </c>
      <c r="E43" s="18">
        <v>4</v>
      </c>
      <c r="F43" s="18">
        <v>4</v>
      </c>
      <c r="G43" s="6">
        <v>5</v>
      </c>
      <c r="H43" s="6">
        <v>3</v>
      </c>
      <c r="I43" s="8">
        <f>(D43*'Selection Criteria'!$F$32+E43*'Selection Criteria'!$F$33+F43*'Selection Criteria'!$F$34+G43*'Selection Criteria'!$F$35+H43*'Selection Criteria'!$F$36)/(5*'Selection Criteria'!$F$37)*100+D43/1000</f>
        <v>86.004999999999995</v>
      </c>
      <c r="J43" s="6">
        <f t="shared" si="3"/>
        <v>1</v>
      </c>
      <c r="K43" s="10" t="str">
        <f t="shared" si="4"/>
        <v>Primary</v>
      </c>
      <c r="L43" s="10" t="str">
        <f t="shared" si="5"/>
        <v>P12|Primary</v>
      </c>
    </row>
    <row r="44" spans="1:12" ht="26.4" x14ac:dyDescent="0.3">
      <c r="A44" s="10" t="s">
        <v>241</v>
      </c>
      <c r="B44" s="10" t="s">
        <v>242</v>
      </c>
      <c r="C44" s="10" t="s">
        <v>1118</v>
      </c>
      <c r="D44" s="18">
        <v>3</v>
      </c>
      <c r="E44" s="18">
        <v>4</v>
      </c>
      <c r="F44" s="18">
        <v>4</v>
      </c>
      <c r="G44" s="6">
        <v>3</v>
      </c>
      <c r="H44" s="6">
        <v>3</v>
      </c>
      <c r="I44" s="8">
        <f>(D44*'Selection Criteria'!$F$32+E44*'Selection Criteria'!$F$33+F44*'Selection Criteria'!$F$34+G44*'Selection Criteria'!$F$35+H44*'Selection Criteria'!$F$36)/(5*'Selection Criteria'!$F$37)*100+D44/1000</f>
        <v>68.003</v>
      </c>
      <c r="J44" s="6">
        <f t="shared" si="3"/>
        <v>2</v>
      </c>
      <c r="K44" s="10" t="str">
        <f t="shared" si="4"/>
        <v>Secondary</v>
      </c>
      <c r="L44" s="10" t="str">
        <f t="shared" si="5"/>
        <v>P12|Secondary</v>
      </c>
    </row>
    <row r="45" spans="1:12" x14ac:dyDescent="0.3">
      <c r="A45" s="10" t="s">
        <v>210</v>
      </c>
      <c r="B45" s="10" t="s">
        <v>211</v>
      </c>
      <c r="C45" s="10" t="s">
        <v>110</v>
      </c>
      <c r="D45" s="18">
        <v>5</v>
      </c>
      <c r="E45" s="18">
        <v>5</v>
      </c>
      <c r="F45" s="18">
        <v>5</v>
      </c>
      <c r="G45" s="6">
        <v>3</v>
      </c>
      <c r="H45" s="6">
        <v>4</v>
      </c>
      <c r="I45" s="8">
        <f>(D45*'Selection Criteria'!$F$32+E45*'Selection Criteria'!$F$33+F45*'Selection Criteria'!$F$34+G45*'Selection Criteria'!$F$35+H45*'Selection Criteria'!$F$36)/(5*'Selection Criteria'!$F$37)*100+D45/1000</f>
        <v>91.004999999999995</v>
      </c>
      <c r="J45" s="6">
        <f t="shared" si="3"/>
        <v>1</v>
      </c>
      <c r="K45" s="10" t="str">
        <f t="shared" si="4"/>
        <v>Primary</v>
      </c>
      <c r="L45" s="10" t="str">
        <f t="shared" si="5"/>
        <v>P13|Primary</v>
      </c>
    </row>
    <row r="46" spans="1:12" x14ac:dyDescent="0.3">
      <c r="A46" s="10" t="s">
        <v>210</v>
      </c>
      <c r="B46" s="10" t="s">
        <v>211</v>
      </c>
      <c r="C46" s="10" t="s">
        <v>138</v>
      </c>
      <c r="D46" s="18">
        <v>5</v>
      </c>
      <c r="E46" s="18">
        <v>3</v>
      </c>
      <c r="F46" s="18">
        <v>4</v>
      </c>
      <c r="G46" s="6">
        <v>5</v>
      </c>
      <c r="H46" s="6">
        <v>3</v>
      </c>
      <c r="I46" s="8">
        <f>(D46*'Selection Criteria'!$F$32+E46*'Selection Criteria'!$F$33+F46*'Selection Criteria'!$F$34+G46*'Selection Criteria'!$F$35+H46*'Selection Criteria'!$F$36)/(5*'Selection Criteria'!$F$37)*100+D46/1000</f>
        <v>81.004999999999995</v>
      </c>
      <c r="J46" s="6">
        <f t="shared" si="3"/>
        <v>2</v>
      </c>
      <c r="K46" s="10" t="str">
        <f t="shared" si="4"/>
        <v>Secondary</v>
      </c>
      <c r="L46" s="10" t="str">
        <f t="shared" si="5"/>
        <v>P13|Secondary</v>
      </c>
    </row>
    <row r="47" spans="1:12" x14ac:dyDescent="0.3">
      <c r="A47" s="10" t="s">
        <v>276</v>
      </c>
      <c r="B47" s="10" t="s">
        <v>277</v>
      </c>
      <c r="C47" s="10" t="s">
        <v>138</v>
      </c>
      <c r="D47" s="18">
        <v>5</v>
      </c>
      <c r="E47" s="18">
        <v>4</v>
      </c>
      <c r="F47" s="18">
        <v>4</v>
      </c>
      <c r="G47" s="6">
        <v>5</v>
      </c>
      <c r="H47" s="6">
        <v>3</v>
      </c>
      <c r="I47" s="8">
        <f>(D47*'Selection Criteria'!$F$32+E47*'Selection Criteria'!$F$33+F47*'Selection Criteria'!$F$34+G47*'Selection Criteria'!$F$35+H47*'Selection Criteria'!$F$36)/(5*'Selection Criteria'!$F$37)*100+D47/1000</f>
        <v>86.004999999999995</v>
      </c>
      <c r="J47" s="6">
        <f t="shared" si="3"/>
        <v>1</v>
      </c>
      <c r="K47" s="10" t="str">
        <f t="shared" si="4"/>
        <v>Primary</v>
      </c>
      <c r="L47" s="10" t="str">
        <f t="shared" si="5"/>
        <v>P14|Primary</v>
      </c>
    </row>
    <row r="48" spans="1:12" x14ac:dyDescent="0.3">
      <c r="A48" s="10" t="s">
        <v>276</v>
      </c>
      <c r="B48" s="10" t="s">
        <v>277</v>
      </c>
      <c r="C48" s="10" t="s">
        <v>160</v>
      </c>
      <c r="D48" s="18">
        <v>4</v>
      </c>
      <c r="E48" s="18">
        <v>5</v>
      </c>
      <c r="F48" s="18">
        <v>4</v>
      </c>
      <c r="G48" s="6">
        <v>3</v>
      </c>
      <c r="H48" s="6">
        <v>3</v>
      </c>
      <c r="I48" s="8">
        <f>(D48*'Selection Criteria'!$F$32+E48*'Selection Criteria'!$F$33+F48*'Selection Criteria'!$F$34+G48*'Selection Criteria'!$F$35+H48*'Selection Criteria'!$F$36)/(5*'Selection Criteria'!$F$37)*100+D48/1000</f>
        <v>79.004000000000005</v>
      </c>
      <c r="J48" s="6">
        <f t="shared" si="3"/>
        <v>2</v>
      </c>
      <c r="K48" s="10" t="str">
        <f t="shared" si="4"/>
        <v>Secondary</v>
      </c>
      <c r="L48" s="10" t="str">
        <f t="shared" si="5"/>
        <v>P14|Secondary</v>
      </c>
    </row>
    <row r="49" spans="1:12" ht="26.4" x14ac:dyDescent="0.3">
      <c r="A49" s="10" t="s">
        <v>276</v>
      </c>
      <c r="B49" s="10" t="s">
        <v>277</v>
      </c>
      <c r="C49" s="10" t="s">
        <v>1119</v>
      </c>
      <c r="D49" s="18">
        <v>4</v>
      </c>
      <c r="E49" s="18">
        <v>5</v>
      </c>
      <c r="F49" s="18">
        <v>3</v>
      </c>
      <c r="G49" s="6">
        <v>3</v>
      </c>
      <c r="H49" s="6">
        <v>2</v>
      </c>
      <c r="I49" s="8">
        <f>(D49*'Selection Criteria'!$F$32+E49*'Selection Criteria'!$F$33+F49*'Selection Criteria'!$F$34+G49*'Selection Criteria'!$F$35+H49*'Selection Criteria'!$F$36)/(5*'Selection Criteria'!$F$37)*100+D49/1000</f>
        <v>73.004000000000005</v>
      </c>
      <c r="J49" s="6">
        <f t="shared" si="3"/>
        <v>3</v>
      </c>
      <c r="K49" s="10" t="str">
        <f t="shared" si="4"/>
        <v>Alternate / style reference</v>
      </c>
      <c r="L49" s="10" t="str">
        <f t="shared" si="5"/>
        <v>P14|Alternate / style reference</v>
      </c>
    </row>
    <row r="50" spans="1:12" ht="26.4" x14ac:dyDescent="0.3">
      <c r="A50" s="10" t="s">
        <v>276</v>
      </c>
      <c r="B50" s="10" t="s">
        <v>277</v>
      </c>
      <c r="C50" s="10" t="s">
        <v>1118</v>
      </c>
      <c r="D50" s="18">
        <v>3</v>
      </c>
      <c r="E50" s="18">
        <v>5</v>
      </c>
      <c r="F50" s="18">
        <v>4</v>
      </c>
      <c r="G50" s="6">
        <v>3</v>
      </c>
      <c r="H50" s="6">
        <v>3</v>
      </c>
      <c r="I50" s="8">
        <f>(D50*'Selection Criteria'!$F$32+E50*'Selection Criteria'!$F$33+F50*'Selection Criteria'!$F$34+G50*'Selection Criteria'!$F$35+H50*'Selection Criteria'!$F$36)/(5*'Selection Criteria'!$F$37)*100+D50/1000</f>
        <v>73.003</v>
      </c>
      <c r="J50" s="6">
        <f t="shared" si="3"/>
        <v>4</v>
      </c>
      <c r="K50" s="10" t="str">
        <f t="shared" si="4"/>
        <v>Alternate / style reference</v>
      </c>
      <c r="L50" s="10" t="str">
        <f t="shared" si="5"/>
        <v>P14|Alternate / style reference</v>
      </c>
    </row>
    <row r="51" spans="1:12" x14ac:dyDescent="0.3">
      <c r="A51" s="10" t="s">
        <v>815</v>
      </c>
      <c r="B51" s="10" t="s">
        <v>389</v>
      </c>
      <c r="C51" s="10" t="s">
        <v>110</v>
      </c>
      <c r="D51" s="18">
        <v>5</v>
      </c>
      <c r="E51" s="18">
        <v>5</v>
      </c>
      <c r="F51" s="18">
        <v>4</v>
      </c>
      <c r="G51" s="6">
        <v>3</v>
      </c>
      <c r="H51" s="6">
        <v>4</v>
      </c>
      <c r="I51" s="8">
        <f>(D51*'Selection Criteria'!$F$32+E51*'Selection Criteria'!$F$33+F51*'Selection Criteria'!$F$34+G51*'Selection Criteria'!$F$35+H51*'Selection Criteria'!$F$36)/(5*'Selection Criteria'!$F$37)*100+D51/1000</f>
        <v>88.004999999999995</v>
      </c>
      <c r="J51" s="6">
        <f t="shared" si="3"/>
        <v>1</v>
      </c>
      <c r="K51" s="10" t="str">
        <f t="shared" si="4"/>
        <v>Primary</v>
      </c>
      <c r="L51" s="10" t="str">
        <f t="shared" si="5"/>
        <v>P15|Primary</v>
      </c>
    </row>
    <row r="52" spans="1:12" x14ac:dyDescent="0.3">
      <c r="A52" s="10" t="s">
        <v>815</v>
      </c>
      <c r="B52" s="10" t="s">
        <v>389</v>
      </c>
      <c r="C52" s="10" t="s">
        <v>160</v>
      </c>
      <c r="D52" s="18">
        <v>5</v>
      </c>
      <c r="E52" s="18">
        <v>4</v>
      </c>
      <c r="F52" s="18">
        <v>3</v>
      </c>
      <c r="G52" s="6">
        <v>3</v>
      </c>
      <c r="H52" s="6">
        <v>3</v>
      </c>
      <c r="I52" s="8">
        <f>(D52*'Selection Criteria'!$F$32+E52*'Selection Criteria'!$F$33+F52*'Selection Criteria'!$F$34+G52*'Selection Criteria'!$F$35+H52*'Selection Criteria'!$F$36)/(5*'Selection Criteria'!$F$37)*100+D52/1000</f>
        <v>77.004999999999995</v>
      </c>
      <c r="J52" s="6">
        <f t="shared" si="3"/>
        <v>2</v>
      </c>
      <c r="K52" s="10" t="str">
        <f t="shared" si="4"/>
        <v>Secondary</v>
      </c>
      <c r="L52" s="10" t="str">
        <f t="shared" si="5"/>
        <v>P15|Secondary</v>
      </c>
    </row>
    <row r="53" spans="1:12" ht="26.4" x14ac:dyDescent="0.3">
      <c r="A53" s="10" t="s">
        <v>815</v>
      </c>
      <c r="B53" s="10" t="s">
        <v>389</v>
      </c>
      <c r="C53" s="10" t="s">
        <v>1118</v>
      </c>
      <c r="D53" s="18">
        <v>3</v>
      </c>
      <c r="E53" s="18">
        <v>5</v>
      </c>
      <c r="F53" s="18">
        <v>4</v>
      </c>
      <c r="G53" s="6">
        <v>3</v>
      </c>
      <c r="H53" s="6">
        <v>3</v>
      </c>
      <c r="I53" s="8">
        <f>(D53*'Selection Criteria'!$F$32+E53*'Selection Criteria'!$F$33+F53*'Selection Criteria'!$F$34+G53*'Selection Criteria'!$F$35+H53*'Selection Criteria'!$F$36)/(5*'Selection Criteria'!$F$37)*100+D53/1000</f>
        <v>73.003</v>
      </c>
      <c r="J53" s="6">
        <f t="shared" si="3"/>
        <v>3</v>
      </c>
      <c r="K53" s="10" t="str">
        <f t="shared" si="4"/>
        <v>Alternate / style reference</v>
      </c>
      <c r="L53" s="10" t="str">
        <f t="shared" si="5"/>
        <v>P15|Alternate / style reference</v>
      </c>
    </row>
    <row r="54" spans="1:12" x14ac:dyDescent="0.3">
      <c r="A54" s="10" t="s">
        <v>279</v>
      </c>
      <c r="B54" s="10" t="s">
        <v>280</v>
      </c>
      <c r="C54" s="10" t="s">
        <v>160</v>
      </c>
      <c r="D54" s="18">
        <v>5</v>
      </c>
      <c r="E54" s="18">
        <v>5</v>
      </c>
      <c r="F54" s="18">
        <v>4</v>
      </c>
      <c r="G54" s="6">
        <v>3</v>
      </c>
      <c r="H54" s="6">
        <v>3</v>
      </c>
      <c r="I54" s="8">
        <f>(D54*'Selection Criteria'!$F$32+E54*'Selection Criteria'!$F$33+F54*'Selection Criteria'!$F$34+G54*'Selection Criteria'!$F$35+H54*'Selection Criteria'!$F$36)/(5*'Selection Criteria'!$F$37)*100+D54/1000</f>
        <v>85.004999999999995</v>
      </c>
      <c r="J54" s="6">
        <f t="shared" si="3"/>
        <v>1</v>
      </c>
      <c r="K54" s="10" t="str">
        <f t="shared" si="4"/>
        <v>Primary</v>
      </c>
      <c r="L54" s="10" t="str">
        <f t="shared" si="5"/>
        <v>P17|Primary</v>
      </c>
    </row>
    <row r="55" spans="1:12" x14ac:dyDescent="0.3">
      <c r="A55" s="10" t="s">
        <v>279</v>
      </c>
      <c r="B55" s="10" t="s">
        <v>280</v>
      </c>
      <c r="C55" s="10" t="s">
        <v>138</v>
      </c>
      <c r="D55" s="18">
        <v>5</v>
      </c>
      <c r="E55" s="18">
        <v>4</v>
      </c>
      <c r="F55" s="18">
        <v>3</v>
      </c>
      <c r="G55" s="6">
        <v>5</v>
      </c>
      <c r="H55" s="6">
        <v>3</v>
      </c>
      <c r="I55" s="8">
        <f>(D55*'Selection Criteria'!$F$32+E55*'Selection Criteria'!$F$33+F55*'Selection Criteria'!$F$34+G55*'Selection Criteria'!$F$35+H55*'Selection Criteria'!$F$36)/(5*'Selection Criteria'!$F$37)*100+D55/1000</f>
        <v>83.004999999999995</v>
      </c>
      <c r="J55" s="6">
        <f t="shared" si="3"/>
        <v>2</v>
      </c>
      <c r="K55" s="10" t="str">
        <f t="shared" si="4"/>
        <v>Secondary</v>
      </c>
      <c r="L55" s="10" t="str">
        <f t="shared" si="5"/>
        <v>P17|Secondary</v>
      </c>
    </row>
    <row r="56" spans="1:12" ht="26.4" x14ac:dyDescent="0.3">
      <c r="A56" s="10" t="s">
        <v>828</v>
      </c>
      <c r="B56" s="10" t="s">
        <v>412</v>
      </c>
      <c r="C56" s="10" t="s">
        <v>138</v>
      </c>
      <c r="D56" s="18">
        <v>5</v>
      </c>
      <c r="E56" s="18">
        <v>4</v>
      </c>
      <c r="F56" s="18">
        <v>4</v>
      </c>
      <c r="G56" s="6">
        <v>5</v>
      </c>
      <c r="H56" s="6">
        <v>3</v>
      </c>
      <c r="I56" s="8">
        <f>(D56*'Selection Criteria'!$F$32+E56*'Selection Criteria'!$F$33+F56*'Selection Criteria'!$F$34+G56*'Selection Criteria'!$F$35+H56*'Selection Criteria'!$F$36)/(5*'Selection Criteria'!$F$37)*100+D56/1000</f>
        <v>86.004999999999995</v>
      </c>
      <c r="J56" s="6">
        <f t="shared" si="3"/>
        <v>1</v>
      </c>
      <c r="K56" s="10" t="str">
        <f t="shared" si="4"/>
        <v>Primary</v>
      </c>
      <c r="L56" s="10" t="str">
        <f t="shared" si="5"/>
        <v>P18|Primary</v>
      </c>
    </row>
    <row r="57" spans="1:12" ht="26.4" x14ac:dyDescent="0.3">
      <c r="A57" s="10" t="s">
        <v>828</v>
      </c>
      <c r="B57" s="10" t="s">
        <v>412</v>
      </c>
      <c r="C57" s="10" t="s">
        <v>110</v>
      </c>
      <c r="D57" s="18">
        <v>3</v>
      </c>
      <c r="E57" s="18">
        <v>4</v>
      </c>
      <c r="F57" s="18">
        <v>3</v>
      </c>
      <c r="G57" s="6">
        <v>3</v>
      </c>
      <c r="H57" s="6">
        <v>4</v>
      </c>
      <c r="I57" s="8">
        <f>(D57*'Selection Criteria'!$F$32+E57*'Selection Criteria'!$F$33+F57*'Selection Criteria'!$F$34+G57*'Selection Criteria'!$F$35+H57*'Selection Criteria'!$F$36)/(5*'Selection Criteria'!$F$37)*100+D57/1000</f>
        <v>68.003</v>
      </c>
      <c r="J57" s="6">
        <f t="shared" si="3"/>
        <v>2</v>
      </c>
      <c r="K57" s="10" t="str">
        <f t="shared" si="4"/>
        <v>Secondary</v>
      </c>
      <c r="L57" s="10" t="str">
        <f t="shared" si="5"/>
        <v>P18|Secondary</v>
      </c>
    </row>
    <row r="58" spans="1:12" ht="26.4" x14ac:dyDescent="0.3">
      <c r="A58" s="10" t="s">
        <v>828</v>
      </c>
      <c r="B58" s="10" t="s">
        <v>412</v>
      </c>
      <c r="C58" s="10" t="s">
        <v>1123</v>
      </c>
      <c r="D58" s="18">
        <v>3</v>
      </c>
      <c r="E58" s="18">
        <v>3</v>
      </c>
      <c r="F58" s="18">
        <v>4</v>
      </c>
      <c r="G58" s="6">
        <v>3</v>
      </c>
      <c r="H58" s="6">
        <v>4</v>
      </c>
      <c r="I58" s="8">
        <f>(D58*'Selection Criteria'!$F$32+E58*'Selection Criteria'!$F$33+F58*'Selection Criteria'!$F$34+G58*'Selection Criteria'!$F$35+H58*'Selection Criteria'!$F$36)/(5*'Selection Criteria'!$F$37)*100+D58/1000</f>
        <v>66.003</v>
      </c>
      <c r="J58" s="6">
        <f t="shared" si="3"/>
        <v>3</v>
      </c>
      <c r="K58" s="10" t="str">
        <f t="shared" si="4"/>
        <v>Alternate / style reference</v>
      </c>
      <c r="L58" s="10" t="str">
        <f t="shared" si="5"/>
        <v>P18|Alternate / style reference</v>
      </c>
    </row>
    <row r="59" spans="1:12" ht="26.4" x14ac:dyDescent="0.3">
      <c r="A59" s="10" t="s">
        <v>282</v>
      </c>
      <c r="B59" s="10" t="s">
        <v>283</v>
      </c>
      <c r="C59" s="10" t="s">
        <v>160</v>
      </c>
      <c r="D59" s="18">
        <v>5</v>
      </c>
      <c r="E59" s="18">
        <v>5</v>
      </c>
      <c r="F59" s="18">
        <v>4</v>
      </c>
      <c r="G59" s="6">
        <v>3</v>
      </c>
      <c r="H59" s="6">
        <v>3</v>
      </c>
      <c r="I59" s="8">
        <f>(D59*'Selection Criteria'!$F$32+E59*'Selection Criteria'!$F$33+F59*'Selection Criteria'!$F$34+G59*'Selection Criteria'!$F$35+H59*'Selection Criteria'!$F$36)/(5*'Selection Criteria'!$F$37)*100+D59/1000</f>
        <v>85.004999999999995</v>
      </c>
      <c r="J59" s="6">
        <f t="shared" si="3"/>
        <v>1</v>
      </c>
      <c r="K59" s="10" t="str">
        <f t="shared" si="4"/>
        <v>Primary</v>
      </c>
      <c r="L59" s="10" t="str">
        <f t="shared" si="5"/>
        <v>P16|Primary</v>
      </c>
    </row>
    <row r="60" spans="1:12" ht="26.4" x14ac:dyDescent="0.3">
      <c r="A60" s="10" t="s">
        <v>282</v>
      </c>
      <c r="B60" s="10" t="s">
        <v>283</v>
      </c>
      <c r="C60" s="10" t="s">
        <v>138</v>
      </c>
      <c r="D60" s="18">
        <v>5</v>
      </c>
      <c r="E60" s="18">
        <v>4</v>
      </c>
      <c r="F60" s="18">
        <v>3</v>
      </c>
      <c r="G60" s="6">
        <v>5</v>
      </c>
      <c r="H60" s="6">
        <v>3</v>
      </c>
      <c r="I60" s="8">
        <f>(D60*'Selection Criteria'!$F$32+E60*'Selection Criteria'!$F$33+F60*'Selection Criteria'!$F$34+G60*'Selection Criteria'!$F$35+H60*'Selection Criteria'!$F$36)/(5*'Selection Criteria'!$F$37)*100+D60/1000</f>
        <v>83.004999999999995</v>
      </c>
      <c r="J60" s="6">
        <f t="shared" si="3"/>
        <v>2</v>
      </c>
      <c r="K60" s="10" t="str">
        <f t="shared" si="4"/>
        <v>Secondary</v>
      </c>
      <c r="L60" s="10" t="str">
        <f t="shared" si="5"/>
        <v>P16|Secondary</v>
      </c>
    </row>
    <row r="61" spans="1:12" ht="26.4" x14ac:dyDescent="0.3">
      <c r="A61" s="10" t="s">
        <v>282</v>
      </c>
      <c r="B61" s="10" t="s">
        <v>283</v>
      </c>
      <c r="C61" s="10" t="s">
        <v>1119</v>
      </c>
      <c r="D61" s="18">
        <v>4</v>
      </c>
      <c r="E61" s="18">
        <v>5</v>
      </c>
      <c r="F61" s="18">
        <v>3</v>
      </c>
      <c r="G61" s="6">
        <v>3</v>
      </c>
      <c r="H61" s="6">
        <v>2</v>
      </c>
      <c r="I61" s="8">
        <f>(D61*'Selection Criteria'!$F$32+E61*'Selection Criteria'!$F$33+F61*'Selection Criteria'!$F$34+G61*'Selection Criteria'!$F$35+H61*'Selection Criteria'!$F$36)/(5*'Selection Criteria'!$F$37)*100+D61/1000</f>
        <v>73.004000000000005</v>
      </c>
      <c r="J61" s="6">
        <f t="shared" si="3"/>
        <v>3</v>
      </c>
      <c r="K61" s="10" t="str">
        <f t="shared" si="4"/>
        <v>Alternate / style reference</v>
      </c>
      <c r="L61" s="10" t="str">
        <f t="shared" si="5"/>
        <v>P16|Alternate / style reference</v>
      </c>
    </row>
    <row r="62" spans="1:12" x14ac:dyDescent="0.3">
      <c r="A62" s="10" t="s">
        <v>254</v>
      </c>
      <c r="B62" s="10" t="s">
        <v>255</v>
      </c>
      <c r="C62" s="10" t="s">
        <v>138</v>
      </c>
      <c r="D62" s="18">
        <v>5</v>
      </c>
      <c r="E62" s="18">
        <v>4</v>
      </c>
      <c r="F62" s="18">
        <v>4</v>
      </c>
      <c r="G62" s="6">
        <v>5</v>
      </c>
      <c r="H62" s="6">
        <v>3</v>
      </c>
      <c r="I62" s="8">
        <f>(D62*'Selection Criteria'!$F$32+E62*'Selection Criteria'!$F$33+F62*'Selection Criteria'!$F$34+G62*'Selection Criteria'!$F$35+H62*'Selection Criteria'!$F$36)/(5*'Selection Criteria'!$F$37)*100+D62/1000</f>
        <v>86.004999999999995</v>
      </c>
      <c r="J62" s="6">
        <f t="shared" si="3"/>
        <v>1</v>
      </c>
      <c r="K62" s="10" t="str">
        <f t="shared" si="4"/>
        <v>Primary</v>
      </c>
      <c r="L62" s="10" t="str">
        <f t="shared" si="5"/>
        <v>P22|Primary</v>
      </c>
    </row>
    <row r="63" spans="1:12" x14ac:dyDescent="0.3">
      <c r="A63" s="10" t="s">
        <v>254</v>
      </c>
      <c r="B63" s="10" t="s">
        <v>255</v>
      </c>
      <c r="C63" s="10" t="s">
        <v>1124</v>
      </c>
      <c r="D63" s="18">
        <v>5</v>
      </c>
      <c r="E63" s="18">
        <v>3</v>
      </c>
      <c r="F63" s="18">
        <v>5</v>
      </c>
      <c r="G63" s="6">
        <v>2</v>
      </c>
      <c r="H63" s="6">
        <v>4</v>
      </c>
      <c r="I63" s="8">
        <f>(D63*'Selection Criteria'!$F$32+E63*'Selection Criteria'!$F$33+F63*'Selection Criteria'!$F$34+G63*'Selection Criteria'!$F$35+H63*'Selection Criteria'!$F$36)/(5*'Selection Criteria'!$F$37)*100+D63/1000</f>
        <v>78.004999999999995</v>
      </c>
      <c r="J63" s="6">
        <f t="shared" si="3"/>
        <v>2</v>
      </c>
      <c r="K63" s="10" t="str">
        <f t="shared" si="4"/>
        <v>Secondary</v>
      </c>
      <c r="L63" s="10" t="str">
        <f t="shared" si="5"/>
        <v>P22|Secondary</v>
      </c>
    </row>
    <row r="64" spans="1:12" x14ac:dyDescent="0.3">
      <c r="A64" s="10" t="s">
        <v>842</v>
      </c>
      <c r="B64" s="10" t="s">
        <v>430</v>
      </c>
      <c r="C64" s="10" t="s">
        <v>160</v>
      </c>
      <c r="D64" s="18">
        <v>5</v>
      </c>
      <c r="E64" s="18">
        <v>5</v>
      </c>
      <c r="F64" s="18">
        <v>4</v>
      </c>
      <c r="G64" s="6">
        <v>3</v>
      </c>
      <c r="H64" s="6">
        <v>3</v>
      </c>
      <c r="I64" s="8">
        <f>(D64*'Selection Criteria'!$F$32+E64*'Selection Criteria'!$F$33+F64*'Selection Criteria'!$F$34+G64*'Selection Criteria'!$F$35+H64*'Selection Criteria'!$F$36)/(5*'Selection Criteria'!$F$37)*100+D64/1000</f>
        <v>85.004999999999995</v>
      </c>
      <c r="J64" s="6">
        <f t="shared" si="3"/>
        <v>1</v>
      </c>
      <c r="K64" s="10" t="str">
        <f t="shared" si="4"/>
        <v>Primary</v>
      </c>
      <c r="L64" s="10" t="str">
        <f t="shared" si="5"/>
        <v>P21|Primary</v>
      </c>
    </row>
    <row r="65" spans="1:12" x14ac:dyDescent="0.3">
      <c r="A65" s="10" t="s">
        <v>842</v>
      </c>
      <c r="B65" s="10" t="s">
        <v>430</v>
      </c>
      <c r="C65" s="10" t="s">
        <v>110</v>
      </c>
      <c r="D65" s="18">
        <v>5</v>
      </c>
      <c r="E65" s="18">
        <v>4</v>
      </c>
      <c r="F65" s="18">
        <v>3</v>
      </c>
      <c r="G65" s="6">
        <v>3</v>
      </c>
      <c r="H65" s="6">
        <v>4</v>
      </c>
      <c r="I65" s="8">
        <f>(D65*'Selection Criteria'!$F$32+E65*'Selection Criteria'!$F$33+F65*'Selection Criteria'!$F$34+G65*'Selection Criteria'!$F$35+H65*'Selection Criteria'!$F$36)/(5*'Selection Criteria'!$F$37)*100+D65/1000</f>
        <v>80.004999999999995</v>
      </c>
      <c r="J65" s="6">
        <f t="shared" si="3"/>
        <v>2</v>
      </c>
      <c r="K65" s="10" t="str">
        <f t="shared" si="4"/>
        <v>Secondary</v>
      </c>
      <c r="L65" s="10" t="str">
        <f t="shared" si="5"/>
        <v>P21|Secondary</v>
      </c>
    </row>
    <row r="66" spans="1:12" ht="26.4" x14ac:dyDescent="0.3">
      <c r="A66" s="10" t="s">
        <v>842</v>
      </c>
      <c r="B66" s="10" t="s">
        <v>430</v>
      </c>
      <c r="C66" s="10" t="s">
        <v>1118</v>
      </c>
      <c r="D66" s="18">
        <v>3</v>
      </c>
      <c r="E66" s="18">
        <v>5</v>
      </c>
      <c r="F66" s="18">
        <v>4</v>
      </c>
      <c r="G66" s="6">
        <v>3</v>
      </c>
      <c r="H66" s="6">
        <v>3</v>
      </c>
      <c r="I66" s="8">
        <f>(D66*'Selection Criteria'!$F$32+E66*'Selection Criteria'!$F$33+F66*'Selection Criteria'!$F$34+G66*'Selection Criteria'!$F$35+H66*'Selection Criteria'!$F$36)/(5*'Selection Criteria'!$F$37)*100+D66/1000</f>
        <v>73.003</v>
      </c>
      <c r="J66" s="6">
        <f t="shared" si="3"/>
        <v>3</v>
      </c>
      <c r="K66" s="10" t="str">
        <f t="shared" si="4"/>
        <v>Alternate / style reference</v>
      </c>
      <c r="L66" s="10" t="str">
        <f t="shared" si="5"/>
        <v>P21|Alternate / style reference</v>
      </c>
    </row>
    <row r="67" spans="1:12" x14ac:dyDescent="0.3">
      <c r="A67" s="10" t="s">
        <v>837</v>
      </c>
      <c r="B67" s="10" t="s">
        <v>838</v>
      </c>
      <c r="C67" s="10" t="s">
        <v>110</v>
      </c>
      <c r="D67" s="18">
        <v>5</v>
      </c>
      <c r="E67" s="18">
        <v>5</v>
      </c>
      <c r="F67" s="18">
        <v>4</v>
      </c>
      <c r="G67" s="6">
        <v>3</v>
      </c>
      <c r="H67" s="6">
        <v>4</v>
      </c>
      <c r="I67" s="8">
        <f>(D67*'Selection Criteria'!$F$32+E67*'Selection Criteria'!$F$33+F67*'Selection Criteria'!$F$34+G67*'Selection Criteria'!$F$35+H67*'Selection Criteria'!$F$36)/(5*'Selection Criteria'!$F$37)*100+D67/1000</f>
        <v>88.004999999999995</v>
      </c>
      <c r="J67" s="6">
        <f t="shared" si="3"/>
        <v>1</v>
      </c>
      <c r="K67" s="10" t="str">
        <f t="shared" si="4"/>
        <v>Primary</v>
      </c>
      <c r="L67" s="10" t="str">
        <f t="shared" si="5"/>
        <v>P20|Primary</v>
      </c>
    </row>
    <row r="68" spans="1:12" x14ac:dyDescent="0.3">
      <c r="A68" s="10" t="s">
        <v>837</v>
      </c>
      <c r="B68" s="10" t="s">
        <v>838</v>
      </c>
      <c r="C68" s="10" t="s">
        <v>138</v>
      </c>
      <c r="D68" s="18">
        <v>5</v>
      </c>
      <c r="E68" s="18">
        <v>3</v>
      </c>
      <c r="F68" s="18">
        <v>3</v>
      </c>
      <c r="G68" s="6">
        <v>5</v>
      </c>
      <c r="H68" s="6">
        <v>3</v>
      </c>
      <c r="I68" s="8">
        <f>(D68*'Selection Criteria'!$F$32+E68*'Selection Criteria'!$F$33+F68*'Selection Criteria'!$F$34+G68*'Selection Criteria'!$F$35+H68*'Selection Criteria'!$F$36)/(5*'Selection Criteria'!$F$37)*100+D68/1000</f>
        <v>78.004999999999995</v>
      </c>
      <c r="J68" s="6">
        <f t="shared" si="3"/>
        <v>2</v>
      </c>
      <c r="K68" s="10" t="str">
        <f t="shared" si="4"/>
        <v>Secondary</v>
      </c>
      <c r="L68" s="10" t="str">
        <f t="shared" si="5"/>
        <v>P20|Secondary</v>
      </c>
    </row>
    <row r="69" spans="1:12" ht="26.4" x14ac:dyDescent="0.3">
      <c r="A69" s="10" t="s">
        <v>837</v>
      </c>
      <c r="B69" s="10" t="s">
        <v>838</v>
      </c>
      <c r="C69" s="10" t="s">
        <v>1118</v>
      </c>
      <c r="D69" s="18">
        <v>3</v>
      </c>
      <c r="E69" s="18">
        <v>5</v>
      </c>
      <c r="F69" s="18">
        <v>4</v>
      </c>
      <c r="G69" s="6">
        <v>3</v>
      </c>
      <c r="H69" s="6">
        <v>3</v>
      </c>
      <c r="I69" s="8">
        <f>(D69*'Selection Criteria'!$F$32+E69*'Selection Criteria'!$F$33+F69*'Selection Criteria'!$F$34+G69*'Selection Criteria'!$F$35+H69*'Selection Criteria'!$F$36)/(5*'Selection Criteria'!$F$37)*100+D69/1000</f>
        <v>73.003</v>
      </c>
      <c r="J69" s="6">
        <f t="shared" ref="J69:J100" si="6">COUNTIFS($A$5:$A$103,A69,$I$5:$I$103,"&gt;"&amp;I69)+1</f>
        <v>3</v>
      </c>
      <c r="K69" s="10" t="str">
        <f t="shared" ref="K69:K100" si="7">IF(J69=1,"Primary",IF(J69=2,"Secondary","Alternate / style reference"))</f>
        <v>Alternate / style reference</v>
      </c>
      <c r="L69" s="10" t="str">
        <f t="shared" ref="L69:L100" si="8">A69&amp;"|"&amp;K69</f>
        <v>P20|Alternate / style reference</v>
      </c>
    </row>
    <row r="70" spans="1:12" x14ac:dyDescent="0.3">
      <c r="A70" s="10" t="s">
        <v>833</v>
      </c>
      <c r="B70" s="10" t="s">
        <v>421</v>
      </c>
      <c r="C70" s="10" t="s">
        <v>138</v>
      </c>
      <c r="D70" s="18">
        <v>5</v>
      </c>
      <c r="E70" s="18">
        <v>4</v>
      </c>
      <c r="F70" s="18">
        <v>4</v>
      </c>
      <c r="G70" s="6">
        <v>5</v>
      </c>
      <c r="H70" s="6">
        <v>3</v>
      </c>
      <c r="I70" s="8">
        <f>(D70*'Selection Criteria'!$F$32+E70*'Selection Criteria'!$F$33+F70*'Selection Criteria'!$F$34+G70*'Selection Criteria'!$F$35+H70*'Selection Criteria'!$F$36)/(5*'Selection Criteria'!$F$37)*100+D70/1000</f>
        <v>86.004999999999995</v>
      </c>
      <c r="J70" s="6">
        <f t="shared" si="6"/>
        <v>1</v>
      </c>
      <c r="K70" s="10" t="str">
        <f t="shared" si="7"/>
        <v>Primary</v>
      </c>
      <c r="L70" s="10" t="str">
        <f t="shared" si="8"/>
        <v>P19|Primary</v>
      </c>
    </row>
    <row r="71" spans="1:12" x14ac:dyDescent="0.3">
      <c r="A71" s="10" t="s">
        <v>833</v>
      </c>
      <c r="B71" s="10" t="s">
        <v>421</v>
      </c>
      <c r="C71" s="10" t="s">
        <v>110</v>
      </c>
      <c r="D71" s="18">
        <v>4</v>
      </c>
      <c r="E71" s="18">
        <v>4</v>
      </c>
      <c r="F71" s="18">
        <v>4</v>
      </c>
      <c r="G71" s="6">
        <v>3</v>
      </c>
      <c r="H71" s="6">
        <v>4</v>
      </c>
      <c r="I71" s="8">
        <f>(D71*'Selection Criteria'!$F$32+E71*'Selection Criteria'!$F$33+F71*'Selection Criteria'!$F$34+G71*'Selection Criteria'!$F$35+H71*'Selection Criteria'!$F$36)/(5*'Selection Criteria'!$F$37)*100+D71/1000</f>
        <v>77.004000000000005</v>
      </c>
      <c r="J71" s="6">
        <f t="shared" si="6"/>
        <v>2</v>
      </c>
      <c r="K71" s="10" t="str">
        <f t="shared" si="7"/>
        <v>Secondary</v>
      </c>
      <c r="L71" s="10" t="str">
        <f t="shared" si="8"/>
        <v>P19|Secondary</v>
      </c>
    </row>
    <row r="72" spans="1:12" ht="26.4" x14ac:dyDescent="0.3">
      <c r="A72" s="10" t="s">
        <v>833</v>
      </c>
      <c r="B72" s="10" t="s">
        <v>421</v>
      </c>
      <c r="C72" s="10" t="s">
        <v>1118</v>
      </c>
      <c r="D72" s="18">
        <v>2</v>
      </c>
      <c r="E72" s="18">
        <v>5</v>
      </c>
      <c r="F72" s="18">
        <v>4</v>
      </c>
      <c r="G72" s="6">
        <v>3</v>
      </c>
      <c r="H72" s="6">
        <v>3</v>
      </c>
      <c r="I72" s="8">
        <f>(D72*'Selection Criteria'!$F$32+E72*'Selection Criteria'!$F$33+F72*'Selection Criteria'!$F$34+G72*'Selection Criteria'!$F$35+H72*'Selection Criteria'!$F$36)/(5*'Selection Criteria'!$F$37)*100+D72/1000</f>
        <v>67.001999999999995</v>
      </c>
      <c r="J72" s="6">
        <f t="shared" si="6"/>
        <v>3</v>
      </c>
      <c r="K72" s="10" t="str">
        <f t="shared" si="7"/>
        <v>Alternate / style reference</v>
      </c>
      <c r="L72" s="10" t="str">
        <f t="shared" si="8"/>
        <v>P19|Alternate / style reference</v>
      </c>
    </row>
    <row r="73" spans="1:12" ht="26.4" x14ac:dyDescent="0.3">
      <c r="A73" s="10" t="s">
        <v>855</v>
      </c>
      <c r="B73" s="10" t="s">
        <v>446</v>
      </c>
      <c r="C73" s="10" t="s">
        <v>138</v>
      </c>
      <c r="D73" s="18">
        <v>5</v>
      </c>
      <c r="E73" s="18">
        <v>4</v>
      </c>
      <c r="F73" s="18">
        <v>4</v>
      </c>
      <c r="G73" s="6">
        <v>5</v>
      </c>
      <c r="H73" s="6">
        <v>3</v>
      </c>
      <c r="I73" s="8">
        <f>(D73*'Selection Criteria'!$F$32+E73*'Selection Criteria'!$F$33+F73*'Selection Criteria'!$F$34+G73*'Selection Criteria'!$F$35+H73*'Selection Criteria'!$F$36)/(5*'Selection Criteria'!$F$37)*100+D73/1000</f>
        <v>86.004999999999995</v>
      </c>
      <c r="J73" s="6">
        <f t="shared" si="6"/>
        <v>1</v>
      </c>
      <c r="K73" s="10" t="str">
        <f t="shared" si="7"/>
        <v>Primary</v>
      </c>
      <c r="L73" s="10" t="str">
        <f t="shared" si="8"/>
        <v>P24|Primary</v>
      </c>
    </row>
    <row r="74" spans="1:12" ht="26.4" x14ac:dyDescent="0.3">
      <c r="A74" s="10" t="s">
        <v>855</v>
      </c>
      <c r="B74" s="10" t="s">
        <v>446</v>
      </c>
      <c r="C74" s="10" t="s">
        <v>1123</v>
      </c>
      <c r="D74" s="18">
        <v>3</v>
      </c>
      <c r="E74" s="18">
        <v>3</v>
      </c>
      <c r="F74" s="18">
        <v>4</v>
      </c>
      <c r="G74" s="6">
        <v>3</v>
      </c>
      <c r="H74" s="6">
        <v>4</v>
      </c>
      <c r="I74" s="8">
        <f>(D74*'Selection Criteria'!$F$32+E74*'Selection Criteria'!$F$33+F74*'Selection Criteria'!$F$34+G74*'Selection Criteria'!$F$35+H74*'Selection Criteria'!$F$36)/(5*'Selection Criteria'!$F$37)*100+D74/1000</f>
        <v>66.003</v>
      </c>
      <c r="J74" s="6">
        <f t="shared" si="6"/>
        <v>2</v>
      </c>
      <c r="K74" s="10" t="str">
        <f t="shared" si="7"/>
        <v>Secondary</v>
      </c>
      <c r="L74" s="10" t="str">
        <f t="shared" si="8"/>
        <v>P24|Secondary</v>
      </c>
    </row>
    <row r="75" spans="1:12" ht="26.4" x14ac:dyDescent="0.3">
      <c r="A75" s="10" t="s">
        <v>855</v>
      </c>
      <c r="B75" s="10" t="s">
        <v>446</v>
      </c>
      <c r="C75" s="10" t="s">
        <v>1118</v>
      </c>
      <c r="D75" s="18">
        <v>2</v>
      </c>
      <c r="E75" s="18">
        <v>4</v>
      </c>
      <c r="F75" s="18">
        <v>4</v>
      </c>
      <c r="G75" s="6">
        <v>3</v>
      </c>
      <c r="H75" s="6">
        <v>3</v>
      </c>
      <c r="I75" s="8">
        <f>(D75*'Selection Criteria'!$F$32+E75*'Selection Criteria'!$F$33+F75*'Selection Criteria'!$F$34+G75*'Selection Criteria'!$F$35+H75*'Selection Criteria'!$F$36)/(5*'Selection Criteria'!$F$37)*100+D75/1000</f>
        <v>62.002000000000002</v>
      </c>
      <c r="J75" s="6">
        <f t="shared" si="6"/>
        <v>3</v>
      </c>
      <c r="K75" s="10" t="str">
        <f t="shared" si="7"/>
        <v>Alternate / style reference</v>
      </c>
      <c r="L75" s="10" t="str">
        <f t="shared" si="8"/>
        <v>P24|Alternate / style reference</v>
      </c>
    </row>
    <row r="76" spans="1:12" x14ac:dyDescent="0.3">
      <c r="A76" s="10" t="s">
        <v>850</v>
      </c>
      <c r="B76" s="10" t="s">
        <v>851</v>
      </c>
      <c r="C76" s="10" t="s">
        <v>138</v>
      </c>
      <c r="D76" s="18">
        <v>5</v>
      </c>
      <c r="E76" s="18">
        <v>4</v>
      </c>
      <c r="F76" s="18">
        <v>4</v>
      </c>
      <c r="G76" s="6">
        <v>5</v>
      </c>
      <c r="H76" s="6">
        <v>3</v>
      </c>
      <c r="I76" s="8">
        <f>(D76*'Selection Criteria'!$F$32+E76*'Selection Criteria'!$F$33+F76*'Selection Criteria'!$F$34+G76*'Selection Criteria'!$F$35+H76*'Selection Criteria'!$F$36)/(5*'Selection Criteria'!$F$37)*100+D76/1000</f>
        <v>86.004999999999995</v>
      </c>
      <c r="J76" s="6">
        <f t="shared" si="6"/>
        <v>1</v>
      </c>
      <c r="K76" s="10" t="str">
        <f t="shared" si="7"/>
        <v>Primary</v>
      </c>
      <c r="L76" s="10" t="str">
        <f t="shared" si="8"/>
        <v>P23|Primary</v>
      </c>
    </row>
    <row r="77" spans="1:12" x14ac:dyDescent="0.3">
      <c r="A77" s="10" t="s">
        <v>850</v>
      </c>
      <c r="B77" s="10" t="s">
        <v>851</v>
      </c>
      <c r="C77" s="10" t="s">
        <v>110</v>
      </c>
      <c r="D77" s="18">
        <v>4</v>
      </c>
      <c r="E77" s="18">
        <v>4</v>
      </c>
      <c r="F77" s="18">
        <v>4</v>
      </c>
      <c r="G77" s="6">
        <v>3</v>
      </c>
      <c r="H77" s="6">
        <v>4</v>
      </c>
      <c r="I77" s="8">
        <f>(D77*'Selection Criteria'!$F$32+E77*'Selection Criteria'!$F$33+F77*'Selection Criteria'!$F$34+G77*'Selection Criteria'!$F$35+H77*'Selection Criteria'!$F$36)/(5*'Selection Criteria'!$F$37)*100+D77/1000</f>
        <v>77.004000000000005</v>
      </c>
      <c r="J77" s="6">
        <f t="shared" si="6"/>
        <v>2</v>
      </c>
      <c r="K77" s="10" t="str">
        <f t="shared" si="7"/>
        <v>Secondary</v>
      </c>
      <c r="L77" s="10" t="str">
        <f t="shared" si="8"/>
        <v>P23|Secondary</v>
      </c>
    </row>
    <row r="78" spans="1:12" x14ac:dyDescent="0.3">
      <c r="A78" s="10" t="s">
        <v>221</v>
      </c>
      <c r="B78" s="10" t="s">
        <v>222</v>
      </c>
      <c r="C78" s="10" t="s">
        <v>110</v>
      </c>
      <c r="D78" s="18">
        <v>5</v>
      </c>
      <c r="E78" s="18">
        <v>5</v>
      </c>
      <c r="F78" s="18">
        <v>3</v>
      </c>
      <c r="G78" s="6">
        <v>3</v>
      </c>
      <c r="H78" s="6">
        <v>4</v>
      </c>
      <c r="I78" s="8">
        <f>(D78*'Selection Criteria'!$F$32+E78*'Selection Criteria'!$F$33+F78*'Selection Criteria'!$F$34+G78*'Selection Criteria'!$F$35+H78*'Selection Criteria'!$F$36)/(5*'Selection Criteria'!$F$37)*100+D78/1000</f>
        <v>85.004999999999995</v>
      </c>
      <c r="J78" s="6">
        <f t="shared" si="6"/>
        <v>1</v>
      </c>
      <c r="K78" s="10" t="str">
        <f t="shared" si="7"/>
        <v>Primary</v>
      </c>
      <c r="L78" s="10" t="str">
        <f t="shared" si="8"/>
        <v>P26|Primary</v>
      </c>
    </row>
    <row r="79" spans="1:12" x14ac:dyDescent="0.3">
      <c r="A79" s="10" t="s">
        <v>221</v>
      </c>
      <c r="B79" s="10" t="s">
        <v>222</v>
      </c>
      <c r="C79" s="10" t="s">
        <v>1118</v>
      </c>
      <c r="D79" s="18">
        <v>4</v>
      </c>
      <c r="E79" s="18">
        <v>5</v>
      </c>
      <c r="F79" s="18">
        <v>4</v>
      </c>
      <c r="G79" s="6">
        <v>3</v>
      </c>
      <c r="H79" s="6">
        <v>3</v>
      </c>
      <c r="I79" s="8">
        <f>(D79*'Selection Criteria'!$F$32+E79*'Selection Criteria'!$F$33+F79*'Selection Criteria'!$F$34+G79*'Selection Criteria'!$F$35+H79*'Selection Criteria'!$F$36)/(5*'Selection Criteria'!$F$37)*100+D79/1000</f>
        <v>79.004000000000005</v>
      </c>
      <c r="J79" s="6">
        <f t="shared" si="6"/>
        <v>2</v>
      </c>
      <c r="K79" s="10" t="str">
        <f t="shared" si="7"/>
        <v>Secondary</v>
      </c>
      <c r="L79" s="10" t="str">
        <f t="shared" si="8"/>
        <v>P26|Secondary</v>
      </c>
    </row>
    <row r="80" spans="1:12" ht="26.4" x14ac:dyDescent="0.3">
      <c r="A80" s="10" t="s">
        <v>864</v>
      </c>
      <c r="B80" s="10" t="s">
        <v>468</v>
      </c>
      <c r="C80" s="10" t="s">
        <v>138</v>
      </c>
      <c r="D80" s="18">
        <v>5</v>
      </c>
      <c r="E80" s="18">
        <v>4</v>
      </c>
      <c r="F80" s="18">
        <v>4</v>
      </c>
      <c r="G80" s="6">
        <v>5</v>
      </c>
      <c r="H80" s="6">
        <v>3</v>
      </c>
      <c r="I80" s="8">
        <f>(D80*'Selection Criteria'!$F$32+E80*'Selection Criteria'!$F$33+F80*'Selection Criteria'!$F$34+G80*'Selection Criteria'!$F$35+H80*'Selection Criteria'!$F$36)/(5*'Selection Criteria'!$F$37)*100+D80/1000</f>
        <v>86.004999999999995</v>
      </c>
      <c r="J80" s="6">
        <f t="shared" si="6"/>
        <v>1</v>
      </c>
      <c r="K80" s="10" t="str">
        <f t="shared" si="7"/>
        <v>Primary</v>
      </c>
      <c r="L80" s="10" t="str">
        <f t="shared" si="8"/>
        <v>P27|Primary</v>
      </c>
    </row>
    <row r="81" spans="1:12" ht="26.4" x14ac:dyDescent="0.3">
      <c r="A81" s="10" t="s">
        <v>864</v>
      </c>
      <c r="B81" s="10" t="s">
        <v>468</v>
      </c>
      <c r="C81" s="10" t="s">
        <v>1123</v>
      </c>
      <c r="D81" s="18">
        <v>5</v>
      </c>
      <c r="E81" s="18">
        <v>4</v>
      </c>
      <c r="F81" s="18">
        <v>4</v>
      </c>
      <c r="G81" s="6">
        <v>3</v>
      </c>
      <c r="H81" s="6">
        <v>4</v>
      </c>
      <c r="I81" s="8">
        <f>(D81*'Selection Criteria'!$F$32+E81*'Selection Criteria'!$F$33+F81*'Selection Criteria'!$F$34+G81*'Selection Criteria'!$F$35+H81*'Selection Criteria'!$F$36)/(5*'Selection Criteria'!$F$37)*100+D81/1000</f>
        <v>83.004999999999995</v>
      </c>
      <c r="J81" s="6">
        <f t="shared" si="6"/>
        <v>2</v>
      </c>
      <c r="K81" s="10" t="str">
        <f t="shared" si="7"/>
        <v>Secondary</v>
      </c>
      <c r="L81" s="10" t="str">
        <f t="shared" si="8"/>
        <v>P27|Secondary</v>
      </c>
    </row>
    <row r="82" spans="1:12" ht="26.4" x14ac:dyDescent="0.3">
      <c r="A82" s="10" t="s">
        <v>186</v>
      </c>
      <c r="B82" s="10" t="s">
        <v>187</v>
      </c>
      <c r="C82" s="10" t="s">
        <v>110</v>
      </c>
      <c r="D82" s="18">
        <v>5</v>
      </c>
      <c r="E82" s="18">
        <v>5</v>
      </c>
      <c r="F82" s="18">
        <v>4</v>
      </c>
      <c r="G82" s="6">
        <v>3</v>
      </c>
      <c r="H82" s="6">
        <v>4</v>
      </c>
      <c r="I82" s="8">
        <f>(D82*'Selection Criteria'!$F$32+E82*'Selection Criteria'!$F$33+F82*'Selection Criteria'!$F$34+G82*'Selection Criteria'!$F$35+H82*'Selection Criteria'!$F$36)/(5*'Selection Criteria'!$F$37)*100+D82/1000</f>
        <v>88.004999999999995</v>
      </c>
      <c r="J82" s="6">
        <f t="shared" si="6"/>
        <v>1</v>
      </c>
      <c r="K82" s="10" t="str">
        <f t="shared" si="7"/>
        <v>Primary</v>
      </c>
      <c r="L82" s="10" t="str">
        <f t="shared" si="8"/>
        <v>P25|Primary</v>
      </c>
    </row>
    <row r="83" spans="1:12" ht="26.4" x14ac:dyDescent="0.3">
      <c r="A83" s="10" t="s">
        <v>186</v>
      </c>
      <c r="B83" s="10" t="s">
        <v>187</v>
      </c>
      <c r="C83" s="10" t="s">
        <v>138</v>
      </c>
      <c r="D83" s="18">
        <v>4</v>
      </c>
      <c r="E83" s="18">
        <v>3</v>
      </c>
      <c r="F83" s="18">
        <v>3</v>
      </c>
      <c r="G83" s="6">
        <v>5</v>
      </c>
      <c r="H83" s="6">
        <v>3</v>
      </c>
      <c r="I83" s="8">
        <f>(D83*'Selection Criteria'!$F$32+E83*'Selection Criteria'!$F$33+F83*'Selection Criteria'!$F$34+G83*'Selection Criteria'!$F$35+H83*'Selection Criteria'!$F$36)/(5*'Selection Criteria'!$F$37)*100+D83/1000</f>
        <v>72.004000000000005</v>
      </c>
      <c r="J83" s="6">
        <f t="shared" si="6"/>
        <v>2</v>
      </c>
      <c r="K83" s="10" t="str">
        <f t="shared" si="7"/>
        <v>Secondary</v>
      </c>
      <c r="L83" s="10" t="str">
        <f t="shared" si="8"/>
        <v>P25|Secondary</v>
      </c>
    </row>
    <row r="84" spans="1:12" x14ac:dyDescent="0.3">
      <c r="A84" s="10" t="s">
        <v>285</v>
      </c>
      <c r="B84" s="10" t="s">
        <v>286</v>
      </c>
      <c r="C84" s="10" t="s">
        <v>138</v>
      </c>
      <c r="D84" s="18">
        <v>5</v>
      </c>
      <c r="E84" s="18">
        <v>4</v>
      </c>
      <c r="F84" s="18">
        <v>4</v>
      </c>
      <c r="G84" s="6">
        <v>5</v>
      </c>
      <c r="H84" s="6">
        <v>3</v>
      </c>
      <c r="I84" s="8">
        <f>(D84*'Selection Criteria'!$F$32+E84*'Selection Criteria'!$F$33+F84*'Selection Criteria'!$F$34+G84*'Selection Criteria'!$F$35+H84*'Selection Criteria'!$F$36)/(5*'Selection Criteria'!$F$37)*100+D84/1000</f>
        <v>86.004999999999995</v>
      </c>
      <c r="J84" s="6">
        <f t="shared" si="6"/>
        <v>1</v>
      </c>
      <c r="K84" s="10" t="str">
        <f t="shared" si="7"/>
        <v>Primary</v>
      </c>
      <c r="L84" s="10" t="str">
        <f t="shared" si="8"/>
        <v>P29|Primary</v>
      </c>
    </row>
    <row r="85" spans="1:12" x14ac:dyDescent="0.3">
      <c r="A85" s="10" t="s">
        <v>285</v>
      </c>
      <c r="B85" s="10" t="s">
        <v>286</v>
      </c>
      <c r="C85" s="10" t="s">
        <v>1118</v>
      </c>
      <c r="D85" s="18">
        <v>3</v>
      </c>
      <c r="E85" s="18">
        <v>5</v>
      </c>
      <c r="F85" s="18">
        <v>4</v>
      </c>
      <c r="G85" s="6">
        <v>3</v>
      </c>
      <c r="H85" s="6">
        <v>3</v>
      </c>
      <c r="I85" s="8">
        <f>(D85*'Selection Criteria'!$F$32+E85*'Selection Criteria'!$F$33+F85*'Selection Criteria'!$F$34+G85*'Selection Criteria'!$F$35+H85*'Selection Criteria'!$F$36)/(5*'Selection Criteria'!$F$37)*100+D85/1000</f>
        <v>73.003</v>
      </c>
      <c r="J85" s="6">
        <f t="shared" si="6"/>
        <v>2</v>
      </c>
      <c r="K85" s="10" t="str">
        <f t="shared" si="7"/>
        <v>Secondary</v>
      </c>
      <c r="L85" s="10" t="str">
        <f t="shared" si="8"/>
        <v>P29|Secondary</v>
      </c>
    </row>
    <row r="86" spans="1:12" ht="26.4" x14ac:dyDescent="0.3">
      <c r="A86" s="10" t="s">
        <v>285</v>
      </c>
      <c r="B86" s="10" t="s">
        <v>286</v>
      </c>
      <c r="C86" s="10" t="s">
        <v>160</v>
      </c>
      <c r="D86" s="18">
        <v>3</v>
      </c>
      <c r="E86" s="18">
        <v>4</v>
      </c>
      <c r="F86" s="18">
        <v>4</v>
      </c>
      <c r="G86" s="6">
        <v>3</v>
      </c>
      <c r="H86" s="6">
        <v>3</v>
      </c>
      <c r="I86" s="8">
        <f>(D86*'Selection Criteria'!$F$32+E86*'Selection Criteria'!$F$33+F86*'Selection Criteria'!$F$34+G86*'Selection Criteria'!$F$35+H86*'Selection Criteria'!$F$36)/(5*'Selection Criteria'!$F$37)*100+D86/1000</f>
        <v>68.003</v>
      </c>
      <c r="J86" s="6">
        <f t="shared" si="6"/>
        <v>3</v>
      </c>
      <c r="K86" s="10" t="str">
        <f t="shared" si="7"/>
        <v>Alternate / style reference</v>
      </c>
      <c r="L86" s="10" t="str">
        <f t="shared" si="8"/>
        <v>P29|Alternate / style reference</v>
      </c>
    </row>
    <row r="87" spans="1:12" x14ac:dyDescent="0.3">
      <c r="A87" s="10" t="s">
        <v>193</v>
      </c>
      <c r="B87" s="10" t="s">
        <v>194</v>
      </c>
      <c r="C87" s="10" t="s">
        <v>110</v>
      </c>
      <c r="D87" s="18">
        <v>5</v>
      </c>
      <c r="E87" s="18">
        <v>5</v>
      </c>
      <c r="F87" s="18">
        <v>4</v>
      </c>
      <c r="G87" s="6">
        <v>3</v>
      </c>
      <c r="H87" s="6">
        <v>4</v>
      </c>
      <c r="I87" s="8">
        <f>(D87*'Selection Criteria'!$F$32+E87*'Selection Criteria'!$F$33+F87*'Selection Criteria'!$F$34+G87*'Selection Criteria'!$F$35+H87*'Selection Criteria'!$F$36)/(5*'Selection Criteria'!$F$37)*100+D87/1000</f>
        <v>88.004999999999995</v>
      </c>
      <c r="J87" s="6">
        <f t="shared" si="6"/>
        <v>1</v>
      </c>
      <c r="K87" s="10" t="str">
        <f t="shared" si="7"/>
        <v>Primary</v>
      </c>
      <c r="L87" s="10" t="str">
        <f t="shared" si="8"/>
        <v>P28|Primary</v>
      </c>
    </row>
    <row r="88" spans="1:12" x14ac:dyDescent="0.3">
      <c r="A88" s="10" t="s">
        <v>193</v>
      </c>
      <c r="B88" s="10" t="s">
        <v>194</v>
      </c>
      <c r="C88" s="10" t="s">
        <v>138</v>
      </c>
      <c r="D88" s="18">
        <v>4</v>
      </c>
      <c r="E88" s="18">
        <v>3</v>
      </c>
      <c r="F88" s="18">
        <v>3</v>
      </c>
      <c r="G88" s="6">
        <v>5</v>
      </c>
      <c r="H88" s="6">
        <v>3</v>
      </c>
      <c r="I88" s="8">
        <f>(D88*'Selection Criteria'!$F$32+E88*'Selection Criteria'!$F$33+F88*'Selection Criteria'!$F$34+G88*'Selection Criteria'!$F$35+H88*'Selection Criteria'!$F$36)/(5*'Selection Criteria'!$F$37)*100+D88/1000</f>
        <v>72.004000000000005</v>
      </c>
      <c r="J88" s="6">
        <f t="shared" si="6"/>
        <v>2</v>
      </c>
      <c r="K88" s="10" t="str">
        <f t="shared" si="7"/>
        <v>Secondary</v>
      </c>
      <c r="L88" s="10" t="str">
        <f t="shared" si="8"/>
        <v>P28|Secondary</v>
      </c>
    </row>
    <row r="89" spans="1:12" x14ac:dyDescent="0.3">
      <c r="A89" s="10" t="s">
        <v>260</v>
      </c>
      <c r="B89" s="10" t="s">
        <v>261</v>
      </c>
      <c r="C89" s="10" t="s">
        <v>138</v>
      </c>
      <c r="D89" s="18">
        <v>5</v>
      </c>
      <c r="E89" s="18">
        <v>4</v>
      </c>
      <c r="F89" s="18">
        <v>4</v>
      </c>
      <c r="G89" s="6">
        <v>5</v>
      </c>
      <c r="H89" s="6">
        <v>3</v>
      </c>
      <c r="I89" s="8">
        <f>(D89*'Selection Criteria'!$F$32+E89*'Selection Criteria'!$F$33+F89*'Selection Criteria'!$F$34+G89*'Selection Criteria'!$F$35+H89*'Selection Criteria'!$F$36)/(5*'Selection Criteria'!$F$37)*100+D89/1000</f>
        <v>86.004999999999995</v>
      </c>
      <c r="J89" s="6">
        <f t="shared" si="6"/>
        <v>1</v>
      </c>
      <c r="K89" s="10" t="str">
        <f t="shared" si="7"/>
        <v>Primary</v>
      </c>
      <c r="L89" s="10" t="str">
        <f t="shared" si="8"/>
        <v>P33|Primary</v>
      </c>
    </row>
    <row r="90" spans="1:12" x14ac:dyDescent="0.3">
      <c r="A90" s="10" t="s">
        <v>260</v>
      </c>
      <c r="B90" s="10" t="s">
        <v>261</v>
      </c>
      <c r="C90" s="10" t="s">
        <v>1124</v>
      </c>
      <c r="D90" s="18">
        <v>5</v>
      </c>
      <c r="E90" s="18">
        <v>3</v>
      </c>
      <c r="F90" s="18">
        <v>5</v>
      </c>
      <c r="G90" s="6">
        <v>2</v>
      </c>
      <c r="H90" s="6">
        <v>4</v>
      </c>
      <c r="I90" s="8">
        <f>(D90*'Selection Criteria'!$F$32+E90*'Selection Criteria'!$F$33+F90*'Selection Criteria'!$F$34+G90*'Selection Criteria'!$F$35+H90*'Selection Criteria'!$F$36)/(5*'Selection Criteria'!$F$37)*100+D90/1000</f>
        <v>78.004999999999995</v>
      </c>
      <c r="J90" s="6">
        <f t="shared" si="6"/>
        <v>2</v>
      </c>
      <c r="K90" s="10" t="str">
        <f t="shared" si="7"/>
        <v>Secondary</v>
      </c>
      <c r="L90" s="10" t="str">
        <f t="shared" si="8"/>
        <v>P33|Secondary</v>
      </c>
    </row>
    <row r="91" spans="1:12" x14ac:dyDescent="0.3">
      <c r="A91" s="10" t="s">
        <v>257</v>
      </c>
      <c r="B91" s="10" t="s">
        <v>258</v>
      </c>
      <c r="C91" s="10" t="s">
        <v>138</v>
      </c>
      <c r="D91" s="18">
        <v>5</v>
      </c>
      <c r="E91" s="18">
        <v>4</v>
      </c>
      <c r="F91" s="18">
        <v>4</v>
      </c>
      <c r="G91" s="6">
        <v>5</v>
      </c>
      <c r="H91" s="6">
        <v>3</v>
      </c>
      <c r="I91" s="8">
        <f>(D91*'Selection Criteria'!$F$32+E91*'Selection Criteria'!$F$33+F91*'Selection Criteria'!$F$34+G91*'Selection Criteria'!$F$35+H91*'Selection Criteria'!$F$36)/(5*'Selection Criteria'!$F$37)*100+D91/1000</f>
        <v>86.004999999999995</v>
      </c>
      <c r="J91" s="6">
        <f t="shared" si="6"/>
        <v>1</v>
      </c>
      <c r="K91" s="10" t="str">
        <f t="shared" si="7"/>
        <v>Primary</v>
      </c>
      <c r="L91" s="10" t="str">
        <f t="shared" si="8"/>
        <v>P32|Primary</v>
      </c>
    </row>
    <row r="92" spans="1:12" x14ac:dyDescent="0.3">
      <c r="A92" s="10" t="s">
        <v>257</v>
      </c>
      <c r="B92" s="10" t="s">
        <v>258</v>
      </c>
      <c r="C92" s="10" t="s">
        <v>160</v>
      </c>
      <c r="D92" s="18">
        <v>3</v>
      </c>
      <c r="E92" s="18">
        <v>4</v>
      </c>
      <c r="F92" s="18">
        <v>3</v>
      </c>
      <c r="G92" s="6">
        <v>3</v>
      </c>
      <c r="H92" s="6">
        <v>3</v>
      </c>
      <c r="I92" s="8">
        <f>(D92*'Selection Criteria'!$F$32+E92*'Selection Criteria'!$F$33+F92*'Selection Criteria'!$F$34+G92*'Selection Criteria'!$F$35+H92*'Selection Criteria'!$F$36)/(5*'Selection Criteria'!$F$37)*100+D92/1000</f>
        <v>65.003</v>
      </c>
      <c r="J92" s="6">
        <f t="shared" si="6"/>
        <v>2</v>
      </c>
      <c r="K92" s="10" t="str">
        <f t="shared" si="7"/>
        <v>Secondary</v>
      </c>
      <c r="L92" s="10" t="str">
        <f t="shared" si="8"/>
        <v>P32|Secondary</v>
      </c>
    </row>
    <row r="93" spans="1:12" ht="26.4" x14ac:dyDescent="0.3">
      <c r="A93" s="10" t="s">
        <v>257</v>
      </c>
      <c r="B93" s="10" t="s">
        <v>258</v>
      </c>
      <c r="C93" s="10" t="s">
        <v>1123</v>
      </c>
      <c r="D93" s="18">
        <v>2</v>
      </c>
      <c r="E93" s="18">
        <v>3</v>
      </c>
      <c r="F93" s="18">
        <v>3</v>
      </c>
      <c r="G93" s="6">
        <v>3</v>
      </c>
      <c r="H93" s="6">
        <v>4</v>
      </c>
      <c r="I93" s="8">
        <f>(D93*'Selection Criteria'!$F$32+E93*'Selection Criteria'!$F$33+F93*'Selection Criteria'!$F$34+G93*'Selection Criteria'!$F$35+H93*'Selection Criteria'!$F$36)/(5*'Selection Criteria'!$F$37)*100+D93/1000</f>
        <v>57.001999999999995</v>
      </c>
      <c r="J93" s="6">
        <f t="shared" si="6"/>
        <v>3</v>
      </c>
      <c r="K93" s="10" t="str">
        <f t="shared" si="7"/>
        <v>Alternate / style reference</v>
      </c>
      <c r="L93" s="10" t="str">
        <f t="shared" si="8"/>
        <v>P32|Alternate / style reference</v>
      </c>
    </row>
    <row r="94" spans="1:12" x14ac:dyDescent="0.3">
      <c r="A94" s="10" t="s">
        <v>224</v>
      </c>
      <c r="B94" s="10" t="s">
        <v>225</v>
      </c>
      <c r="C94" s="10" t="s">
        <v>110</v>
      </c>
      <c r="D94" s="18">
        <v>5</v>
      </c>
      <c r="E94" s="18">
        <v>5</v>
      </c>
      <c r="F94" s="18">
        <v>3</v>
      </c>
      <c r="G94" s="6">
        <v>3</v>
      </c>
      <c r="H94" s="6">
        <v>4</v>
      </c>
      <c r="I94" s="8">
        <f>(D94*'Selection Criteria'!$F$32+E94*'Selection Criteria'!$F$33+F94*'Selection Criteria'!$F$34+G94*'Selection Criteria'!$F$35+H94*'Selection Criteria'!$F$36)/(5*'Selection Criteria'!$F$37)*100+D94/1000</f>
        <v>85.004999999999995</v>
      </c>
      <c r="J94" s="6">
        <f t="shared" si="6"/>
        <v>1</v>
      </c>
      <c r="K94" s="10" t="str">
        <f t="shared" si="7"/>
        <v>Primary</v>
      </c>
      <c r="L94" s="10" t="str">
        <f t="shared" si="8"/>
        <v>P31|Primary</v>
      </c>
    </row>
    <row r="95" spans="1:12" x14ac:dyDescent="0.3">
      <c r="A95" s="10" t="s">
        <v>224</v>
      </c>
      <c r="B95" s="10" t="s">
        <v>225</v>
      </c>
      <c r="C95" s="10" t="s">
        <v>1118</v>
      </c>
      <c r="D95" s="18">
        <v>4</v>
      </c>
      <c r="E95" s="18">
        <v>5</v>
      </c>
      <c r="F95" s="18">
        <v>4</v>
      </c>
      <c r="G95" s="6">
        <v>3</v>
      </c>
      <c r="H95" s="6">
        <v>3</v>
      </c>
      <c r="I95" s="8">
        <f>(D95*'Selection Criteria'!$F$32+E95*'Selection Criteria'!$F$33+F95*'Selection Criteria'!$F$34+G95*'Selection Criteria'!$F$35+H95*'Selection Criteria'!$F$36)/(5*'Selection Criteria'!$F$37)*100+D95/1000</f>
        <v>79.004000000000005</v>
      </c>
      <c r="J95" s="6">
        <f t="shared" si="6"/>
        <v>2</v>
      </c>
      <c r="K95" s="10" t="str">
        <f t="shared" si="7"/>
        <v>Secondary</v>
      </c>
      <c r="L95" s="10" t="str">
        <f t="shared" si="8"/>
        <v>P31|Secondary</v>
      </c>
    </row>
    <row r="96" spans="1:12" x14ac:dyDescent="0.3">
      <c r="A96" s="10" t="s">
        <v>190</v>
      </c>
      <c r="B96" s="10" t="s">
        <v>191</v>
      </c>
      <c r="C96" s="10" t="s">
        <v>110</v>
      </c>
      <c r="D96" s="18">
        <v>5</v>
      </c>
      <c r="E96" s="18">
        <v>5</v>
      </c>
      <c r="F96" s="18">
        <v>3</v>
      </c>
      <c r="G96" s="6">
        <v>3</v>
      </c>
      <c r="H96" s="6">
        <v>4</v>
      </c>
      <c r="I96" s="8">
        <f>(D96*'Selection Criteria'!$F$32+E96*'Selection Criteria'!$F$33+F96*'Selection Criteria'!$F$34+G96*'Selection Criteria'!$F$35+H96*'Selection Criteria'!$F$36)/(5*'Selection Criteria'!$F$37)*100+D96/1000</f>
        <v>85.004999999999995</v>
      </c>
      <c r="J96" s="6">
        <f t="shared" si="6"/>
        <v>1</v>
      </c>
      <c r="K96" s="10" t="str">
        <f t="shared" si="7"/>
        <v>Primary</v>
      </c>
      <c r="L96" s="10" t="str">
        <f t="shared" si="8"/>
        <v>P30|Primary</v>
      </c>
    </row>
    <row r="97" spans="1:12" x14ac:dyDescent="0.3">
      <c r="A97" s="10" t="s">
        <v>190</v>
      </c>
      <c r="B97" s="10" t="s">
        <v>191</v>
      </c>
      <c r="C97" s="10" t="s">
        <v>138</v>
      </c>
      <c r="D97" s="18">
        <v>5</v>
      </c>
      <c r="E97" s="18">
        <v>3</v>
      </c>
      <c r="F97" s="18">
        <v>3</v>
      </c>
      <c r="G97" s="6">
        <v>5</v>
      </c>
      <c r="H97" s="6">
        <v>3</v>
      </c>
      <c r="I97" s="8">
        <f>(D97*'Selection Criteria'!$F$32+E97*'Selection Criteria'!$F$33+F97*'Selection Criteria'!$F$34+G97*'Selection Criteria'!$F$35+H97*'Selection Criteria'!$F$36)/(5*'Selection Criteria'!$F$37)*100+D97/1000</f>
        <v>78.004999999999995</v>
      </c>
      <c r="J97" s="6">
        <f t="shared" si="6"/>
        <v>2</v>
      </c>
      <c r="K97" s="10" t="str">
        <f t="shared" si="7"/>
        <v>Secondary</v>
      </c>
      <c r="L97" s="10" t="str">
        <f t="shared" si="8"/>
        <v>P30|Secondary</v>
      </c>
    </row>
    <row r="98" spans="1:12" x14ac:dyDescent="0.3">
      <c r="A98" s="10" t="s">
        <v>294</v>
      </c>
      <c r="B98" s="10" t="s">
        <v>295</v>
      </c>
      <c r="C98" s="10" t="s">
        <v>1118</v>
      </c>
      <c r="D98" s="18">
        <v>4</v>
      </c>
      <c r="E98" s="18">
        <v>5</v>
      </c>
      <c r="F98" s="18">
        <v>5</v>
      </c>
      <c r="G98" s="6">
        <v>3</v>
      </c>
      <c r="H98" s="6">
        <v>3</v>
      </c>
      <c r="I98" s="8">
        <f>(D98*'Selection Criteria'!$F$32+E98*'Selection Criteria'!$F$33+F98*'Selection Criteria'!$F$34+G98*'Selection Criteria'!$F$35+H98*'Selection Criteria'!$F$36)/(5*'Selection Criteria'!$F$37)*100+D98/1000</f>
        <v>82.004000000000005</v>
      </c>
      <c r="J98" s="6">
        <f t="shared" si="6"/>
        <v>1</v>
      </c>
      <c r="K98" s="10" t="str">
        <f t="shared" si="7"/>
        <v>Primary</v>
      </c>
      <c r="L98" s="10" t="str">
        <f t="shared" si="8"/>
        <v>P34|Primary</v>
      </c>
    </row>
    <row r="99" spans="1:12" x14ac:dyDescent="0.3">
      <c r="A99" s="10" t="s">
        <v>294</v>
      </c>
      <c r="B99" s="10" t="s">
        <v>295</v>
      </c>
      <c r="C99" s="10" t="s">
        <v>138</v>
      </c>
      <c r="D99" s="18">
        <v>5</v>
      </c>
      <c r="E99" s="18">
        <v>3</v>
      </c>
      <c r="F99" s="18">
        <v>4</v>
      </c>
      <c r="G99" s="6">
        <v>5</v>
      </c>
      <c r="H99" s="6">
        <v>3</v>
      </c>
      <c r="I99" s="8">
        <f>(D99*'Selection Criteria'!$F$32+E99*'Selection Criteria'!$F$33+F99*'Selection Criteria'!$F$34+G99*'Selection Criteria'!$F$35+H99*'Selection Criteria'!$F$36)/(5*'Selection Criteria'!$F$37)*100+D99/1000</f>
        <v>81.004999999999995</v>
      </c>
      <c r="J99" s="6">
        <f t="shared" si="6"/>
        <v>2</v>
      </c>
      <c r="K99" s="10" t="str">
        <f t="shared" si="7"/>
        <v>Secondary</v>
      </c>
      <c r="L99" s="10" t="str">
        <f t="shared" si="8"/>
        <v>P34|Secondary</v>
      </c>
    </row>
    <row r="100" spans="1:12" ht="26.4" x14ac:dyDescent="0.3">
      <c r="A100" s="10" t="s">
        <v>294</v>
      </c>
      <c r="B100" s="10" t="s">
        <v>295</v>
      </c>
      <c r="C100" s="10" t="s">
        <v>110</v>
      </c>
      <c r="D100" s="18">
        <v>5</v>
      </c>
      <c r="E100" s="18">
        <v>4</v>
      </c>
      <c r="F100" s="18">
        <v>3</v>
      </c>
      <c r="G100" s="6">
        <v>3</v>
      </c>
      <c r="H100" s="6">
        <v>4</v>
      </c>
      <c r="I100" s="8">
        <f>(D100*'Selection Criteria'!$F$32+E100*'Selection Criteria'!$F$33+F100*'Selection Criteria'!$F$34+G100*'Selection Criteria'!$F$35+H100*'Selection Criteria'!$F$36)/(5*'Selection Criteria'!$F$37)*100+D100/1000</f>
        <v>80.004999999999995</v>
      </c>
      <c r="J100" s="6">
        <f t="shared" si="6"/>
        <v>3</v>
      </c>
      <c r="K100" s="10" t="str">
        <f t="shared" si="7"/>
        <v>Alternate / style reference</v>
      </c>
      <c r="L100" s="10" t="str">
        <f t="shared" si="8"/>
        <v>P34|Alternate / style reference</v>
      </c>
    </row>
    <row r="101" spans="1:12" ht="26.4" x14ac:dyDescent="0.3">
      <c r="A101" s="10" t="s">
        <v>294</v>
      </c>
      <c r="B101" s="10" t="s">
        <v>295</v>
      </c>
      <c r="C101" s="10" t="s">
        <v>1121</v>
      </c>
      <c r="D101" s="18">
        <v>4</v>
      </c>
      <c r="E101" s="18">
        <v>4</v>
      </c>
      <c r="F101" s="18">
        <v>4</v>
      </c>
      <c r="G101" s="6">
        <v>2</v>
      </c>
      <c r="H101" s="6">
        <v>2</v>
      </c>
      <c r="I101" s="8">
        <f>(D101*'Selection Criteria'!$F$32+E101*'Selection Criteria'!$F$33+F101*'Selection Criteria'!$F$34+G101*'Selection Criteria'!$F$35+H101*'Selection Criteria'!$F$36)/(5*'Selection Criteria'!$F$37)*100+D101/1000</f>
        <v>68.004000000000005</v>
      </c>
      <c r="J101" s="6">
        <f t="shared" ref="J101:J132" si="9">COUNTIFS($A$5:$A$103,A101,$I$5:$I$103,"&gt;"&amp;I101)+1</f>
        <v>4</v>
      </c>
      <c r="K101" s="10" t="str">
        <f t="shared" ref="K101:K132" si="10">IF(J101=1,"Primary",IF(J101=2,"Secondary","Alternate / style reference"))</f>
        <v>Alternate / style reference</v>
      </c>
      <c r="L101" s="10" t="str">
        <f t="shared" ref="L101:L132" si="11">A101&amp;"|"&amp;K101</f>
        <v>P34|Alternate / style reference</v>
      </c>
    </row>
    <row r="102" spans="1:12" x14ac:dyDescent="0.3">
      <c r="A102" s="10" t="s">
        <v>288</v>
      </c>
      <c r="B102" s="10" t="s">
        <v>289</v>
      </c>
      <c r="C102" s="10" t="s">
        <v>138</v>
      </c>
      <c r="D102" s="18">
        <v>5</v>
      </c>
      <c r="E102" s="18">
        <v>4</v>
      </c>
      <c r="F102" s="18">
        <v>4</v>
      </c>
      <c r="G102" s="6">
        <v>5</v>
      </c>
      <c r="H102" s="6">
        <v>3</v>
      </c>
      <c r="I102" s="8">
        <f>(D102*'Selection Criteria'!$F$32+E102*'Selection Criteria'!$F$33+F102*'Selection Criteria'!$F$34+G102*'Selection Criteria'!$F$35+H102*'Selection Criteria'!$F$36)/(5*'Selection Criteria'!$F$37)*100+D102/1000</f>
        <v>86.004999999999995</v>
      </c>
      <c r="J102" s="6">
        <f t="shared" si="9"/>
        <v>1</v>
      </c>
      <c r="K102" s="10" t="str">
        <f t="shared" si="10"/>
        <v>Primary</v>
      </c>
      <c r="L102" s="10" t="str">
        <f t="shared" si="11"/>
        <v>P35|Primary</v>
      </c>
    </row>
    <row r="103" spans="1:12" x14ac:dyDescent="0.3">
      <c r="A103" s="10" t="s">
        <v>288</v>
      </c>
      <c r="B103" s="10" t="s">
        <v>289</v>
      </c>
      <c r="C103" s="10" t="s">
        <v>110</v>
      </c>
      <c r="D103" s="18">
        <v>3</v>
      </c>
      <c r="E103" s="18">
        <v>4</v>
      </c>
      <c r="F103" s="18">
        <v>3</v>
      </c>
      <c r="G103" s="6">
        <v>3</v>
      </c>
      <c r="H103" s="6">
        <v>4</v>
      </c>
      <c r="I103" s="8">
        <f>(D103*'Selection Criteria'!$F$32+E103*'Selection Criteria'!$F$33+F103*'Selection Criteria'!$F$34+G103*'Selection Criteria'!$F$35+H103*'Selection Criteria'!$F$36)/(5*'Selection Criteria'!$F$37)*100+D103/1000</f>
        <v>68.003</v>
      </c>
      <c r="J103" s="6">
        <f t="shared" si="9"/>
        <v>2</v>
      </c>
      <c r="K103" s="10" t="str">
        <f t="shared" si="10"/>
        <v>Secondary</v>
      </c>
      <c r="L103" s="10" t="str">
        <f t="shared" si="11"/>
        <v>P35|Secondary</v>
      </c>
    </row>
  </sheetData>
  <autoFilter ref="A4:L103" xr:uid="{00000000-0009-0000-0000-000007000000}"/>
  <conditionalFormatting sqref="A5:L103">
    <cfRule type="expression" dxfId="8" priority="1">
      <formula>$K5="Primary"</formula>
    </cfRule>
    <cfRule type="expression" dxfId="7" priority="2">
      <formula>$K5="Secondary"</formula>
    </cfRule>
  </conditionalFormatting>
  <dataValidations count="1">
    <dataValidation type="whole" showErrorMessage="1" sqref="D5:F103" xr:uid="{00000000-0002-0000-0700-000000000000}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A6A6"/>
  </sheetPr>
  <dimension ref="A1:J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24" customWidth="1"/>
    <col min="3" max="3" width="48" customWidth="1"/>
    <col min="4" max="4" width="36" customWidth="1"/>
    <col min="5" max="5" width="10" customWidth="1"/>
    <col min="6" max="6" width="36" customWidth="1"/>
    <col min="7" max="7" width="10" customWidth="1"/>
    <col min="8" max="8" width="34" customWidth="1"/>
    <col min="9" max="9" width="36" customWidth="1"/>
    <col min="10" max="10" width="40" customWidth="1"/>
  </cols>
  <sheetData>
    <row r="1" spans="1:10" ht="21" x14ac:dyDescent="0.4">
      <c r="A1" s="1" t="s">
        <v>1125</v>
      </c>
    </row>
    <row r="2" spans="1:10" x14ac:dyDescent="0.3">
      <c r="A2" s="2" t="s">
        <v>1126</v>
      </c>
    </row>
    <row r="4" spans="1:10" ht="30" customHeight="1" x14ac:dyDescent="0.3">
      <c r="A4" s="5" t="s">
        <v>1108</v>
      </c>
      <c r="B4" s="5" t="s">
        <v>1127</v>
      </c>
      <c r="C4" s="5" t="s">
        <v>1128</v>
      </c>
      <c r="D4" s="5" t="s">
        <v>1129</v>
      </c>
      <c r="E4" s="5" t="s">
        <v>1112</v>
      </c>
      <c r="F4" s="5" t="s">
        <v>1130</v>
      </c>
      <c r="G4" s="5" t="s">
        <v>1113</v>
      </c>
      <c r="H4" s="5" t="s">
        <v>1131</v>
      </c>
      <c r="I4" s="5" t="s">
        <v>1132</v>
      </c>
      <c r="J4" s="5" t="s">
        <v>1133</v>
      </c>
    </row>
    <row r="5" spans="1:10" ht="78" customHeight="1" x14ac:dyDescent="0.3">
      <c r="A5" s="7" t="s">
        <v>1134</v>
      </c>
      <c r="B5" s="10" t="s">
        <v>1135</v>
      </c>
      <c r="C5" s="10" t="s">
        <v>1136</v>
      </c>
      <c r="D5" s="10" t="s">
        <v>1137</v>
      </c>
      <c r="E5" s="6">
        <v>3</v>
      </c>
      <c r="F5" s="10" t="s">
        <v>1138</v>
      </c>
      <c r="G5" s="6">
        <v>4</v>
      </c>
      <c r="H5" s="10" t="s">
        <v>1139</v>
      </c>
      <c r="I5" s="10" t="s">
        <v>1140</v>
      </c>
      <c r="J5" s="10" t="s">
        <v>1141</v>
      </c>
    </row>
    <row r="6" spans="1:10" ht="78" customHeight="1" x14ac:dyDescent="0.3">
      <c r="A6" s="7" t="s">
        <v>1142</v>
      </c>
      <c r="B6" s="10" t="s">
        <v>1143</v>
      </c>
      <c r="C6" s="10" t="s">
        <v>1144</v>
      </c>
      <c r="D6" s="10" t="s">
        <v>1145</v>
      </c>
      <c r="E6" s="6">
        <v>5</v>
      </c>
      <c r="F6" s="10" t="s">
        <v>1146</v>
      </c>
      <c r="G6" s="6">
        <v>3</v>
      </c>
      <c r="H6" s="10" t="s">
        <v>1147</v>
      </c>
      <c r="I6" s="10" t="s">
        <v>1148</v>
      </c>
      <c r="J6" s="10" t="s">
        <v>1149</v>
      </c>
    </row>
    <row r="7" spans="1:10" ht="78" customHeight="1" x14ac:dyDescent="0.3">
      <c r="A7" s="7" t="s">
        <v>1150</v>
      </c>
      <c r="B7" s="10" t="s">
        <v>1151</v>
      </c>
      <c r="C7" s="10" t="s">
        <v>1152</v>
      </c>
      <c r="D7" s="10" t="s">
        <v>1153</v>
      </c>
      <c r="E7" s="6">
        <v>3</v>
      </c>
      <c r="F7" s="10" t="s">
        <v>1154</v>
      </c>
      <c r="G7" s="6">
        <v>3</v>
      </c>
      <c r="H7" s="10" t="s">
        <v>1155</v>
      </c>
      <c r="I7" s="10" t="s">
        <v>1156</v>
      </c>
      <c r="J7" s="10" t="s">
        <v>1157</v>
      </c>
    </row>
    <row r="8" spans="1:10" ht="78" customHeight="1" x14ac:dyDescent="0.3">
      <c r="A8" s="7" t="s">
        <v>160</v>
      </c>
      <c r="B8" s="10" t="s">
        <v>1158</v>
      </c>
      <c r="C8" s="10" t="s">
        <v>1159</v>
      </c>
      <c r="D8" s="10" t="s">
        <v>1160</v>
      </c>
      <c r="E8" s="6">
        <v>3</v>
      </c>
      <c r="F8" s="10" t="s">
        <v>1161</v>
      </c>
      <c r="G8" s="6">
        <v>3</v>
      </c>
      <c r="H8" s="10" t="s">
        <v>1162</v>
      </c>
      <c r="I8" s="10" t="s">
        <v>1163</v>
      </c>
      <c r="J8" s="10" t="s">
        <v>1164</v>
      </c>
    </row>
    <row r="9" spans="1:10" ht="78" customHeight="1" x14ac:dyDescent="0.3">
      <c r="A9" s="7" t="s">
        <v>1121</v>
      </c>
      <c r="B9" s="10" t="s">
        <v>1165</v>
      </c>
      <c r="C9" s="10" t="s">
        <v>1166</v>
      </c>
      <c r="D9" s="10" t="s">
        <v>1167</v>
      </c>
      <c r="E9" s="6">
        <v>2</v>
      </c>
      <c r="F9" s="10" t="s">
        <v>1168</v>
      </c>
      <c r="G9" s="6">
        <v>2</v>
      </c>
      <c r="H9" s="10" t="s">
        <v>1169</v>
      </c>
      <c r="I9" s="10" t="s">
        <v>1170</v>
      </c>
      <c r="J9" s="10" t="s">
        <v>1171</v>
      </c>
    </row>
    <row r="10" spans="1:10" ht="78" customHeight="1" x14ac:dyDescent="0.3">
      <c r="A10" s="7" t="s">
        <v>1123</v>
      </c>
      <c r="B10" s="10" t="s">
        <v>1172</v>
      </c>
      <c r="C10" s="10" t="s">
        <v>1173</v>
      </c>
      <c r="D10" s="10" t="s">
        <v>1174</v>
      </c>
      <c r="E10" s="6">
        <v>3</v>
      </c>
      <c r="F10" s="10" t="s">
        <v>1175</v>
      </c>
      <c r="G10" s="6">
        <v>4</v>
      </c>
      <c r="H10" s="10" t="s">
        <v>1176</v>
      </c>
      <c r="I10" s="10" t="s">
        <v>1177</v>
      </c>
      <c r="J10" s="10" t="s">
        <v>1178</v>
      </c>
    </row>
    <row r="11" spans="1:10" ht="78" customHeight="1" x14ac:dyDescent="0.3">
      <c r="A11" s="7" t="s">
        <v>1120</v>
      </c>
      <c r="B11" s="10" t="s">
        <v>1179</v>
      </c>
      <c r="C11" s="10" t="s">
        <v>1180</v>
      </c>
      <c r="D11" s="10" t="s">
        <v>1181</v>
      </c>
      <c r="E11" s="6">
        <v>4</v>
      </c>
      <c r="F11" s="10" t="s">
        <v>1182</v>
      </c>
      <c r="G11" s="6">
        <v>2</v>
      </c>
      <c r="H11" s="10" t="s">
        <v>1183</v>
      </c>
      <c r="I11" s="10" t="s">
        <v>1184</v>
      </c>
      <c r="J11" s="10" t="s">
        <v>1185</v>
      </c>
    </row>
    <row r="12" spans="1:10" ht="78" customHeight="1" x14ac:dyDescent="0.3">
      <c r="A12" s="7" t="s">
        <v>146</v>
      </c>
      <c r="B12" s="10" t="s">
        <v>1186</v>
      </c>
      <c r="C12" s="10" t="s">
        <v>1187</v>
      </c>
      <c r="D12" s="10" t="s">
        <v>1188</v>
      </c>
      <c r="E12" s="6">
        <v>4</v>
      </c>
      <c r="F12" s="10" t="s">
        <v>1189</v>
      </c>
      <c r="G12" s="6">
        <v>2</v>
      </c>
      <c r="H12" s="10" t="s">
        <v>1190</v>
      </c>
      <c r="I12" s="10" t="s">
        <v>1191</v>
      </c>
      <c r="J12" s="10" t="s">
        <v>1192</v>
      </c>
    </row>
    <row r="13" spans="1:10" ht="78" customHeight="1" x14ac:dyDescent="0.3">
      <c r="A13" s="7" t="s">
        <v>1124</v>
      </c>
      <c r="B13" s="10" t="s">
        <v>1193</v>
      </c>
      <c r="C13" s="10" t="s">
        <v>1194</v>
      </c>
      <c r="D13" s="10" t="s">
        <v>1195</v>
      </c>
      <c r="E13" s="6">
        <v>2</v>
      </c>
      <c r="F13" s="10" t="s">
        <v>1196</v>
      </c>
      <c r="G13" s="6">
        <v>4</v>
      </c>
      <c r="H13" s="10" t="s">
        <v>1197</v>
      </c>
      <c r="I13" s="10" t="s">
        <v>1198</v>
      </c>
      <c r="J13" s="10" t="s">
        <v>1199</v>
      </c>
    </row>
    <row r="14" spans="1:10" ht="78" customHeight="1" x14ac:dyDescent="0.3">
      <c r="A14" s="7" t="s">
        <v>1119</v>
      </c>
      <c r="B14" s="10" t="s">
        <v>1200</v>
      </c>
      <c r="C14" s="10" t="s">
        <v>1201</v>
      </c>
      <c r="D14" s="10" t="s">
        <v>1202</v>
      </c>
      <c r="E14" s="6">
        <v>3</v>
      </c>
      <c r="F14" s="10" t="s">
        <v>1203</v>
      </c>
      <c r="G14" s="6">
        <v>2</v>
      </c>
      <c r="H14" s="10" t="s">
        <v>1204</v>
      </c>
      <c r="I14" s="10" t="s">
        <v>1205</v>
      </c>
      <c r="J14" s="10" t="s">
        <v>1206</v>
      </c>
    </row>
    <row r="15" spans="1:10" ht="78" customHeight="1" x14ac:dyDescent="0.3">
      <c r="A15" s="7" t="s">
        <v>1122</v>
      </c>
      <c r="B15" s="10" t="s">
        <v>1207</v>
      </c>
      <c r="C15" s="10" t="s">
        <v>1208</v>
      </c>
      <c r="D15" s="10" t="s">
        <v>1209</v>
      </c>
      <c r="E15" s="6">
        <v>2</v>
      </c>
      <c r="F15" s="10" t="s">
        <v>1210</v>
      </c>
      <c r="G15" s="6">
        <v>2</v>
      </c>
      <c r="H15" s="10" t="s">
        <v>1211</v>
      </c>
      <c r="I15" s="10" t="s">
        <v>1212</v>
      </c>
      <c r="J15" s="10" t="s">
        <v>1213</v>
      </c>
    </row>
    <row r="16" spans="1:10" ht="78" customHeight="1" x14ac:dyDescent="0.3">
      <c r="A16" s="7" t="s">
        <v>1214</v>
      </c>
      <c r="B16" s="10" t="s">
        <v>1215</v>
      </c>
      <c r="C16" s="10" t="s">
        <v>1216</v>
      </c>
      <c r="D16" s="10" t="s">
        <v>1217</v>
      </c>
      <c r="E16" s="6"/>
      <c r="F16" s="10"/>
      <c r="G16" s="6"/>
      <c r="H16" s="10" t="s">
        <v>1218</v>
      </c>
      <c r="I16" s="10" t="s">
        <v>1219</v>
      </c>
      <c r="J16" s="10" t="s">
        <v>1220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A6A6"/>
  </sheetPr>
  <dimension ref="A1:I3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4" customWidth="1"/>
    <col min="3" max="3" width="11" customWidth="1"/>
    <col min="4" max="4" width="10" customWidth="1"/>
    <col min="5" max="5" width="13" customWidth="1"/>
    <col min="6" max="6" width="11" customWidth="1"/>
    <col min="7" max="7" width="16" customWidth="1"/>
    <col min="8" max="8" width="70" customWidth="1"/>
    <col min="9" max="9" width="40" customWidth="1"/>
  </cols>
  <sheetData>
    <row r="1" spans="1:9" ht="21" x14ac:dyDescent="0.4">
      <c r="A1" s="1" t="s">
        <v>1221</v>
      </c>
    </row>
    <row r="2" spans="1:9" x14ac:dyDescent="0.3">
      <c r="A2" s="2" t="s">
        <v>1222</v>
      </c>
    </row>
    <row r="4" spans="1:9" ht="30" customHeight="1" x14ac:dyDescent="0.3">
      <c r="A4" s="5" t="s">
        <v>174</v>
      </c>
      <c r="B4" s="5" t="s">
        <v>175</v>
      </c>
      <c r="C4" s="5" t="s">
        <v>176</v>
      </c>
      <c r="D4" s="5" t="s">
        <v>177</v>
      </c>
      <c r="E4" s="5" t="s">
        <v>178</v>
      </c>
      <c r="F4" s="5" t="s">
        <v>179</v>
      </c>
      <c r="G4" s="5" t="s">
        <v>1223</v>
      </c>
      <c r="H4" s="5" t="s">
        <v>1224</v>
      </c>
      <c r="I4" s="5" t="s">
        <v>1225</v>
      </c>
    </row>
    <row r="5" spans="1:9" ht="26.4" x14ac:dyDescent="0.3">
      <c r="A5" s="6" t="s">
        <v>227</v>
      </c>
      <c r="B5" s="10" t="s">
        <v>228</v>
      </c>
      <c r="C5" s="6" t="s">
        <v>229</v>
      </c>
      <c r="D5" s="16">
        <v>804</v>
      </c>
      <c r="E5" s="17" t="str">
        <f>INDEX('Path Scorecard'!$Q$5:$Q$71,MATCH($C5,'Path Scorecard'!$H$5:$H$71,0))</f>
        <v>Probable Hero</v>
      </c>
      <c r="F5" s="6" t="str">
        <f>INDEX('Path Scorecard'!$AC$5:$AC$71,MATCH($C5,'Path Scorecard'!$H$5:$H$71,0))</f>
        <v>BUILD</v>
      </c>
      <c r="G5" s="17" t="str">
        <f>INDEX('Path Scorecard'!$AB$5:$AB$71,MATCH($C5,'Path Scorecard'!$H$5:$H$71,0))</f>
        <v>Parked (gate)</v>
      </c>
      <c r="H5" s="10" t="s">
        <v>994</v>
      </c>
      <c r="I5" s="10" t="s">
        <v>1226</v>
      </c>
    </row>
    <row r="6" spans="1:9" x14ac:dyDescent="0.3">
      <c r="A6" s="6" t="s">
        <v>995</v>
      </c>
      <c r="B6" s="10" t="s">
        <v>996</v>
      </c>
      <c r="C6" s="6" t="s">
        <v>998</v>
      </c>
      <c r="D6" s="16">
        <v>308</v>
      </c>
      <c r="E6" s="17" t="str">
        <f>INDEX('Path Scorecard'!$Q$5:$Q$71,MATCH($C6,'Path Scorecard'!$H$5:$H$71,0))</f>
        <v>Hero</v>
      </c>
      <c r="F6" s="6" t="str">
        <f>INDEX('Path Scorecard'!$AC$5:$AC$71,MATCH($C6,'Path Scorecard'!$H$5:$H$71,0))</f>
        <v>PROTECT</v>
      </c>
      <c r="G6" s="17" t="str">
        <f>INDEX('Path Scorecard'!$AB$5:$AB$71,MATCH($C6,'Path Scorecard'!$H$5:$H$71,0))</f>
        <v>Parked (gate)</v>
      </c>
      <c r="H6" s="10" t="s">
        <v>999</v>
      </c>
      <c r="I6" s="10" t="s">
        <v>1227</v>
      </c>
    </row>
    <row r="7" spans="1:9" x14ac:dyDescent="0.3">
      <c r="A7" s="6" t="s">
        <v>263</v>
      </c>
      <c r="B7" s="10" t="s">
        <v>264</v>
      </c>
      <c r="C7" s="6" t="s">
        <v>265</v>
      </c>
      <c r="D7" s="16">
        <v>11493</v>
      </c>
      <c r="E7" s="17" t="str">
        <f>INDEX('Path Scorecard'!$Q$5:$Q$71,MATCH($C7,'Path Scorecard'!$H$5:$H$71,0))</f>
        <v>Hero</v>
      </c>
      <c r="F7" s="6" t="str">
        <f>INDEX('Path Scorecard'!$AC$5:$AC$71,MATCH($C7,'Path Scorecard'!$H$5:$H$71,0))</f>
        <v>PROTECT</v>
      </c>
      <c r="G7" s="17" t="str">
        <f>INDEX('Path Scorecard'!$AB$5:$AB$71,MATCH($C7,'Path Scorecard'!$H$5:$H$71,0))</f>
        <v>Parked (gate)</v>
      </c>
      <c r="H7" s="10" t="s">
        <v>1001</v>
      </c>
      <c r="I7" s="10" t="s">
        <v>1228</v>
      </c>
    </row>
    <row r="8" spans="1:9" x14ac:dyDescent="0.3">
      <c r="A8" s="6" t="s">
        <v>267</v>
      </c>
      <c r="B8" s="10" t="s">
        <v>268</v>
      </c>
      <c r="C8" s="6" t="s">
        <v>269</v>
      </c>
      <c r="D8" s="16">
        <v>123</v>
      </c>
      <c r="E8" s="17" t="str">
        <f>INDEX('Path Scorecard'!$Q$5:$Q$71,MATCH($C8,'Path Scorecard'!$H$5:$H$71,0))</f>
        <v>Hero</v>
      </c>
      <c r="F8" s="6" t="str">
        <f>INDEX('Path Scorecard'!$AC$5:$AC$71,MATCH($C8,'Path Scorecard'!$H$5:$H$71,0))</f>
        <v>PROTECT</v>
      </c>
      <c r="G8" s="17" t="str">
        <f>INDEX('Path Scorecard'!$AB$5:$AB$71,MATCH($C8,'Path Scorecard'!$H$5:$H$71,0))</f>
        <v>Parked (gate)</v>
      </c>
      <c r="H8" s="10" t="s">
        <v>1006</v>
      </c>
      <c r="I8" s="10" t="s">
        <v>1229</v>
      </c>
    </row>
    <row r="9" spans="1:9" x14ac:dyDescent="0.3">
      <c r="A9" s="6" t="s">
        <v>271</v>
      </c>
      <c r="B9" s="10" t="s">
        <v>272</v>
      </c>
      <c r="C9" s="6" t="s">
        <v>273</v>
      </c>
      <c r="D9" s="16">
        <v>149</v>
      </c>
      <c r="E9" s="17" t="str">
        <f>INDEX('Path Scorecard'!$Q$5:$Q$71,MATCH($C9,'Path Scorecard'!$H$5:$H$71,0))</f>
        <v>Hero</v>
      </c>
      <c r="F9" s="6" t="str">
        <f>INDEX('Path Scorecard'!$AC$5:$AC$71,MATCH($C9,'Path Scorecard'!$H$5:$H$71,0))</f>
        <v>PROTECT</v>
      </c>
      <c r="G9" s="17" t="str">
        <f>INDEX('Path Scorecard'!$AB$5:$AB$71,MATCH($C9,'Path Scorecard'!$H$5:$H$71,0))</f>
        <v>Parked (gate)</v>
      </c>
      <c r="H9" s="10" t="s">
        <v>1006</v>
      </c>
      <c r="I9" s="10" t="s">
        <v>1229</v>
      </c>
    </row>
    <row r="10" spans="1:9" ht="26.4" x14ac:dyDescent="0.3">
      <c r="A10" s="6" t="s">
        <v>250</v>
      </c>
      <c r="B10" s="10" t="s">
        <v>251</v>
      </c>
      <c r="C10" s="6" t="s">
        <v>252</v>
      </c>
      <c r="D10" s="16">
        <v>15</v>
      </c>
      <c r="E10" s="17" t="str">
        <f>INDEX('Path Scorecard'!$Q$5:$Q$71,MATCH($C10,'Path Scorecard'!$H$5:$H$71,0))</f>
        <v>Probable Hero</v>
      </c>
      <c r="F10" s="6" t="str">
        <f>INDEX('Path Scorecard'!$AC$5:$AC$71,MATCH($C10,'Path Scorecard'!$H$5:$H$71,0))</f>
        <v>BUILD</v>
      </c>
      <c r="G10" s="17" t="str">
        <f>INDEX('Path Scorecard'!$AB$5:$AB$71,MATCH($C10,'Path Scorecard'!$H$5:$H$71,0))</f>
        <v>Parked (gate)</v>
      </c>
      <c r="H10" s="10" t="s">
        <v>1012</v>
      </c>
      <c r="I10" s="10" t="s">
        <v>1230</v>
      </c>
    </row>
    <row r="11" spans="1:9" x14ac:dyDescent="0.3">
      <c r="A11" s="6" t="s">
        <v>1013</v>
      </c>
      <c r="B11" s="10" t="s">
        <v>1014</v>
      </c>
      <c r="C11" s="6" t="s">
        <v>1017</v>
      </c>
      <c r="D11" s="16">
        <v>437</v>
      </c>
      <c r="E11" s="17" t="str">
        <f>INDEX('Path Scorecard'!$Q$5:$Q$71,MATCH($C11,'Path Scorecard'!$H$5:$H$71,0))</f>
        <v>Non-Hero</v>
      </c>
      <c r="F11" s="6" t="str">
        <f>INDEX('Path Scorecard'!$AC$5:$AC$71,MATCH($C11,'Path Scorecard'!$H$5:$H$71,0))</f>
        <v>HOLD</v>
      </c>
      <c r="G11" s="17" t="str">
        <f>INDEX('Path Scorecard'!$AB$5:$AB$71,MATCH($C11,'Path Scorecard'!$H$5:$H$71,0))</f>
        <v>Parked (gate)</v>
      </c>
      <c r="H11" s="10" t="s">
        <v>1018</v>
      </c>
      <c r="I11" s="10" t="s">
        <v>1231</v>
      </c>
    </row>
    <row r="12" spans="1:9" x14ac:dyDescent="0.3">
      <c r="A12" s="6" t="s">
        <v>1019</v>
      </c>
      <c r="B12" s="10" t="s">
        <v>1020</v>
      </c>
      <c r="C12" s="6" t="s">
        <v>1024</v>
      </c>
      <c r="D12" s="16">
        <v>1116</v>
      </c>
      <c r="E12" s="17" t="str">
        <f>INDEX('Path Scorecard'!$Q$5:$Q$71,MATCH($C12,'Path Scorecard'!$H$5:$H$71,0))</f>
        <v>Probable Hero</v>
      </c>
      <c r="F12" s="6" t="str">
        <f>INDEX('Path Scorecard'!$AC$5:$AC$71,MATCH($C12,'Path Scorecard'!$H$5:$H$71,0))</f>
        <v>BUILD</v>
      </c>
      <c r="G12" s="17" t="str">
        <f>INDEX('Path Scorecard'!$AB$5:$AB$71,MATCH($C12,'Path Scorecard'!$H$5:$H$71,0))</f>
        <v>Parked (gate)</v>
      </c>
      <c r="H12" s="10" t="s">
        <v>1025</v>
      </c>
      <c r="I12" s="10" t="s">
        <v>1232</v>
      </c>
    </row>
    <row r="13" spans="1:9" ht="26.4" x14ac:dyDescent="0.3">
      <c r="A13" s="6" t="s">
        <v>244</v>
      </c>
      <c r="B13" s="10" t="s">
        <v>245</v>
      </c>
      <c r="C13" s="6" t="s">
        <v>246</v>
      </c>
      <c r="D13" s="16">
        <v>881</v>
      </c>
      <c r="E13" s="17" t="str">
        <f>INDEX('Path Scorecard'!$Q$5:$Q$71,MATCH($C13,'Path Scorecard'!$H$5:$H$71,0))</f>
        <v>Probable Hero</v>
      </c>
      <c r="F13" s="6" t="str">
        <f>INDEX('Path Scorecard'!$AC$5:$AC$71,MATCH($C13,'Path Scorecard'!$H$5:$H$71,0))</f>
        <v>BUILD</v>
      </c>
      <c r="G13" s="17" t="str">
        <f>INDEX('Path Scorecard'!$AB$5:$AB$71,MATCH($C13,'Path Scorecard'!$H$5:$H$71,0))</f>
        <v>Parked (gate)</v>
      </c>
      <c r="H13" s="10" t="s">
        <v>1029</v>
      </c>
      <c r="I13" s="10" t="s">
        <v>1233</v>
      </c>
    </row>
    <row r="14" spans="1:9" x14ac:dyDescent="0.3">
      <c r="A14" s="6" t="s">
        <v>837</v>
      </c>
      <c r="B14" s="10" t="s">
        <v>838</v>
      </c>
      <c r="C14" s="6" t="s">
        <v>840</v>
      </c>
      <c r="D14" s="16">
        <v>229</v>
      </c>
      <c r="E14" s="17" t="str">
        <f>INDEX('Path Scorecard'!$Q$5:$Q$71,MATCH($C14,'Path Scorecard'!$H$5:$H$71,0))</f>
        <v>Non-Hero</v>
      </c>
      <c r="F14" s="6" t="str">
        <f>INDEX('Path Scorecard'!$AC$5:$AC$71,MATCH($C14,'Path Scorecard'!$H$5:$H$71,0))</f>
        <v>HOLD</v>
      </c>
      <c r="G14" s="17" t="str">
        <f>INDEX('Path Scorecard'!$AB$5:$AB$71,MATCH($C14,'Path Scorecard'!$H$5:$H$71,0))</f>
        <v>Tier 3</v>
      </c>
      <c r="H14" s="10" t="s">
        <v>841</v>
      </c>
      <c r="I14" s="10" t="s">
        <v>1234</v>
      </c>
    </row>
    <row r="15" spans="1:9" ht="26.4" x14ac:dyDescent="0.3">
      <c r="A15" s="6" t="s">
        <v>850</v>
      </c>
      <c r="B15" s="10" t="s">
        <v>851</v>
      </c>
      <c r="C15" s="6" t="s">
        <v>853</v>
      </c>
      <c r="D15" s="16">
        <v>82</v>
      </c>
      <c r="E15" s="17" t="str">
        <f>INDEX('Path Scorecard'!$Q$5:$Q$71,MATCH($C15,'Path Scorecard'!$H$5:$H$71,0))</f>
        <v>Non-Hero</v>
      </c>
      <c r="F15" s="6" t="str">
        <f>INDEX('Path Scorecard'!$AC$5:$AC$71,MATCH($C15,'Path Scorecard'!$H$5:$H$71,0))</f>
        <v>HOLD</v>
      </c>
      <c r="G15" s="17" t="str">
        <f>INDEX('Path Scorecard'!$AB$5:$AB$71,MATCH($C15,'Path Scorecard'!$H$5:$H$71,0))</f>
        <v>Tier 3</v>
      </c>
      <c r="H15" s="10" t="s">
        <v>854</v>
      </c>
      <c r="I15" s="10" t="s">
        <v>1235</v>
      </c>
    </row>
    <row r="16" spans="1:9" x14ac:dyDescent="0.3">
      <c r="A16" s="6" t="s">
        <v>196</v>
      </c>
      <c r="B16" s="10" t="s">
        <v>197</v>
      </c>
      <c r="C16" s="6" t="s">
        <v>198</v>
      </c>
      <c r="D16" s="16">
        <v>64</v>
      </c>
      <c r="E16" s="17" t="str">
        <f>INDEX('Path Scorecard'!$Q$5:$Q$71,MATCH($C16,'Path Scorecard'!$H$5:$H$71,0))</f>
        <v>Probable Hero</v>
      </c>
      <c r="F16" s="6" t="str">
        <f>INDEX('Path Scorecard'!$AC$5:$AC$71,MATCH($C16,'Path Scorecard'!$H$5:$H$71,0))</f>
        <v>BUILD</v>
      </c>
      <c r="G16" s="17" t="str">
        <f>INDEX('Path Scorecard'!$AB$5:$AB$71,MATCH($C16,'Path Scorecard'!$H$5:$H$71,0))</f>
        <v>Tier 3</v>
      </c>
      <c r="H16" s="10" t="s">
        <v>888</v>
      </c>
      <c r="I16" s="10" t="s">
        <v>1236</v>
      </c>
    </row>
    <row r="17" spans="1:9" x14ac:dyDescent="0.3">
      <c r="A17" s="6" t="s">
        <v>889</v>
      </c>
      <c r="B17" s="10" t="s">
        <v>890</v>
      </c>
      <c r="C17" s="6" t="s">
        <v>893</v>
      </c>
      <c r="D17" s="16">
        <v>136</v>
      </c>
      <c r="E17" s="17" t="str">
        <f>INDEX('Path Scorecard'!$Q$5:$Q$71,MATCH($C17,'Path Scorecard'!$H$5:$H$71,0))</f>
        <v>Non-Hero</v>
      </c>
      <c r="F17" s="6" t="str">
        <f>INDEX('Path Scorecard'!$AC$5:$AC$71,MATCH($C17,'Path Scorecard'!$H$5:$H$71,0))</f>
        <v>HOLD</v>
      </c>
      <c r="G17" s="17" t="str">
        <f>INDEX('Path Scorecard'!$AB$5:$AB$71,MATCH($C17,'Path Scorecard'!$H$5:$H$71,0))</f>
        <v>Tier 3</v>
      </c>
      <c r="H17" s="10" t="s">
        <v>894</v>
      </c>
      <c r="I17" s="10" t="s">
        <v>1236</v>
      </c>
    </row>
    <row r="18" spans="1:9" ht="26.4" x14ac:dyDescent="0.3">
      <c r="A18" s="6" t="s">
        <v>895</v>
      </c>
      <c r="B18" s="10" t="s">
        <v>896</v>
      </c>
      <c r="C18" s="6" t="s">
        <v>898</v>
      </c>
      <c r="D18" s="16">
        <v>1504</v>
      </c>
      <c r="E18" s="17" t="str">
        <f>INDEX('Path Scorecard'!$Q$5:$Q$71,MATCH($C18,'Path Scorecard'!$H$5:$H$71,0))</f>
        <v>Hero</v>
      </c>
      <c r="F18" s="6" t="str">
        <f>INDEX('Path Scorecard'!$AC$5:$AC$71,MATCH($C18,'Path Scorecard'!$H$5:$H$71,0))</f>
        <v>PROTECT</v>
      </c>
      <c r="G18" s="17" t="str">
        <f>INDEX('Path Scorecard'!$AB$5:$AB$71,MATCH($C18,'Path Scorecard'!$H$5:$H$71,0))</f>
        <v>Tier 3</v>
      </c>
      <c r="H18" s="10" t="s">
        <v>899</v>
      </c>
      <c r="I18" s="10" t="s">
        <v>1237</v>
      </c>
    </row>
    <row r="19" spans="1:9" x14ac:dyDescent="0.3">
      <c r="A19" s="6" t="s">
        <v>900</v>
      </c>
      <c r="B19" s="10" t="s">
        <v>901</v>
      </c>
      <c r="C19" s="6" t="s">
        <v>904</v>
      </c>
      <c r="D19" s="16">
        <v>782</v>
      </c>
      <c r="E19" s="17" t="str">
        <f>INDEX('Path Scorecard'!$Q$5:$Q$71,MATCH($C19,'Path Scorecard'!$H$5:$H$71,0))</f>
        <v>Probable Hero</v>
      </c>
      <c r="F19" s="6" t="str">
        <f>INDEX('Path Scorecard'!$AC$5:$AC$71,MATCH($C19,'Path Scorecard'!$H$5:$H$71,0))</f>
        <v>BUILD</v>
      </c>
      <c r="G19" s="17" t="str">
        <f>INDEX('Path Scorecard'!$AB$5:$AB$71,MATCH($C19,'Path Scorecard'!$H$5:$H$71,0))</f>
        <v>Tier 3</v>
      </c>
      <c r="H19" s="10" t="s">
        <v>905</v>
      </c>
      <c r="I19" s="10" t="s">
        <v>1238</v>
      </c>
    </row>
    <row r="20" spans="1:9" ht="26.4" x14ac:dyDescent="0.3">
      <c r="A20" s="6" t="s">
        <v>906</v>
      </c>
      <c r="B20" s="10" t="s">
        <v>907</v>
      </c>
      <c r="C20" s="6" t="s">
        <v>910</v>
      </c>
      <c r="D20" s="16">
        <v>661</v>
      </c>
      <c r="E20" s="17" t="str">
        <f>INDEX('Path Scorecard'!$Q$5:$Q$71,MATCH($C20,'Path Scorecard'!$H$5:$H$71,0))</f>
        <v>Hero</v>
      </c>
      <c r="F20" s="6" t="str">
        <f>INDEX('Path Scorecard'!$AC$5:$AC$71,MATCH($C20,'Path Scorecard'!$H$5:$H$71,0))</f>
        <v>EXTEND</v>
      </c>
      <c r="G20" s="17" t="str">
        <f>INDEX('Path Scorecard'!$AB$5:$AB$71,MATCH($C20,'Path Scorecard'!$H$5:$H$71,0))</f>
        <v>Tier 3</v>
      </c>
      <c r="H20" s="10" t="s">
        <v>911</v>
      </c>
      <c r="I20" s="10" t="s">
        <v>1236</v>
      </c>
    </row>
    <row r="21" spans="1:9" x14ac:dyDescent="0.3">
      <c r="A21" s="6" t="s">
        <v>912</v>
      </c>
      <c r="B21" s="10" t="s">
        <v>913</v>
      </c>
      <c r="C21" s="6" t="s">
        <v>915</v>
      </c>
      <c r="D21" s="16">
        <v>152</v>
      </c>
      <c r="E21" s="17" t="str">
        <f>INDEX('Path Scorecard'!$Q$5:$Q$71,MATCH($C21,'Path Scorecard'!$H$5:$H$71,0))</f>
        <v>Non-Hero</v>
      </c>
      <c r="F21" s="6" t="str">
        <f>INDEX('Path Scorecard'!$AC$5:$AC$71,MATCH($C21,'Path Scorecard'!$H$5:$H$71,0))</f>
        <v>HOLD</v>
      </c>
      <c r="G21" s="17" t="str">
        <f>INDEX('Path Scorecard'!$AB$5:$AB$71,MATCH($C21,'Path Scorecard'!$H$5:$H$71,0))</f>
        <v>Tier 3</v>
      </c>
      <c r="H21" s="10" t="s">
        <v>916</v>
      </c>
      <c r="I21" s="10" t="s">
        <v>1236</v>
      </c>
    </row>
    <row r="22" spans="1:9" x14ac:dyDescent="0.3">
      <c r="A22" s="6" t="s">
        <v>917</v>
      </c>
      <c r="B22" s="10" t="s">
        <v>918</v>
      </c>
      <c r="C22" s="6" t="s">
        <v>922</v>
      </c>
      <c r="D22" s="16">
        <v>798</v>
      </c>
      <c r="E22" s="17" t="str">
        <f>INDEX('Path Scorecard'!$Q$5:$Q$71,MATCH($C22,'Path Scorecard'!$H$5:$H$71,0))</f>
        <v>Hero</v>
      </c>
      <c r="F22" s="6" t="str">
        <f>INDEX('Path Scorecard'!$AC$5:$AC$71,MATCH($C22,'Path Scorecard'!$H$5:$H$71,0))</f>
        <v>EXTEND</v>
      </c>
      <c r="G22" s="17" t="str">
        <f>INDEX('Path Scorecard'!$AB$5:$AB$71,MATCH($C22,'Path Scorecard'!$H$5:$H$71,0))</f>
        <v>Tier 3</v>
      </c>
      <c r="H22" s="10" t="s">
        <v>923</v>
      </c>
      <c r="I22" s="10" t="s">
        <v>1236</v>
      </c>
    </row>
    <row r="23" spans="1:9" x14ac:dyDescent="0.3">
      <c r="A23" s="6" t="s">
        <v>924</v>
      </c>
      <c r="B23" s="10" t="s">
        <v>925</v>
      </c>
      <c r="C23" s="6" t="s">
        <v>927</v>
      </c>
      <c r="D23" s="16">
        <v>284</v>
      </c>
      <c r="E23" s="17" t="str">
        <f>INDEX('Path Scorecard'!$Q$5:$Q$71,MATCH($C23,'Path Scorecard'!$H$5:$H$71,0))</f>
        <v>Hero</v>
      </c>
      <c r="F23" s="6" t="str">
        <f>INDEX('Path Scorecard'!$AC$5:$AC$71,MATCH($C23,'Path Scorecard'!$H$5:$H$71,0))</f>
        <v>EXTEND</v>
      </c>
      <c r="G23" s="17" t="str">
        <f>INDEX('Path Scorecard'!$AB$5:$AB$71,MATCH($C23,'Path Scorecard'!$H$5:$H$71,0))</f>
        <v>Tier 3</v>
      </c>
      <c r="H23" s="10" t="s">
        <v>928</v>
      </c>
      <c r="I23" s="10" t="s">
        <v>1236</v>
      </c>
    </row>
    <row r="24" spans="1:9" x14ac:dyDescent="0.3">
      <c r="A24" s="6" t="s">
        <v>231</v>
      </c>
      <c r="B24" s="10" t="s">
        <v>232</v>
      </c>
      <c r="C24" s="6" t="s">
        <v>233</v>
      </c>
      <c r="D24" s="16">
        <v>43</v>
      </c>
      <c r="E24" s="17" t="str">
        <f>INDEX('Path Scorecard'!$Q$5:$Q$71,MATCH($C24,'Path Scorecard'!$H$5:$H$71,0))</f>
        <v>Probable Hero</v>
      </c>
      <c r="F24" s="6" t="str">
        <f>INDEX('Path Scorecard'!$AC$5:$AC$71,MATCH($C24,'Path Scorecard'!$H$5:$H$71,0))</f>
        <v>BUILD</v>
      </c>
      <c r="G24" s="17" t="str">
        <f>INDEX('Path Scorecard'!$AB$5:$AB$71,MATCH($C24,'Path Scorecard'!$H$5:$H$71,0))</f>
        <v>Tier 3</v>
      </c>
      <c r="H24" s="10" t="s">
        <v>932</v>
      </c>
      <c r="I24" s="10" t="s">
        <v>1239</v>
      </c>
    </row>
    <row r="25" spans="1:9" ht="26.4" x14ac:dyDescent="0.3">
      <c r="A25" s="6" t="s">
        <v>933</v>
      </c>
      <c r="B25" s="10" t="s">
        <v>934</v>
      </c>
      <c r="C25" s="6" t="s">
        <v>937</v>
      </c>
      <c r="D25" s="16">
        <v>55</v>
      </c>
      <c r="E25" s="17" t="str">
        <f>INDEX('Path Scorecard'!$Q$5:$Q$71,MATCH($C25,'Path Scorecard'!$H$5:$H$71,0))</f>
        <v>Non-Hero</v>
      </c>
      <c r="F25" s="6" t="str">
        <f>INDEX('Path Scorecard'!$AC$5:$AC$71,MATCH($C25,'Path Scorecard'!$H$5:$H$71,0))</f>
        <v>HOLD</v>
      </c>
      <c r="G25" s="17" t="str">
        <f>INDEX('Path Scorecard'!$AB$5:$AB$71,MATCH($C25,'Path Scorecard'!$H$5:$H$71,0))</f>
        <v>Tier 3</v>
      </c>
      <c r="H25" s="10" t="s">
        <v>938</v>
      </c>
      <c r="I25" s="10" t="s">
        <v>1236</v>
      </c>
    </row>
    <row r="26" spans="1:9" x14ac:dyDescent="0.3">
      <c r="A26" s="6" t="s">
        <v>939</v>
      </c>
      <c r="B26" s="10" t="s">
        <v>940</v>
      </c>
      <c r="C26" s="6" t="s">
        <v>942</v>
      </c>
      <c r="D26" s="16">
        <v>46</v>
      </c>
      <c r="E26" s="17" t="str">
        <f>INDEX('Path Scorecard'!$Q$5:$Q$71,MATCH($C26,'Path Scorecard'!$H$5:$H$71,0))</f>
        <v>Non-Hero</v>
      </c>
      <c r="F26" s="6" t="str">
        <f>INDEX('Path Scorecard'!$AC$5:$AC$71,MATCH($C26,'Path Scorecard'!$H$5:$H$71,0))</f>
        <v>HOLD</v>
      </c>
      <c r="G26" s="17" t="str">
        <f>INDEX('Path Scorecard'!$AB$5:$AB$71,MATCH($C26,'Path Scorecard'!$H$5:$H$71,0))</f>
        <v>Tier 3</v>
      </c>
      <c r="H26" s="10" t="s">
        <v>943</v>
      </c>
      <c r="I26" s="10" t="s">
        <v>1236</v>
      </c>
    </row>
    <row r="27" spans="1:9" ht="26.4" x14ac:dyDescent="0.3">
      <c r="A27" s="6" t="s">
        <v>213</v>
      </c>
      <c r="B27" s="10" t="s">
        <v>214</v>
      </c>
      <c r="C27" s="6" t="s">
        <v>215</v>
      </c>
      <c r="D27" s="16">
        <v>576</v>
      </c>
      <c r="E27" s="17" t="str">
        <f>INDEX('Path Scorecard'!$Q$5:$Q$71,MATCH($C27,'Path Scorecard'!$H$5:$H$71,0))</f>
        <v>Hero</v>
      </c>
      <c r="F27" s="6" t="str">
        <f>INDEX('Path Scorecard'!$AC$5:$AC$71,MATCH($C27,'Path Scorecard'!$H$5:$H$71,0))</f>
        <v>PROTECT</v>
      </c>
      <c r="G27" s="17" t="str">
        <f>INDEX('Path Scorecard'!$AB$5:$AB$71,MATCH($C27,'Path Scorecard'!$H$5:$H$71,0))</f>
        <v>Tier 3</v>
      </c>
      <c r="H27" s="10" t="s">
        <v>945</v>
      </c>
      <c r="I27" s="10" t="s">
        <v>1240</v>
      </c>
    </row>
    <row r="28" spans="1:9" ht="26.4" x14ac:dyDescent="0.3">
      <c r="A28" s="6" t="s">
        <v>200</v>
      </c>
      <c r="B28" s="10" t="s">
        <v>201</v>
      </c>
      <c r="C28" s="6" t="s">
        <v>202</v>
      </c>
      <c r="D28" s="16">
        <v>1008</v>
      </c>
      <c r="E28" s="17" t="str">
        <f>INDEX('Path Scorecard'!$Q$5:$Q$71,MATCH($C28,'Path Scorecard'!$H$5:$H$71,0))</f>
        <v>Hero</v>
      </c>
      <c r="F28" s="6" t="str">
        <f>INDEX('Path Scorecard'!$AC$5:$AC$71,MATCH($C28,'Path Scorecard'!$H$5:$H$71,0))</f>
        <v>PROTECT</v>
      </c>
      <c r="G28" s="17" t="str">
        <f>INDEX('Path Scorecard'!$AB$5:$AB$71,MATCH($C28,'Path Scorecard'!$H$5:$H$71,0))</f>
        <v>Tier 3</v>
      </c>
      <c r="H28" s="10" t="s">
        <v>947</v>
      </c>
      <c r="I28" s="10" t="s">
        <v>1241</v>
      </c>
    </row>
    <row r="29" spans="1:9" x14ac:dyDescent="0.3">
      <c r="A29" s="6" t="s">
        <v>948</v>
      </c>
      <c r="B29" s="10" t="s">
        <v>949</v>
      </c>
      <c r="C29" s="6" t="s">
        <v>952</v>
      </c>
      <c r="D29" s="16">
        <v>203</v>
      </c>
      <c r="E29" s="17" t="str">
        <f>INDEX('Path Scorecard'!$Q$5:$Q$71,MATCH($C29,'Path Scorecard'!$H$5:$H$71,0))</f>
        <v>Non-Hero</v>
      </c>
      <c r="F29" s="6" t="str">
        <f>INDEX('Path Scorecard'!$AC$5:$AC$71,MATCH($C29,'Path Scorecard'!$H$5:$H$71,0))</f>
        <v>HOLD</v>
      </c>
      <c r="G29" s="17" t="str">
        <f>INDEX('Path Scorecard'!$AB$5:$AB$71,MATCH($C29,'Path Scorecard'!$H$5:$H$71,0))</f>
        <v>Tier 3</v>
      </c>
      <c r="H29" s="10" t="s">
        <v>953</v>
      </c>
      <c r="I29" s="10" t="s">
        <v>1236</v>
      </c>
    </row>
    <row r="30" spans="1:9" x14ac:dyDescent="0.3">
      <c r="A30" s="6" t="s">
        <v>291</v>
      </c>
      <c r="B30" s="10" t="s">
        <v>292</v>
      </c>
      <c r="C30" s="6" t="s">
        <v>293</v>
      </c>
      <c r="D30" s="16">
        <v>66</v>
      </c>
      <c r="E30" s="17" t="str">
        <f>INDEX('Path Scorecard'!$Q$5:$Q$71,MATCH($C30,'Path Scorecard'!$H$5:$H$71,0))</f>
        <v>Non-Hero</v>
      </c>
      <c r="F30" s="6" t="str">
        <f>INDEX('Path Scorecard'!$AC$5:$AC$71,MATCH($C30,'Path Scorecard'!$H$5:$H$71,0))</f>
        <v>HOLD</v>
      </c>
      <c r="G30" s="17" t="str">
        <f>INDEX('Path Scorecard'!$AB$5:$AB$71,MATCH($C30,'Path Scorecard'!$H$5:$H$71,0))</f>
        <v>Tier 3</v>
      </c>
      <c r="H30" s="10" t="s">
        <v>956</v>
      </c>
      <c r="I30" s="10" t="s">
        <v>1236</v>
      </c>
    </row>
    <row r="31" spans="1:9" x14ac:dyDescent="0.3">
      <c r="A31" s="6" t="s">
        <v>957</v>
      </c>
      <c r="B31" s="10" t="s">
        <v>958</v>
      </c>
      <c r="C31" s="6" t="s">
        <v>961</v>
      </c>
      <c r="D31" s="16">
        <v>126</v>
      </c>
      <c r="E31" s="17" t="str">
        <f>INDEX('Path Scorecard'!$Q$5:$Q$71,MATCH($C31,'Path Scorecard'!$H$5:$H$71,0))</f>
        <v>Non-Hero</v>
      </c>
      <c r="F31" s="6" t="str">
        <f>INDEX('Path Scorecard'!$AC$5:$AC$71,MATCH($C31,'Path Scorecard'!$H$5:$H$71,0))</f>
        <v>HOLD</v>
      </c>
      <c r="G31" s="17" t="str">
        <f>INDEX('Path Scorecard'!$AB$5:$AB$71,MATCH($C31,'Path Scorecard'!$H$5:$H$71,0))</f>
        <v>Tier 3</v>
      </c>
      <c r="H31" s="10" t="s">
        <v>962</v>
      </c>
      <c r="I31" s="10" t="s">
        <v>1236</v>
      </c>
    </row>
    <row r="32" spans="1:9" x14ac:dyDescent="0.3">
      <c r="A32" s="6" t="s">
        <v>963</v>
      </c>
      <c r="B32" s="10" t="s">
        <v>964</v>
      </c>
      <c r="C32" s="6" t="s">
        <v>968</v>
      </c>
      <c r="D32" s="16">
        <v>639</v>
      </c>
      <c r="E32" s="17" t="str">
        <f>INDEX('Path Scorecard'!$Q$5:$Q$71,MATCH($C32,'Path Scorecard'!$H$5:$H$71,0))</f>
        <v>Hero</v>
      </c>
      <c r="F32" s="6" t="str">
        <f>INDEX('Path Scorecard'!$AC$5:$AC$71,MATCH($C32,'Path Scorecard'!$H$5:$H$71,0))</f>
        <v>EXTEND</v>
      </c>
      <c r="G32" s="17" t="str">
        <f>INDEX('Path Scorecard'!$AB$5:$AB$71,MATCH($C32,'Path Scorecard'!$H$5:$H$71,0))</f>
        <v>Tier 3</v>
      </c>
      <c r="H32" s="10" t="s">
        <v>969</v>
      </c>
      <c r="I32" s="10" t="s">
        <v>1236</v>
      </c>
    </row>
    <row r="33" spans="1:9" ht="26.4" x14ac:dyDescent="0.3">
      <c r="A33" s="6" t="s">
        <v>970</v>
      </c>
      <c r="B33" s="10" t="s">
        <v>971</v>
      </c>
      <c r="C33" s="6" t="s">
        <v>973</v>
      </c>
      <c r="D33" s="16">
        <v>139</v>
      </c>
      <c r="E33" s="17" t="str">
        <f>INDEX('Path Scorecard'!$Q$5:$Q$71,MATCH($C33,'Path Scorecard'!$H$5:$H$71,0))</f>
        <v>Probable Hero</v>
      </c>
      <c r="F33" s="6" t="str">
        <f>INDEX('Path Scorecard'!$AC$5:$AC$71,MATCH($C33,'Path Scorecard'!$H$5:$H$71,0))</f>
        <v>BUILD</v>
      </c>
      <c r="G33" s="17" t="str">
        <f>INDEX('Path Scorecard'!$AB$5:$AB$71,MATCH($C33,'Path Scorecard'!$H$5:$H$71,0))</f>
        <v>Tier 3</v>
      </c>
      <c r="H33" s="10" t="s">
        <v>974</v>
      </c>
      <c r="I33" s="10" t="s">
        <v>1236</v>
      </c>
    </row>
    <row r="34" spans="1:9" x14ac:dyDescent="0.3">
      <c r="A34" s="6" t="s">
        <v>975</v>
      </c>
      <c r="B34" s="10" t="s">
        <v>976</v>
      </c>
      <c r="C34" s="6" t="s">
        <v>978</v>
      </c>
      <c r="D34" s="16">
        <v>745</v>
      </c>
      <c r="E34" s="17" t="str">
        <f>INDEX('Path Scorecard'!$Q$5:$Q$71,MATCH($C34,'Path Scorecard'!$H$5:$H$71,0))</f>
        <v>Hero</v>
      </c>
      <c r="F34" s="6" t="str">
        <f>INDEX('Path Scorecard'!$AC$5:$AC$71,MATCH($C34,'Path Scorecard'!$H$5:$H$71,0))</f>
        <v>PROTECT</v>
      </c>
      <c r="G34" s="17" t="str">
        <f>INDEX('Path Scorecard'!$AB$5:$AB$71,MATCH($C34,'Path Scorecard'!$H$5:$H$71,0))</f>
        <v>Tier 3</v>
      </c>
      <c r="H34" s="10" t="s">
        <v>979</v>
      </c>
      <c r="I34" s="10" t="s">
        <v>1236</v>
      </c>
    </row>
    <row r="35" spans="1:9" x14ac:dyDescent="0.3">
      <c r="A35" s="6" t="s">
        <v>204</v>
      </c>
      <c r="B35" s="10" t="s">
        <v>205</v>
      </c>
      <c r="C35" s="6" t="s">
        <v>206</v>
      </c>
      <c r="D35" s="16">
        <v>147</v>
      </c>
      <c r="E35" s="17" t="str">
        <f>INDEX('Path Scorecard'!$Q$5:$Q$71,MATCH($C35,'Path Scorecard'!$H$5:$H$71,0))</f>
        <v>Non-Hero</v>
      </c>
      <c r="F35" s="6" t="str">
        <f>INDEX('Path Scorecard'!$AC$5:$AC$71,MATCH($C35,'Path Scorecard'!$H$5:$H$71,0))</f>
        <v>HOLD</v>
      </c>
      <c r="G35" s="17" t="str">
        <f>INDEX('Path Scorecard'!$AB$5:$AB$71,MATCH($C35,'Path Scorecard'!$H$5:$H$71,0))</f>
        <v>Tier 3</v>
      </c>
      <c r="H35" s="10" t="s">
        <v>981</v>
      </c>
      <c r="I35" s="10" t="s">
        <v>1236</v>
      </c>
    </row>
    <row r="36" spans="1:9" x14ac:dyDescent="0.3">
      <c r="A36" s="6" t="s">
        <v>982</v>
      </c>
      <c r="B36" s="10" t="s">
        <v>983</v>
      </c>
      <c r="C36" s="6" t="s">
        <v>986</v>
      </c>
      <c r="D36" s="16">
        <v>91</v>
      </c>
      <c r="E36" s="17" t="str">
        <f>INDEX('Path Scorecard'!$Q$5:$Q$71,MATCH($C36,'Path Scorecard'!$H$5:$H$71,0))</f>
        <v>Non-Hero</v>
      </c>
      <c r="F36" s="6" t="str">
        <f>INDEX('Path Scorecard'!$AC$5:$AC$71,MATCH($C36,'Path Scorecard'!$H$5:$H$71,0))</f>
        <v>HOLD</v>
      </c>
      <c r="G36" s="17" t="str">
        <f>INDEX('Path Scorecard'!$AB$5:$AB$71,MATCH($C36,'Path Scorecard'!$H$5:$H$71,0))</f>
        <v>Tier 3</v>
      </c>
      <c r="H36" s="10" t="s">
        <v>987</v>
      </c>
      <c r="I36" s="10" t="s">
        <v>1236</v>
      </c>
    </row>
    <row r="37" spans="1:9" x14ac:dyDescent="0.3">
      <c r="A37" s="6" t="s">
        <v>216</v>
      </c>
      <c r="B37" s="10" t="s">
        <v>217</v>
      </c>
      <c r="C37" s="6" t="s">
        <v>218</v>
      </c>
      <c r="D37" s="16">
        <v>77</v>
      </c>
      <c r="E37" s="17" t="str">
        <f>INDEX('Path Scorecard'!$Q$5:$Q$71,MATCH($C37,'Path Scorecard'!$H$5:$H$71,0))</f>
        <v>Non-Hero</v>
      </c>
      <c r="F37" s="6" t="str">
        <f>INDEX('Path Scorecard'!$AC$5:$AC$71,MATCH($C37,'Path Scorecard'!$H$5:$H$71,0))</f>
        <v>HOLD</v>
      </c>
      <c r="G37" s="17" t="str">
        <f>INDEX('Path Scorecard'!$AB$5:$AB$71,MATCH($C37,'Path Scorecard'!$H$5:$H$71,0))</f>
        <v>Tier 3</v>
      </c>
      <c r="H37" s="10" t="s">
        <v>990</v>
      </c>
      <c r="I37" s="10" t="s">
        <v>1236</v>
      </c>
    </row>
    <row r="38" spans="1:9" x14ac:dyDescent="0.3">
      <c r="A38" s="6" t="s">
        <v>207</v>
      </c>
      <c r="B38" s="10" t="s">
        <v>208</v>
      </c>
      <c r="C38" s="6" t="s">
        <v>209</v>
      </c>
      <c r="D38" s="16">
        <v>87</v>
      </c>
      <c r="E38" s="17" t="str">
        <f>INDEX('Path Scorecard'!$Q$5:$Q$71,MATCH($C38,'Path Scorecard'!$H$5:$H$71,0))</f>
        <v>Non-Hero</v>
      </c>
      <c r="F38" s="6" t="str">
        <f>INDEX('Path Scorecard'!$AC$5:$AC$71,MATCH($C38,'Path Scorecard'!$H$5:$H$71,0))</f>
        <v>HOLD</v>
      </c>
      <c r="G38" s="17" t="str">
        <f>INDEX('Path Scorecard'!$AB$5:$AB$71,MATCH($C38,'Path Scorecard'!$H$5:$H$71,0))</f>
        <v>Tier 3</v>
      </c>
      <c r="H38" s="10" t="s">
        <v>992</v>
      </c>
      <c r="I38" s="10" t="s">
        <v>1236</v>
      </c>
    </row>
    <row r="39" spans="1:9" ht="26.4" x14ac:dyDescent="0.3">
      <c r="A39" s="6" t="s">
        <v>1242</v>
      </c>
      <c r="B39" s="10" t="s">
        <v>1243</v>
      </c>
      <c r="C39" s="6" t="s">
        <v>1244</v>
      </c>
      <c r="D39" s="16">
        <v>10635</v>
      </c>
      <c r="E39" s="6" t="s">
        <v>1242</v>
      </c>
      <c r="F39" s="6" t="s">
        <v>1242</v>
      </c>
      <c r="G39" s="17" t="s">
        <v>1245</v>
      </c>
      <c r="H39" s="10" t="s">
        <v>1246</v>
      </c>
      <c r="I39" s="10" t="s">
        <v>1247</v>
      </c>
    </row>
  </sheetData>
  <conditionalFormatting sqref="E5:E39">
    <cfRule type="expression" dxfId="6" priority="5">
      <formula>$E5="Hero"</formula>
    </cfRule>
    <cfRule type="expression" dxfId="5" priority="6">
      <formula>$E5="Probable Hero"</formula>
    </cfRule>
    <cfRule type="expression" dxfId="4" priority="7">
      <formula>$E5="Non-Hero"</formula>
    </cfRule>
  </conditionalFormatting>
  <conditionalFormatting sqref="G5:G39">
    <cfRule type="expression" dxfId="3" priority="1">
      <formula>LEFT($G5,6)="Tier 1"</formula>
    </cfRule>
    <cfRule type="expression" dxfId="2" priority="2">
      <formula>LEFT($G5,6)="Tier 2"</formula>
    </cfRule>
    <cfRule type="expression" dxfId="1" priority="3">
      <formula>LEFT($G5,6)="Tier 3"</formula>
    </cfRule>
    <cfRule type="expression" dxfId="0" priority="4">
      <formula>LEFT($G5,6)="Parked"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A6A6"/>
  </sheetPr>
  <dimension ref="A1:H3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70" customWidth="1"/>
    <col min="3" max="3" width="24" customWidth="1"/>
    <col min="4" max="4" width="60" customWidth="1"/>
    <col min="5" max="6" width="11" customWidth="1"/>
    <col min="7" max="7" width="18" customWidth="1"/>
    <col min="8" max="8" width="30" customWidth="1"/>
  </cols>
  <sheetData>
    <row r="1" spans="1:8" ht="21" x14ac:dyDescent="0.4">
      <c r="A1" s="1" t="s">
        <v>1248</v>
      </c>
    </row>
    <row r="2" spans="1:8" x14ac:dyDescent="0.3">
      <c r="A2" s="2" t="s">
        <v>1249</v>
      </c>
    </row>
    <row r="4" spans="1:8" ht="30" customHeight="1" x14ac:dyDescent="0.3">
      <c r="A4" s="5" t="s">
        <v>10</v>
      </c>
      <c r="B4" s="5" t="s">
        <v>1250</v>
      </c>
      <c r="C4" s="5" t="s">
        <v>1251</v>
      </c>
      <c r="D4" s="5" t="s">
        <v>1252</v>
      </c>
      <c r="E4" s="5" t="s">
        <v>1253</v>
      </c>
      <c r="F4" s="5" t="s">
        <v>1254</v>
      </c>
      <c r="G4" s="5" t="s">
        <v>1255</v>
      </c>
      <c r="H4" s="5" t="s">
        <v>1256</v>
      </c>
    </row>
    <row r="5" spans="1:8" ht="43.95" customHeight="1" x14ac:dyDescent="0.3">
      <c r="A5" s="6">
        <v>1</v>
      </c>
      <c r="B5" s="10" t="s">
        <v>1257</v>
      </c>
      <c r="C5" s="10" t="s">
        <v>1258</v>
      </c>
      <c r="D5" s="10" t="s">
        <v>1259</v>
      </c>
      <c r="E5" s="6" t="s">
        <v>1260</v>
      </c>
      <c r="F5" s="6" t="s">
        <v>1261</v>
      </c>
      <c r="G5" s="10" t="s">
        <v>1262</v>
      </c>
      <c r="H5" s="10" t="s">
        <v>1263</v>
      </c>
    </row>
    <row r="6" spans="1:8" ht="43.95" customHeight="1" x14ac:dyDescent="0.3">
      <c r="A6" s="6">
        <v>2</v>
      </c>
      <c r="B6" s="10" t="s">
        <v>1264</v>
      </c>
      <c r="C6" s="10" t="s">
        <v>1265</v>
      </c>
      <c r="D6" s="10" t="s">
        <v>1266</v>
      </c>
      <c r="E6" s="6" t="s">
        <v>1267</v>
      </c>
      <c r="F6" s="6" t="s">
        <v>1261</v>
      </c>
      <c r="G6" s="10" t="s">
        <v>1268</v>
      </c>
      <c r="H6" s="10" t="s">
        <v>1269</v>
      </c>
    </row>
    <row r="7" spans="1:8" ht="43.95" customHeight="1" x14ac:dyDescent="0.3">
      <c r="A7" s="6">
        <v>3</v>
      </c>
      <c r="B7" s="10" t="s">
        <v>1270</v>
      </c>
      <c r="C7" s="10" t="s">
        <v>1271</v>
      </c>
      <c r="D7" s="10" t="s">
        <v>1272</v>
      </c>
      <c r="E7" s="6" t="s">
        <v>1273</v>
      </c>
      <c r="F7" s="6" t="s">
        <v>1261</v>
      </c>
      <c r="G7" s="10" t="s">
        <v>1268</v>
      </c>
      <c r="H7" s="10" t="s">
        <v>1274</v>
      </c>
    </row>
    <row r="8" spans="1:8" ht="43.95" customHeight="1" x14ac:dyDescent="0.3">
      <c r="A8" s="6">
        <v>4</v>
      </c>
      <c r="B8" s="10" t="s">
        <v>1275</v>
      </c>
      <c r="C8" s="10" t="s">
        <v>1276</v>
      </c>
      <c r="D8" s="10" t="s">
        <v>1277</v>
      </c>
      <c r="E8" s="6" t="s">
        <v>1278</v>
      </c>
      <c r="F8" s="6" t="s">
        <v>1279</v>
      </c>
      <c r="G8" s="10" t="s">
        <v>702</v>
      </c>
      <c r="H8" s="10" t="s">
        <v>1280</v>
      </c>
    </row>
    <row r="9" spans="1:8" ht="43.95" customHeight="1" x14ac:dyDescent="0.3">
      <c r="A9" s="6">
        <v>5</v>
      </c>
      <c r="B9" s="10" t="s">
        <v>1281</v>
      </c>
      <c r="C9" s="10" t="s">
        <v>1282</v>
      </c>
      <c r="D9" s="10" t="s">
        <v>1283</v>
      </c>
      <c r="E9" s="6" t="s">
        <v>1284</v>
      </c>
      <c r="F9" s="6" t="s">
        <v>1285</v>
      </c>
      <c r="G9" s="10" t="s">
        <v>1268</v>
      </c>
      <c r="H9" s="10" t="s">
        <v>1286</v>
      </c>
    </row>
    <row r="10" spans="1:8" ht="43.95" customHeight="1" x14ac:dyDescent="0.3">
      <c r="A10" s="6">
        <v>6</v>
      </c>
      <c r="B10" s="10" t="s">
        <v>1287</v>
      </c>
      <c r="C10" s="10" t="s">
        <v>1288</v>
      </c>
      <c r="D10" s="10" t="s">
        <v>1289</v>
      </c>
      <c r="E10" s="6" t="s">
        <v>1290</v>
      </c>
      <c r="F10" s="6" t="s">
        <v>1261</v>
      </c>
      <c r="G10" s="10" t="s">
        <v>702</v>
      </c>
      <c r="H10" s="10" t="s">
        <v>1291</v>
      </c>
    </row>
    <row r="11" spans="1:8" ht="43.95" customHeight="1" x14ac:dyDescent="0.3">
      <c r="A11" s="6">
        <v>7</v>
      </c>
      <c r="B11" s="10" t="s">
        <v>1292</v>
      </c>
      <c r="C11" s="10" t="s">
        <v>1293</v>
      </c>
      <c r="D11" s="10" t="s">
        <v>1294</v>
      </c>
      <c r="E11" s="6" t="s">
        <v>1278</v>
      </c>
      <c r="F11" s="6" t="s">
        <v>1279</v>
      </c>
      <c r="G11" s="10" t="s">
        <v>1268</v>
      </c>
      <c r="H11" s="10" t="s">
        <v>1295</v>
      </c>
    </row>
    <row r="12" spans="1:8" ht="43.95" customHeight="1" x14ac:dyDescent="0.3">
      <c r="A12" s="6">
        <v>8</v>
      </c>
      <c r="B12" s="10" t="s">
        <v>1296</v>
      </c>
      <c r="C12" s="10" t="s">
        <v>138</v>
      </c>
      <c r="D12" s="10" t="s">
        <v>1297</v>
      </c>
      <c r="E12" s="6" t="s">
        <v>1278</v>
      </c>
      <c r="F12" s="6" t="s">
        <v>1261</v>
      </c>
      <c r="G12" s="10" t="s">
        <v>1268</v>
      </c>
      <c r="H12" s="10" t="s">
        <v>1298</v>
      </c>
    </row>
    <row r="13" spans="1:8" ht="43.95" customHeight="1" x14ac:dyDescent="0.3">
      <c r="A13" s="6">
        <v>9</v>
      </c>
      <c r="B13" s="10" t="s">
        <v>1299</v>
      </c>
      <c r="C13" s="10" t="s">
        <v>1300</v>
      </c>
      <c r="D13" s="10" t="s">
        <v>1301</v>
      </c>
      <c r="E13" s="6" t="s">
        <v>1302</v>
      </c>
      <c r="F13" s="6" t="s">
        <v>1285</v>
      </c>
      <c r="G13" s="10" t="s">
        <v>1268</v>
      </c>
      <c r="H13" s="10" t="s">
        <v>1303</v>
      </c>
    </row>
    <row r="14" spans="1:8" ht="43.95" customHeight="1" x14ac:dyDescent="0.3">
      <c r="A14" s="6">
        <v>10</v>
      </c>
      <c r="B14" s="10" t="s">
        <v>1304</v>
      </c>
      <c r="C14" s="10" t="s">
        <v>1305</v>
      </c>
      <c r="D14" s="10" t="s">
        <v>1306</v>
      </c>
      <c r="E14" s="6" t="s">
        <v>1278</v>
      </c>
      <c r="F14" s="6" t="s">
        <v>1261</v>
      </c>
      <c r="G14" s="10" t="s">
        <v>1268</v>
      </c>
      <c r="H14" s="10" t="s">
        <v>1307</v>
      </c>
    </row>
    <row r="15" spans="1:8" ht="43.95" customHeight="1" x14ac:dyDescent="0.3">
      <c r="A15" s="6">
        <v>11</v>
      </c>
      <c r="B15" s="10" t="s">
        <v>1308</v>
      </c>
      <c r="C15" s="10" t="s">
        <v>1309</v>
      </c>
      <c r="D15" s="10" t="s">
        <v>1310</v>
      </c>
      <c r="E15" s="6" t="s">
        <v>1311</v>
      </c>
      <c r="F15" s="6" t="s">
        <v>1285</v>
      </c>
      <c r="G15" s="10" t="s">
        <v>1268</v>
      </c>
      <c r="H15" s="10" t="s">
        <v>1312</v>
      </c>
    </row>
    <row r="16" spans="1:8" ht="43.95" customHeight="1" x14ac:dyDescent="0.3">
      <c r="A16" s="6">
        <v>12</v>
      </c>
      <c r="B16" s="10" t="s">
        <v>1313</v>
      </c>
      <c r="C16" s="10" t="s">
        <v>1314</v>
      </c>
      <c r="D16" s="10" t="s">
        <v>1315</v>
      </c>
      <c r="E16" s="6" t="s">
        <v>1316</v>
      </c>
      <c r="F16" s="6" t="s">
        <v>1261</v>
      </c>
      <c r="G16" s="10" t="s">
        <v>1268</v>
      </c>
      <c r="H16" s="10" t="s">
        <v>1317</v>
      </c>
    </row>
    <row r="17" spans="1:8" ht="43.95" customHeight="1" x14ac:dyDescent="0.3">
      <c r="A17" s="6">
        <v>13</v>
      </c>
      <c r="B17" s="10" t="s">
        <v>1318</v>
      </c>
      <c r="C17" s="10" t="s">
        <v>1319</v>
      </c>
      <c r="D17" s="10" t="s">
        <v>1320</v>
      </c>
      <c r="E17" s="6" t="s">
        <v>1278</v>
      </c>
      <c r="F17" s="6" t="s">
        <v>1261</v>
      </c>
      <c r="G17" s="10" t="s">
        <v>1268</v>
      </c>
      <c r="H17" s="10" t="s">
        <v>1321</v>
      </c>
    </row>
    <row r="18" spans="1:8" ht="43.95" customHeight="1" x14ac:dyDescent="0.3">
      <c r="A18" s="6">
        <v>14</v>
      </c>
      <c r="B18" s="10" t="s">
        <v>1322</v>
      </c>
      <c r="C18" s="10" t="s">
        <v>1323</v>
      </c>
      <c r="D18" s="10" t="s">
        <v>1324</v>
      </c>
      <c r="E18" s="6" t="s">
        <v>1278</v>
      </c>
      <c r="F18" s="6" t="s">
        <v>1261</v>
      </c>
      <c r="G18" s="10" t="s">
        <v>1268</v>
      </c>
      <c r="H18" s="10" t="s">
        <v>1325</v>
      </c>
    </row>
    <row r="19" spans="1:8" ht="43.95" customHeight="1" x14ac:dyDescent="0.3">
      <c r="A19" s="6">
        <v>15</v>
      </c>
      <c r="B19" s="10" t="s">
        <v>1326</v>
      </c>
      <c r="C19" s="10" t="s">
        <v>1327</v>
      </c>
      <c r="D19" s="10" t="s">
        <v>1328</v>
      </c>
      <c r="E19" s="6" t="s">
        <v>1278</v>
      </c>
      <c r="F19" s="6" t="s">
        <v>1285</v>
      </c>
      <c r="G19" s="10" t="s">
        <v>1268</v>
      </c>
      <c r="H19" s="10" t="s">
        <v>1329</v>
      </c>
    </row>
    <row r="20" spans="1:8" ht="43.95" customHeight="1" x14ac:dyDescent="0.3">
      <c r="A20" s="6">
        <v>16</v>
      </c>
      <c r="B20" s="10" t="s">
        <v>1330</v>
      </c>
      <c r="C20" s="10" t="s">
        <v>1331</v>
      </c>
      <c r="D20" s="10" t="s">
        <v>1332</v>
      </c>
      <c r="E20" s="6" t="s">
        <v>1278</v>
      </c>
      <c r="F20" s="6" t="s">
        <v>1285</v>
      </c>
      <c r="G20" s="10" t="s">
        <v>1268</v>
      </c>
      <c r="H20" s="10" t="s">
        <v>1329</v>
      </c>
    </row>
    <row r="21" spans="1:8" ht="43.95" customHeight="1" x14ac:dyDescent="0.3">
      <c r="A21" s="6">
        <v>17</v>
      </c>
      <c r="B21" s="10" t="s">
        <v>1333</v>
      </c>
      <c r="C21" s="10" t="s">
        <v>1334</v>
      </c>
      <c r="D21" s="10" t="s">
        <v>1335</v>
      </c>
      <c r="E21" s="6" t="s">
        <v>1336</v>
      </c>
      <c r="F21" s="6" t="s">
        <v>1337</v>
      </c>
      <c r="G21" s="10" t="s">
        <v>1268</v>
      </c>
      <c r="H21" s="10" t="s">
        <v>1338</v>
      </c>
    </row>
    <row r="22" spans="1:8" ht="43.95" customHeight="1" x14ac:dyDescent="0.3">
      <c r="A22" s="6">
        <v>18</v>
      </c>
      <c r="B22" s="10" t="s">
        <v>1339</v>
      </c>
      <c r="C22" s="10" t="s">
        <v>1340</v>
      </c>
      <c r="D22" s="10" t="s">
        <v>1341</v>
      </c>
      <c r="E22" s="6" t="s">
        <v>1278</v>
      </c>
      <c r="F22" s="6" t="s">
        <v>1342</v>
      </c>
      <c r="G22" s="10" t="s">
        <v>1268</v>
      </c>
      <c r="H22" s="10" t="s">
        <v>1343</v>
      </c>
    </row>
    <row r="23" spans="1:8" ht="43.95" customHeight="1" x14ac:dyDescent="0.3">
      <c r="A23" s="6">
        <v>19</v>
      </c>
      <c r="B23" s="10" t="s">
        <v>1344</v>
      </c>
      <c r="C23" s="10" t="s">
        <v>1345</v>
      </c>
      <c r="D23" s="10" t="s">
        <v>1346</v>
      </c>
      <c r="E23" s="6" t="s">
        <v>1347</v>
      </c>
      <c r="F23" s="6" t="s">
        <v>1337</v>
      </c>
      <c r="G23" s="10" t="s">
        <v>1268</v>
      </c>
      <c r="H23" s="10" t="s">
        <v>1348</v>
      </c>
    </row>
    <row r="24" spans="1:8" ht="43.95" customHeight="1" x14ac:dyDescent="0.3">
      <c r="A24" s="6">
        <v>20</v>
      </c>
      <c r="B24" s="10" t="s">
        <v>1349</v>
      </c>
      <c r="C24" s="10" t="s">
        <v>1350</v>
      </c>
      <c r="D24" s="10" t="s">
        <v>1351</v>
      </c>
      <c r="E24" s="6" t="s">
        <v>1352</v>
      </c>
      <c r="F24" s="6" t="s">
        <v>1342</v>
      </c>
      <c r="G24" s="10" t="s">
        <v>1268</v>
      </c>
      <c r="H24" s="10" t="s">
        <v>1286</v>
      </c>
    </row>
    <row r="25" spans="1:8" ht="43.95" customHeight="1" x14ac:dyDescent="0.3">
      <c r="A25" s="6">
        <v>21</v>
      </c>
      <c r="B25" s="10" t="s">
        <v>1353</v>
      </c>
      <c r="C25" s="10" t="s">
        <v>1354</v>
      </c>
      <c r="D25" s="10" t="s">
        <v>1355</v>
      </c>
      <c r="E25" s="6" t="s">
        <v>1278</v>
      </c>
      <c r="F25" s="6" t="s">
        <v>1342</v>
      </c>
      <c r="G25" s="10" t="s">
        <v>1268</v>
      </c>
      <c r="H25" s="10" t="s">
        <v>1356</v>
      </c>
    </row>
    <row r="26" spans="1:8" ht="43.95" customHeight="1" x14ac:dyDescent="0.3">
      <c r="A26" s="6">
        <v>22</v>
      </c>
      <c r="B26" s="10" t="s">
        <v>1357</v>
      </c>
      <c r="C26" s="10" t="s">
        <v>1358</v>
      </c>
      <c r="D26" s="10" t="s">
        <v>1359</v>
      </c>
      <c r="E26" s="6" t="s">
        <v>1278</v>
      </c>
      <c r="F26" s="6" t="s">
        <v>1342</v>
      </c>
      <c r="G26" s="10" t="s">
        <v>1268</v>
      </c>
      <c r="H26" s="10" t="s">
        <v>1360</v>
      </c>
    </row>
    <row r="27" spans="1:8" ht="43.95" customHeight="1" x14ac:dyDescent="0.3">
      <c r="A27" s="6">
        <v>23</v>
      </c>
      <c r="B27" s="10" t="s">
        <v>1361</v>
      </c>
      <c r="C27" s="10" t="s">
        <v>1362</v>
      </c>
      <c r="D27" s="10" t="s">
        <v>1363</v>
      </c>
      <c r="E27" s="6" t="s">
        <v>1278</v>
      </c>
      <c r="F27" s="6" t="s">
        <v>1342</v>
      </c>
      <c r="G27" s="10" t="s">
        <v>1268</v>
      </c>
      <c r="H27" s="10" t="s">
        <v>1364</v>
      </c>
    </row>
    <row r="28" spans="1:8" ht="43.95" customHeight="1" x14ac:dyDescent="0.3">
      <c r="A28" s="6">
        <v>24</v>
      </c>
      <c r="B28" s="10" t="s">
        <v>1365</v>
      </c>
      <c r="C28" s="10" t="s">
        <v>1366</v>
      </c>
      <c r="D28" s="10" t="s">
        <v>1367</v>
      </c>
      <c r="E28" s="6" t="s">
        <v>1368</v>
      </c>
      <c r="F28" s="6" t="s">
        <v>1342</v>
      </c>
      <c r="G28" s="10" t="s">
        <v>1268</v>
      </c>
      <c r="H28" s="10" t="s">
        <v>1369</v>
      </c>
    </row>
    <row r="29" spans="1:8" ht="43.95" customHeight="1" x14ac:dyDescent="0.3">
      <c r="A29" s="6">
        <v>25</v>
      </c>
      <c r="B29" s="10" t="s">
        <v>1370</v>
      </c>
      <c r="C29" s="10" t="s">
        <v>1371</v>
      </c>
      <c r="D29" s="10" t="s">
        <v>1372</v>
      </c>
      <c r="E29" s="6" t="s">
        <v>1278</v>
      </c>
      <c r="F29" s="6" t="s">
        <v>1342</v>
      </c>
      <c r="G29" s="10" t="s">
        <v>1268</v>
      </c>
      <c r="H29" s="10" t="s">
        <v>1373</v>
      </c>
    </row>
    <row r="30" spans="1:8" ht="43.95" customHeight="1" x14ac:dyDescent="0.3">
      <c r="A30" s="6">
        <v>26</v>
      </c>
      <c r="B30" s="10" t="s">
        <v>1374</v>
      </c>
      <c r="C30" s="10" t="s">
        <v>1375</v>
      </c>
      <c r="D30" s="10" t="s">
        <v>1376</v>
      </c>
      <c r="E30" s="6" t="s">
        <v>1377</v>
      </c>
      <c r="F30" s="6" t="s">
        <v>1261</v>
      </c>
      <c r="G30" s="10" t="s">
        <v>702</v>
      </c>
      <c r="H30" s="10" t="s">
        <v>1378</v>
      </c>
    </row>
    <row r="31" spans="1:8" ht="43.95" customHeight="1" x14ac:dyDescent="0.3">
      <c r="A31" s="6">
        <v>27</v>
      </c>
      <c r="B31" s="10" t="s">
        <v>1379</v>
      </c>
      <c r="C31" s="10" t="s">
        <v>1375</v>
      </c>
      <c r="D31" s="10" t="s">
        <v>1380</v>
      </c>
      <c r="E31" s="6" t="s">
        <v>1381</v>
      </c>
      <c r="F31" s="6" t="s">
        <v>1261</v>
      </c>
      <c r="G31" s="10" t="s">
        <v>702</v>
      </c>
      <c r="H31" s="10" t="s">
        <v>1382</v>
      </c>
    </row>
    <row r="32" spans="1:8" ht="43.95" customHeight="1" x14ac:dyDescent="0.3">
      <c r="A32" s="6">
        <v>28</v>
      </c>
      <c r="B32" s="10" t="s">
        <v>1383</v>
      </c>
      <c r="C32" s="10" t="s">
        <v>1384</v>
      </c>
      <c r="D32" s="10" t="s">
        <v>1385</v>
      </c>
      <c r="E32" s="6" t="s">
        <v>1386</v>
      </c>
      <c r="F32" s="6" t="s">
        <v>1261</v>
      </c>
      <c r="G32" s="10" t="s">
        <v>702</v>
      </c>
      <c r="H32" s="10" t="s">
        <v>1387</v>
      </c>
    </row>
    <row r="33" spans="1:8" ht="43.95" customHeight="1" x14ac:dyDescent="0.3">
      <c r="A33" s="6">
        <v>29</v>
      </c>
      <c r="B33" s="10" t="s">
        <v>1388</v>
      </c>
      <c r="C33" s="10" t="s">
        <v>1389</v>
      </c>
      <c r="D33" s="10" t="s">
        <v>1390</v>
      </c>
      <c r="E33" s="6" t="s">
        <v>1391</v>
      </c>
      <c r="F33" s="6" t="s">
        <v>1261</v>
      </c>
      <c r="G33" s="10" t="s">
        <v>702</v>
      </c>
      <c r="H33" s="10" t="s">
        <v>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A6A6"/>
  </sheetPr>
  <dimension ref="A1:K12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3" width="30" customWidth="1"/>
    <col min="4" max="4" width="34" customWidth="1"/>
    <col min="5" max="5" width="6" customWidth="1"/>
    <col min="6" max="6" width="11" customWidth="1"/>
    <col min="7" max="7" width="8" customWidth="1"/>
    <col min="8" max="8" width="9" customWidth="1"/>
    <col min="9" max="9" width="10" customWidth="1"/>
    <col min="10" max="10" width="70" customWidth="1"/>
    <col min="11" max="11" width="60" customWidth="1"/>
  </cols>
  <sheetData>
    <row r="1" spans="1:11" ht="21" x14ac:dyDescent="0.4">
      <c r="A1" s="1" t="s">
        <v>1393</v>
      </c>
    </row>
    <row r="2" spans="1:11" x14ac:dyDescent="0.3">
      <c r="A2" s="2" t="s">
        <v>1394</v>
      </c>
    </row>
    <row r="4" spans="1:11" ht="30" customHeight="1" x14ac:dyDescent="0.3">
      <c r="A4" s="5" t="s">
        <v>739</v>
      </c>
      <c r="B4" s="5" t="s">
        <v>740</v>
      </c>
      <c r="C4" s="5" t="s">
        <v>21</v>
      </c>
      <c r="D4" s="5" t="s">
        <v>37</v>
      </c>
      <c r="E4" s="5" t="s">
        <v>13</v>
      </c>
      <c r="F4" s="5" t="s">
        <v>176</v>
      </c>
      <c r="G4" s="5" t="s">
        <v>1395</v>
      </c>
      <c r="H4" s="5" t="s">
        <v>300</v>
      </c>
      <c r="I4" s="5" t="s">
        <v>1396</v>
      </c>
      <c r="J4" s="5" t="s">
        <v>1397</v>
      </c>
      <c r="K4" s="5" t="s">
        <v>1398</v>
      </c>
    </row>
    <row r="5" spans="1:11" x14ac:dyDescent="0.3">
      <c r="A5" s="12" t="s">
        <v>1008</v>
      </c>
      <c r="B5" s="12" t="s">
        <v>1009</v>
      </c>
      <c r="C5" s="12" t="s">
        <v>1010</v>
      </c>
      <c r="D5" s="12" t="s">
        <v>1399</v>
      </c>
      <c r="E5" s="12">
        <v>4</v>
      </c>
      <c r="F5" s="12" t="s">
        <v>1400</v>
      </c>
      <c r="G5" s="12">
        <v>23</v>
      </c>
      <c r="H5" s="12">
        <v>0</v>
      </c>
      <c r="I5" s="12"/>
      <c r="J5" s="12" t="s">
        <v>1401</v>
      </c>
      <c r="K5" s="12" t="s">
        <v>1402</v>
      </c>
    </row>
    <row r="6" spans="1:11" x14ac:dyDescent="0.3">
      <c r="A6" s="12" t="s">
        <v>1008</v>
      </c>
      <c r="B6" s="12" t="s">
        <v>1009</v>
      </c>
      <c r="C6" s="12" t="s">
        <v>1010</v>
      </c>
      <c r="D6" s="12" t="s">
        <v>1011</v>
      </c>
      <c r="E6" s="12">
        <v>4</v>
      </c>
      <c r="F6" s="12" t="s">
        <v>252</v>
      </c>
      <c r="G6" s="12">
        <v>15</v>
      </c>
      <c r="H6" s="12">
        <v>15</v>
      </c>
      <c r="I6" s="3" t="s">
        <v>250</v>
      </c>
      <c r="J6" s="12" t="s">
        <v>251</v>
      </c>
      <c r="K6" s="12" t="s">
        <v>1403</v>
      </c>
    </row>
    <row r="7" spans="1:11" x14ac:dyDescent="0.3">
      <c r="A7" s="12" t="s">
        <v>1008</v>
      </c>
      <c r="B7" s="12" t="s">
        <v>1009</v>
      </c>
      <c r="C7" s="12" t="s">
        <v>1010</v>
      </c>
      <c r="D7" s="12" t="s">
        <v>1404</v>
      </c>
      <c r="E7" s="12">
        <v>4</v>
      </c>
      <c r="F7" s="12" t="s">
        <v>1405</v>
      </c>
      <c r="G7" s="12">
        <v>37</v>
      </c>
      <c r="H7" s="12">
        <v>0</v>
      </c>
      <c r="I7" s="12"/>
      <c r="J7" s="12" t="s">
        <v>1406</v>
      </c>
      <c r="K7" s="12" t="s">
        <v>1407</v>
      </c>
    </row>
    <row r="8" spans="1:11" x14ac:dyDescent="0.3">
      <c r="A8" s="12" t="s">
        <v>1008</v>
      </c>
      <c r="B8" s="12" t="s">
        <v>1009</v>
      </c>
      <c r="C8" s="12" t="s">
        <v>1010</v>
      </c>
      <c r="D8" s="12" t="s">
        <v>1408</v>
      </c>
      <c r="E8" s="12">
        <v>4</v>
      </c>
      <c r="F8" s="12" t="s">
        <v>1409</v>
      </c>
      <c r="G8" s="12">
        <v>8</v>
      </c>
      <c r="H8" s="12">
        <v>0</v>
      </c>
      <c r="I8" s="12"/>
      <c r="J8" s="12" t="s">
        <v>1410</v>
      </c>
      <c r="K8" s="12" t="s">
        <v>1411</v>
      </c>
    </row>
    <row r="9" spans="1:11" x14ac:dyDescent="0.3">
      <c r="A9" s="12" t="s">
        <v>1008</v>
      </c>
      <c r="B9" s="12" t="s">
        <v>1009</v>
      </c>
      <c r="C9" s="12" t="s">
        <v>1010</v>
      </c>
      <c r="D9" s="12" t="s">
        <v>1412</v>
      </c>
      <c r="E9" s="12">
        <v>4</v>
      </c>
      <c r="F9" s="12" t="s">
        <v>1413</v>
      </c>
      <c r="G9" s="12">
        <v>36</v>
      </c>
      <c r="H9" s="12">
        <v>0</v>
      </c>
      <c r="I9" s="12"/>
      <c r="J9" s="12" t="s">
        <v>1414</v>
      </c>
      <c r="K9" s="12" t="s">
        <v>1415</v>
      </c>
    </row>
    <row r="10" spans="1:11" x14ac:dyDescent="0.3">
      <c r="A10" s="12" t="s">
        <v>1008</v>
      </c>
      <c r="B10" s="12" t="s">
        <v>1009</v>
      </c>
      <c r="C10" s="12" t="s">
        <v>1416</v>
      </c>
      <c r="D10" s="12" t="s">
        <v>1417</v>
      </c>
      <c r="E10" s="12">
        <v>4</v>
      </c>
      <c r="F10" s="12" t="s">
        <v>1418</v>
      </c>
      <c r="G10" s="12">
        <v>5</v>
      </c>
      <c r="H10" s="12">
        <v>0</v>
      </c>
      <c r="I10" s="12"/>
      <c r="J10" s="12" t="s">
        <v>1419</v>
      </c>
      <c r="K10" s="12" t="s">
        <v>1420</v>
      </c>
    </row>
    <row r="11" spans="1:11" x14ac:dyDescent="0.3">
      <c r="A11" s="12" t="s">
        <v>1008</v>
      </c>
      <c r="B11" s="12" t="s">
        <v>1009</v>
      </c>
      <c r="C11" s="12" t="s">
        <v>1416</v>
      </c>
      <c r="D11" s="12" t="s">
        <v>1421</v>
      </c>
      <c r="E11" s="12">
        <v>4</v>
      </c>
      <c r="F11" s="12" t="s">
        <v>1422</v>
      </c>
      <c r="G11" s="12">
        <v>236</v>
      </c>
      <c r="H11" s="12">
        <v>0</v>
      </c>
      <c r="I11" s="12"/>
      <c r="J11" s="12" t="s">
        <v>1423</v>
      </c>
      <c r="K11" s="12" t="s">
        <v>1424</v>
      </c>
    </row>
    <row r="12" spans="1:11" x14ac:dyDescent="0.3">
      <c r="A12" s="12" t="s">
        <v>1008</v>
      </c>
      <c r="B12" s="12" t="s">
        <v>1009</v>
      </c>
      <c r="C12" s="12" t="s">
        <v>1416</v>
      </c>
      <c r="D12" s="12" t="s">
        <v>1425</v>
      </c>
      <c r="E12" s="12">
        <v>4</v>
      </c>
      <c r="F12" s="12" t="s">
        <v>1426</v>
      </c>
      <c r="G12" s="12">
        <v>7</v>
      </c>
      <c r="H12" s="12">
        <v>0</v>
      </c>
      <c r="I12" s="12"/>
      <c r="J12" s="12" t="s">
        <v>1427</v>
      </c>
      <c r="K12" s="12" t="s">
        <v>1428</v>
      </c>
    </row>
    <row r="13" spans="1:11" x14ac:dyDescent="0.3">
      <c r="A13" s="12" t="s">
        <v>1008</v>
      </c>
      <c r="B13" s="12" t="s">
        <v>1009</v>
      </c>
      <c r="C13" s="12" t="s">
        <v>1429</v>
      </c>
      <c r="D13" s="12" t="s">
        <v>1430</v>
      </c>
      <c r="E13" s="12">
        <v>4</v>
      </c>
      <c r="F13" s="12" t="s">
        <v>1431</v>
      </c>
      <c r="G13" s="12">
        <v>14</v>
      </c>
      <c r="H13" s="12">
        <v>0</v>
      </c>
      <c r="I13" s="12"/>
      <c r="J13" s="12" t="s">
        <v>1432</v>
      </c>
      <c r="K13" s="12" t="s">
        <v>1433</v>
      </c>
    </row>
    <row r="14" spans="1:11" x14ac:dyDescent="0.3">
      <c r="A14" s="12" t="s">
        <v>1008</v>
      </c>
      <c r="B14" s="12" t="s">
        <v>1009</v>
      </c>
      <c r="C14" s="12" t="s">
        <v>1429</v>
      </c>
      <c r="D14" s="12" t="s">
        <v>1434</v>
      </c>
      <c r="E14" s="12">
        <v>4</v>
      </c>
      <c r="F14" s="12" t="s">
        <v>1435</v>
      </c>
      <c r="G14" s="12">
        <v>3</v>
      </c>
      <c r="H14" s="12">
        <v>0</v>
      </c>
      <c r="I14" s="12"/>
      <c r="J14" s="12" t="s">
        <v>1436</v>
      </c>
      <c r="K14" s="12" t="s">
        <v>1437</v>
      </c>
    </row>
    <row r="15" spans="1:11" x14ac:dyDescent="0.3">
      <c r="A15" s="12" t="s">
        <v>1008</v>
      </c>
      <c r="B15" s="12" t="s">
        <v>1009</v>
      </c>
      <c r="C15" s="12" t="s">
        <v>1429</v>
      </c>
      <c r="D15" s="12" t="s">
        <v>1438</v>
      </c>
      <c r="E15" s="12">
        <v>4</v>
      </c>
      <c r="F15" s="12" t="s">
        <v>1439</v>
      </c>
      <c r="G15" s="12">
        <v>73</v>
      </c>
      <c r="H15" s="12">
        <v>0</v>
      </c>
      <c r="I15" s="12"/>
      <c r="J15" s="12" t="s">
        <v>1440</v>
      </c>
      <c r="K15" s="12" t="s">
        <v>1441</v>
      </c>
    </row>
    <row r="16" spans="1:11" x14ac:dyDescent="0.3">
      <c r="A16" s="12" t="s">
        <v>1008</v>
      </c>
      <c r="B16" s="12" t="s">
        <v>1009</v>
      </c>
      <c r="C16" s="12" t="s">
        <v>1429</v>
      </c>
      <c r="D16" s="12" t="s">
        <v>1442</v>
      </c>
      <c r="E16" s="12">
        <v>4</v>
      </c>
      <c r="F16" s="12" t="s">
        <v>1443</v>
      </c>
      <c r="G16" s="12">
        <v>39</v>
      </c>
      <c r="H16" s="12">
        <v>0</v>
      </c>
      <c r="I16" s="12"/>
      <c r="J16" s="12" t="s">
        <v>1444</v>
      </c>
      <c r="K16" s="12" t="s">
        <v>1445</v>
      </c>
    </row>
    <row r="17" spans="1:11" x14ac:dyDescent="0.3">
      <c r="A17" s="12" t="s">
        <v>1008</v>
      </c>
      <c r="B17" s="12" t="s">
        <v>1009</v>
      </c>
      <c r="C17" s="12" t="s">
        <v>1429</v>
      </c>
      <c r="D17" s="12" t="s">
        <v>1446</v>
      </c>
      <c r="E17" s="12">
        <v>4</v>
      </c>
      <c r="F17" s="12" t="s">
        <v>1447</v>
      </c>
      <c r="G17" s="12">
        <v>3</v>
      </c>
      <c r="H17" s="12">
        <v>0</v>
      </c>
      <c r="I17" s="12"/>
      <c r="J17" s="12" t="s">
        <v>1448</v>
      </c>
      <c r="K17" s="12" t="s">
        <v>1449</v>
      </c>
    </row>
    <row r="18" spans="1:11" x14ac:dyDescent="0.3">
      <c r="A18" s="12" t="s">
        <v>1008</v>
      </c>
      <c r="B18" s="12" t="s">
        <v>1009</v>
      </c>
      <c r="C18" s="12" t="s">
        <v>1429</v>
      </c>
      <c r="D18" s="12" t="s">
        <v>1450</v>
      </c>
      <c r="E18" s="12">
        <v>4</v>
      </c>
      <c r="F18" s="12" t="s">
        <v>1451</v>
      </c>
      <c r="G18" s="12">
        <v>9</v>
      </c>
      <c r="H18" s="12">
        <v>0</v>
      </c>
      <c r="I18" s="12"/>
      <c r="J18" s="12" t="s">
        <v>1452</v>
      </c>
      <c r="K18" s="12" t="s">
        <v>1453</v>
      </c>
    </row>
    <row r="19" spans="1:11" x14ac:dyDescent="0.3">
      <c r="A19" s="12" t="s">
        <v>1008</v>
      </c>
      <c r="B19" s="12" t="s">
        <v>1009</v>
      </c>
      <c r="C19" s="12" t="s">
        <v>1429</v>
      </c>
      <c r="D19" s="12" t="s">
        <v>1454</v>
      </c>
      <c r="E19" s="12">
        <v>4</v>
      </c>
      <c r="F19" s="12" t="s">
        <v>1455</v>
      </c>
      <c r="G19" s="12">
        <v>5</v>
      </c>
      <c r="H19" s="12">
        <v>0</v>
      </c>
      <c r="I19" s="12"/>
      <c r="J19" s="12" t="s">
        <v>1456</v>
      </c>
      <c r="K19" s="12" t="s">
        <v>1457</v>
      </c>
    </row>
    <row r="20" spans="1:11" x14ac:dyDescent="0.3">
      <c r="A20" s="12" t="s">
        <v>1008</v>
      </c>
      <c r="B20" s="12" t="s">
        <v>1009</v>
      </c>
      <c r="C20" s="12" t="s">
        <v>1429</v>
      </c>
      <c r="D20" s="12" t="s">
        <v>1458</v>
      </c>
      <c r="E20" s="12">
        <v>4</v>
      </c>
      <c r="F20" s="12" t="s">
        <v>1459</v>
      </c>
      <c r="G20" s="12">
        <v>102</v>
      </c>
      <c r="H20" s="12">
        <v>0</v>
      </c>
      <c r="I20" s="12"/>
      <c r="J20" s="12" t="s">
        <v>1460</v>
      </c>
      <c r="K20" s="12" t="s">
        <v>1461</v>
      </c>
    </row>
    <row r="21" spans="1:11" x14ac:dyDescent="0.3">
      <c r="A21" s="12" t="s">
        <v>1008</v>
      </c>
      <c r="B21" s="12" t="s">
        <v>1009</v>
      </c>
      <c r="C21" s="12" t="s">
        <v>1429</v>
      </c>
      <c r="D21" s="12" t="s">
        <v>1462</v>
      </c>
      <c r="E21" s="12">
        <v>4</v>
      </c>
      <c r="F21" s="12" t="s">
        <v>1463</v>
      </c>
      <c r="G21" s="12">
        <v>2</v>
      </c>
      <c r="H21" s="12">
        <v>0</v>
      </c>
      <c r="I21" s="12"/>
      <c r="J21" s="12" t="s">
        <v>1464</v>
      </c>
      <c r="K21" s="12" t="s">
        <v>1465</v>
      </c>
    </row>
    <row r="22" spans="1:11" x14ac:dyDescent="0.3">
      <c r="A22" s="12" t="s">
        <v>1008</v>
      </c>
      <c r="B22" s="12" t="s">
        <v>1009</v>
      </c>
      <c r="C22" s="12" t="s">
        <v>1429</v>
      </c>
      <c r="D22" s="12" t="s">
        <v>1466</v>
      </c>
      <c r="E22" s="12">
        <v>4</v>
      </c>
      <c r="F22" s="12" t="s">
        <v>1467</v>
      </c>
      <c r="G22" s="12">
        <v>16</v>
      </c>
      <c r="H22" s="12">
        <v>0</v>
      </c>
      <c r="I22" s="12"/>
      <c r="J22" s="12" t="s">
        <v>1468</v>
      </c>
      <c r="K22" s="12" t="s">
        <v>1469</v>
      </c>
    </row>
    <row r="23" spans="1:11" x14ac:dyDescent="0.3">
      <c r="A23" s="12" t="s">
        <v>1008</v>
      </c>
      <c r="B23" s="12" t="s">
        <v>1009</v>
      </c>
      <c r="C23" s="12" t="s">
        <v>1429</v>
      </c>
      <c r="D23" s="12" t="s">
        <v>1470</v>
      </c>
      <c r="E23" s="12">
        <v>4</v>
      </c>
      <c r="F23" s="12" t="s">
        <v>1471</v>
      </c>
      <c r="G23" s="12">
        <v>86</v>
      </c>
      <c r="H23" s="12">
        <v>0</v>
      </c>
      <c r="I23" s="12"/>
      <c r="J23" s="12" t="s">
        <v>1472</v>
      </c>
      <c r="K23" s="12" t="s">
        <v>1473</v>
      </c>
    </row>
    <row r="24" spans="1:11" x14ac:dyDescent="0.3">
      <c r="A24" s="12" t="s">
        <v>1008</v>
      </c>
      <c r="B24" s="12" t="s">
        <v>1009</v>
      </c>
      <c r="C24" s="12" t="s">
        <v>1429</v>
      </c>
      <c r="D24" s="12" t="s">
        <v>1474</v>
      </c>
      <c r="E24" s="12">
        <v>4</v>
      </c>
      <c r="F24" s="12" t="s">
        <v>1475</v>
      </c>
      <c r="G24" s="12">
        <v>3</v>
      </c>
      <c r="H24" s="12">
        <v>0</v>
      </c>
      <c r="I24" s="12"/>
      <c r="J24" s="12" t="s">
        <v>1476</v>
      </c>
      <c r="K24" s="12" t="s">
        <v>1477</v>
      </c>
    </row>
    <row r="25" spans="1:11" x14ac:dyDescent="0.3">
      <c r="A25" s="12" t="s">
        <v>1008</v>
      </c>
      <c r="B25" s="12" t="s">
        <v>1009</v>
      </c>
      <c r="C25" s="12" t="s">
        <v>1429</v>
      </c>
      <c r="D25" s="12" t="s">
        <v>1478</v>
      </c>
      <c r="E25" s="12">
        <v>4</v>
      </c>
      <c r="F25" s="12" t="s">
        <v>1479</v>
      </c>
      <c r="G25" s="12">
        <v>15</v>
      </c>
      <c r="H25" s="12">
        <v>0</v>
      </c>
      <c r="I25" s="12"/>
      <c r="J25" s="12" t="s">
        <v>1480</v>
      </c>
      <c r="K25" s="12" t="s">
        <v>1481</v>
      </c>
    </row>
    <row r="26" spans="1:11" x14ac:dyDescent="0.3">
      <c r="A26" s="12" t="s">
        <v>1008</v>
      </c>
      <c r="B26" s="12" t="s">
        <v>1009</v>
      </c>
      <c r="C26" s="12" t="s">
        <v>1429</v>
      </c>
      <c r="D26" s="12" t="s">
        <v>1482</v>
      </c>
      <c r="E26" s="12">
        <v>4</v>
      </c>
      <c r="F26" s="12" t="s">
        <v>1483</v>
      </c>
      <c r="G26" s="12">
        <v>5</v>
      </c>
      <c r="H26" s="12">
        <v>0</v>
      </c>
      <c r="I26" s="12"/>
      <c r="J26" s="12" t="s">
        <v>1484</v>
      </c>
      <c r="K26" s="12" t="s">
        <v>1485</v>
      </c>
    </row>
    <row r="27" spans="1:11" x14ac:dyDescent="0.3">
      <c r="A27" s="12" t="s">
        <v>1008</v>
      </c>
      <c r="B27" s="12" t="s">
        <v>1486</v>
      </c>
      <c r="C27" s="12" t="s">
        <v>1487</v>
      </c>
      <c r="D27" s="12"/>
      <c r="E27" s="12">
        <v>3</v>
      </c>
      <c r="F27" s="12" t="s">
        <v>1488</v>
      </c>
      <c r="G27" s="12">
        <v>1</v>
      </c>
      <c r="H27" s="12">
        <v>0</v>
      </c>
      <c r="I27" s="12"/>
      <c r="J27" s="12" t="s">
        <v>1489</v>
      </c>
      <c r="K27" s="12" t="s">
        <v>1490</v>
      </c>
    </row>
    <row r="28" spans="1:11" x14ac:dyDescent="0.3">
      <c r="A28" s="12" t="s">
        <v>1008</v>
      </c>
      <c r="B28" s="12" t="s">
        <v>1486</v>
      </c>
      <c r="C28" s="12" t="s">
        <v>1491</v>
      </c>
      <c r="D28" s="12"/>
      <c r="E28" s="12">
        <v>3</v>
      </c>
      <c r="F28" s="12" t="s">
        <v>1492</v>
      </c>
      <c r="G28" s="12">
        <v>7</v>
      </c>
      <c r="H28" s="12">
        <v>0</v>
      </c>
      <c r="I28" s="12"/>
      <c r="J28" s="12" t="s">
        <v>1493</v>
      </c>
      <c r="K28" s="12" t="s">
        <v>1494</v>
      </c>
    </row>
    <row r="29" spans="1:11" x14ac:dyDescent="0.3">
      <c r="A29" s="12" t="s">
        <v>1008</v>
      </c>
      <c r="B29" s="12" t="s">
        <v>1486</v>
      </c>
      <c r="C29" s="12" t="s">
        <v>1495</v>
      </c>
      <c r="D29" s="12"/>
      <c r="E29" s="12">
        <v>3</v>
      </c>
      <c r="F29" s="12" t="s">
        <v>1496</v>
      </c>
      <c r="G29" s="12">
        <v>5</v>
      </c>
      <c r="H29" s="12">
        <v>0</v>
      </c>
      <c r="I29" s="12"/>
      <c r="J29" s="12" t="s">
        <v>1497</v>
      </c>
      <c r="K29" s="12" t="s">
        <v>1498</v>
      </c>
    </row>
    <row r="30" spans="1:11" x14ac:dyDescent="0.3">
      <c r="A30" s="12" t="s">
        <v>1008</v>
      </c>
      <c r="B30" s="12" t="s">
        <v>1486</v>
      </c>
      <c r="C30" s="12" t="s">
        <v>1499</v>
      </c>
      <c r="D30" s="12"/>
      <c r="E30" s="12">
        <v>3</v>
      </c>
      <c r="F30" s="12" t="s">
        <v>1500</v>
      </c>
      <c r="G30" s="12">
        <v>2</v>
      </c>
      <c r="H30" s="12">
        <v>0</v>
      </c>
      <c r="I30" s="12"/>
      <c r="J30" s="12" t="s">
        <v>1501</v>
      </c>
      <c r="K30" s="12" t="s">
        <v>1502</v>
      </c>
    </row>
    <row r="31" spans="1:11" x14ac:dyDescent="0.3">
      <c r="A31" s="12" t="s">
        <v>1008</v>
      </c>
      <c r="B31" s="12" t="s">
        <v>1486</v>
      </c>
      <c r="C31" s="12" t="s">
        <v>1503</v>
      </c>
      <c r="D31" s="12"/>
      <c r="E31" s="12">
        <v>3</v>
      </c>
      <c r="F31" s="12" t="s">
        <v>1504</v>
      </c>
      <c r="G31" s="12">
        <v>148</v>
      </c>
      <c r="H31" s="12">
        <v>0</v>
      </c>
      <c r="I31" s="12"/>
      <c r="J31" s="12" t="s">
        <v>1505</v>
      </c>
      <c r="K31" s="12" t="s">
        <v>1506</v>
      </c>
    </row>
    <row r="32" spans="1:11" x14ac:dyDescent="0.3">
      <c r="A32" s="12" t="s">
        <v>1008</v>
      </c>
      <c r="B32" s="12" t="s">
        <v>1507</v>
      </c>
      <c r="C32" s="12" t="s">
        <v>1508</v>
      </c>
      <c r="D32" s="12"/>
      <c r="E32" s="12">
        <v>3</v>
      </c>
      <c r="F32" s="12" t="s">
        <v>1509</v>
      </c>
      <c r="G32" s="12">
        <v>2</v>
      </c>
      <c r="H32" s="12">
        <v>0</v>
      </c>
      <c r="I32" s="12"/>
      <c r="J32" s="12" t="s">
        <v>1510</v>
      </c>
      <c r="K32" s="12" t="s">
        <v>1511</v>
      </c>
    </row>
    <row r="33" spans="1:11" x14ac:dyDescent="0.3">
      <c r="A33" s="12" t="s">
        <v>1008</v>
      </c>
      <c r="B33" s="12" t="s">
        <v>1507</v>
      </c>
      <c r="C33" s="12" t="s">
        <v>1512</v>
      </c>
      <c r="D33" s="12"/>
      <c r="E33" s="12">
        <v>3</v>
      </c>
      <c r="F33" s="12" t="s">
        <v>1513</v>
      </c>
      <c r="G33" s="12">
        <v>34</v>
      </c>
      <c r="H33" s="12">
        <v>0</v>
      </c>
      <c r="I33" s="12"/>
      <c r="J33" s="12" t="s">
        <v>1514</v>
      </c>
      <c r="K33" s="12" t="s">
        <v>1515</v>
      </c>
    </row>
    <row r="34" spans="1:11" x14ac:dyDescent="0.3">
      <c r="A34" s="12" t="s">
        <v>1008</v>
      </c>
      <c r="B34" s="12" t="s">
        <v>1507</v>
      </c>
      <c r="C34" s="12" t="s">
        <v>1516</v>
      </c>
      <c r="D34" s="12"/>
      <c r="E34" s="12">
        <v>3</v>
      </c>
      <c r="F34" s="12" t="s">
        <v>1517</v>
      </c>
      <c r="G34" s="12">
        <v>3</v>
      </c>
      <c r="H34" s="12">
        <v>0</v>
      </c>
      <c r="I34" s="12"/>
      <c r="J34" s="12" t="s">
        <v>1518</v>
      </c>
      <c r="K34" s="12" t="s">
        <v>1519</v>
      </c>
    </row>
    <row r="35" spans="1:11" x14ac:dyDescent="0.3">
      <c r="A35" s="12" t="s">
        <v>1008</v>
      </c>
      <c r="B35" s="12" t="s">
        <v>1507</v>
      </c>
      <c r="C35" s="12" t="s">
        <v>1520</v>
      </c>
      <c r="D35" s="12"/>
      <c r="E35" s="12">
        <v>3</v>
      </c>
      <c r="F35" s="12" t="s">
        <v>1521</v>
      </c>
      <c r="G35" s="12">
        <v>1</v>
      </c>
      <c r="H35" s="12">
        <v>0</v>
      </c>
      <c r="I35" s="12"/>
      <c r="J35" s="12" t="s">
        <v>1522</v>
      </c>
      <c r="K35" s="12" t="s">
        <v>1523</v>
      </c>
    </row>
    <row r="36" spans="1:11" x14ac:dyDescent="0.3">
      <c r="A36" s="12" t="s">
        <v>1008</v>
      </c>
      <c r="B36" s="12" t="s">
        <v>1507</v>
      </c>
      <c r="C36" s="12" t="s">
        <v>1524</v>
      </c>
      <c r="D36" s="12"/>
      <c r="E36" s="12">
        <v>3</v>
      </c>
      <c r="F36" s="12" t="s">
        <v>1525</v>
      </c>
      <c r="G36" s="12">
        <v>1</v>
      </c>
      <c r="H36" s="12">
        <v>0</v>
      </c>
      <c r="I36" s="12"/>
      <c r="J36" s="12" t="s">
        <v>1526</v>
      </c>
      <c r="K36" s="12" t="s">
        <v>1527</v>
      </c>
    </row>
    <row r="37" spans="1:11" x14ac:dyDescent="0.3">
      <c r="A37" s="12" t="s">
        <v>1008</v>
      </c>
      <c r="B37" s="12" t="s">
        <v>1507</v>
      </c>
      <c r="C37" s="12" t="s">
        <v>1528</v>
      </c>
      <c r="D37" s="12"/>
      <c r="E37" s="12">
        <v>3</v>
      </c>
      <c r="F37" s="12" t="s">
        <v>1529</v>
      </c>
      <c r="G37" s="12">
        <v>41</v>
      </c>
      <c r="H37" s="12">
        <v>0</v>
      </c>
      <c r="I37" s="12"/>
      <c r="J37" s="12" t="s">
        <v>1530</v>
      </c>
      <c r="K37" s="12" t="s">
        <v>1531</v>
      </c>
    </row>
    <row r="38" spans="1:11" x14ac:dyDescent="0.3">
      <c r="A38" s="12" t="s">
        <v>1008</v>
      </c>
      <c r="B38" s="12" t="s">
        <v>1507</v>
      </c>
      <c r="C38" s="12" t="s">
        <v>1532</v>
      </c>
      <c r="D38" s="12"/>
      <c r="E38" s="12">
        <v>3</v>
      </c>
      <c r="F38" s="12" t="s">
        <v>1533</v>
      </c>
      <c r="G38" s="12">
        <v>11</v>
      </c>
      <c r="H38" s="12">
        <v>0</v>
      </c>
      <c r="I38" s="12"/>
      <c r="J38" s="12" t="s">
        <v>1534</v>
      </c>
      <c r="K38" s="12" t="s">
        <v>1535</v>
      </c>
    </row>
    <row r="39" spans="1:11" x14ac:dyDescent="0.3">
      <c r="A39" s="12" t="s">
        <v>1008</v>
      </c>
      <c r="B39" s="12" t="s">
        <v>1507</v>
      </c>
      <c r="C39" s="12" t="s">
        <v>1536</v>
      </c>
      <c r="D39" s="12"/>
      <c r="E39" s="12">
        <v>3</v>
      </c>
      <c r="F39" s="12" t="s">
        <v>1537</v>
      </c>
      <c r="G39" s="12">
        <v>24</v>
      </c>
      <c r="H39" s="12">
        <v>0</v>
      </c>
      <c r="I39" s="12"/>
      <c r="J39" s="12" t="s">
        <v>1538</v>
      </c>
      <c r="K39" s="12" t="s">
        <v>1539</v>
      </c>
    </row>
    <row r="40" spans="1:11" x14ac:dyDescent="0.3">
      <c r="A40" s="12" t="s">
        <v>1008</v>
      </c>
      <c r="B40" s="12" t="s">
        <v>1507</v>
      </c>
      <c r="C40" s="12" t="s">
        <v>1540</v>
      </c>
      <c r="D40" s="12"/>
      <c r="E40" s="12">
        <v>3</v>
      </c>
      <c r="F40" s="12" t="s">
        <v>1541</v>
      </c>
      <c r="G40" s="12">
        <v>105</v>
      </c>
      <c r="H40" s="12">
        <v>0</v>
      </c>
      <c r="I40" s="12"/>
      <c r="J40" s="12" t="s">
        <v>1542</v>
      </c>
      <c r="K40" s="12" t="s">
        <v>1543</v>
      </c>
    </row>
    <row r="41" spans="1:11" x14ac:dyDescent="0.3">
      <c r="A41" s="12" t="s">
        <v>1008</v>
      </c>
      <c r="B41" s="12" t="s">
        <v>1507</v>
      </c>
      <c r="C41" s="12" t="s">
        <v>1544</v>
      </c>
      <c r="D41" s="12"/>
      <c r="E41" s="12">
        <v>3</v>
      </c>
      <c r="F41" s="12" t="s">
        <v>1545</v>
      </c>
      <c r="G41" s="12">
        <v>1</v>
      </c>
      <c r="H41" s="12">
        <v>0</v>
      </c>
      <c r="I41" s="12"/>
      <c r="J41" s="12" t="s">
        <v>1546</v>
      </c>
      <c r="K41" s="12" t="s">
        <v>1547</v>
      </c>
    </row>
    <row r="42" spans="1:11" x14ac:dyDescent="0.3">
      <c r="A42" s="12" t="s">
        <v>1008</v>
      </c>
      <c r="B42" s="12" t="s">
        <v>1507</v>
      </c>
      <c r="C42" s="12" t="s">
        <v>1548</v>
      </c>
      <c r="D42" s="12"/>
      <c r="E42" s="12">
        <v>3</v>
      </c>
      <c r="F42" s="12" t="s">
        <v>1549</v>
      </c>
      <c r="G42" s="12">
        <v>4</v>
      </c>
      <c r="H42" s="12">
        <v>0</v>
      </c>
      <c r="I42" s="12"/>
      <c r="J42" s="12" t="s">
        <v>1550</v>
      </c>
      <c r="K42" s="12" t="s">
        <v>1551</v>
      </c>
    </row>
    <row r="43" spans="1:11" x14ac:dyDescent="0.3">
      <c r="A43" s="12" t="s">
        <v>1008</v>
      </c>
      <c r="B43" s="12" t="s">
        <v>1507</v>
      </c>
      <c r="C43" s="12" t="s">
        <v>1552</v>
      </c>
      <c r="D43" s="12"/>
      <c r="E43" s="12">
        <v>3</v>
      </c>
      <c r="F43" s="12" t="s">
        <v>1553</v>
      </c>
      <c r="G43" s="12">
        <v>20</v>
      </c>
      <c r="H43" s="12">
        <v>0</v>
      </c>
      <c r="I43" s="12"/>
      <c r="J43" s="12" t="s">
        <v>1554</v>
      </c>
      <c r="K43" s="12" t="s">
        <v>1555</v>
      </c>
    </row>
    <row r="44" spans="1:11" x14ac:dyDescent="0.3">
      <c r="A44" s="12" t="s">
        <v>1008</v>
      </c>
      <c r="B44" s="12" t="s">
        <v>1507</v>
      </c>
      <c r="C44" s="12" t="s">
        <v>1556</v>
      </c>
      <c r="D44" s="12"/>
      <c r="E44" s="12">
        <v>3</v>
      </c>
      <c r="F44" s="12" t="s">
        <v>1557</v>
      </c>
      <c r="G44" s="12">
        <v>27</v>
      </c>
      <c r="H44" s="12">
        <v>0</v>
      </c>
      <c r="I44" s="12"/>
      <c r="J44" s="12" t="s">
        <v>1558</v>
      </c>
      <c r="K44" s="12" t="s">
        <v>1559</v>
      </c>
    </row>
    <row r="45" spans="1:11" x14ac:dyDescent="0.3">
      <c r="A45" s="12" t="s">
        <v>824</v>
      </c>
      <c r="B45" s="12" t="s">
        <v>1560</v>
      </c>
      <c r="C45" s="12"/>
      <c r="D45" s="12"/>
      <c r="E45" s="12">
        <v>2</v>
      </c>
      <c r="F45" s="12" t="s">
        <v>1561</v>
      </c>
      <c r="G45" s="12">
        <v>206</v>
      </c>
      <c r="H45" s="12">
        <v>0</v>
      </c>
      <c r="I45" s="12"/>
      <c r="J45" s="12" t="s">
        <v>1562</v>
      </c>
      <c r="K45" s="12" t="s">
        <v>1563</v>
      </c>
    </row>
    <row r="46" spans="1:11" x14ac:dyDescent="0.3">
      <c r="A46" s="12" t="s">
        <v>824</v>
      </c>
      <c r="B46" s="12" t="s">
        <v>1564</v>
      </c>
      <c r="C46" s="12"/>
      <c r="D46" s="12"/>
      <c r="E46" s="12">
        <v>2</v>
      </c>
      <c r="F46" s="12" t="s">
        <v>1565</v>
      </c>
      <c r="G46" s="12">
        <v>1380</v>
      </c>
      <c r="H46" s="12">
        <v>0</v>
      </c>
      <c r="I46" s="12"/>
      <c r="J46" s="12" t="s">
        <v>1566</v>
      </c>
      <c r="K46" s="12" t="s">
        <v>1567</v>
      </c>
    </row>
    <row r="47" spans="1:11" x14ac:dyDescent="0.3">
      <c r="A47" s="12" t="s">
        <v>824</v>
      </c>
      <c r="B47" s="12" t="s">
        <v>1568</v>
      </c>
      <c r="C47" s="12"/>
      <c r="D47" s="12"/>
      <c r="E47" s="12">
        <v>2</v>
      </c>
      <c r="F47" s="12" t="s">
        <v>1569</v>
      </c>
      <c r="G47" s="12">
        <v>640</v>
      </c>
      <c r="H47" s="12">
        <v>0</v>
      </c>
      <c r="I47" s="12"/>
      <c r="J47" s="12" t="s">
        <v>1570</v>
      </c>
      <c r="K47" s="12" t="s">
        <v>1571</v>
      </c>
    </row>
    <row r="48" spans="1:11" x14ac:dyDescent="0.3">
      <c r="A48" s="12" t="s">
        <v>824</v>
      </c>
      <c r="B48" s="12" t="s">
        <v>1572</v>
      </c>
      <c r="C48" s="12"/>
      <c r="D48" s="12"/>
      <c r="E48" s="12">
        <v>2</v>
      </c>
      <c r="F48" s="12" t="s">
        <v>1573</v>
      </c>
      <c r="G48" s="12">
        <v>103</v>
      </c>
      <c r="H48" s="12">
        <v>0</v>
      </c>
      <c r="I48" s="12"/>
      <c r="J48" s="12" t="s">
        <v>1574</v>
      </c>
      <c r="K48" s="12" t="s">
        <v>1575</v>
      </c>
    </row>
    <row r="49" spans="1:11" x14ac:dyDescent="0.3">
      <c r="A49" s="12" t="s">
        <v>824</v>
      </c>
      <c r="B49" s="12" t="s">
        <v>1576</v>
      </c>
      <c r="C49" s="12"/>
      <c r="D49" s="12"/>
      <c r="E49" s="12">
        <v>2</v>
      </c>
      <c r="F49" s="12" t="s">
        <v>1577</v>
      </c>
      <c r="G49" s="12">
        <v>32</v>
      </c>
      <c r="H49" s="12">
        <v>0</v>
      </c>
      <c r="I49" s="12"/>
      <c r="J49" s="12" t="s">
        <v>1578</v>
      </c>
      <c r="K49" s="12" t="s">
        <v>1579</v>
      </c>
    </row>
    <row r="50" spans="1:11" x14ac:dyDescent="0.3">
      <c r="A50" s="12" t="s">
        <v>824</v>
      </c>
      <c r="B50" s="12" t="s">
        <v>1580</v>
      </c>
      <c r="C50" s="12"/>
      <c r="D50" s="12"/>
      <c r="E50" s="12">
        <v>2</v>
      </c>
      <c r="F50" s="12" t="s">
        <v>1581</v>
      </c>
      <c r="G50" s="12">
        <v>11</v>
      </c>
      <c r="H50" s="12">
        <v>0</v>
      </c>
      <c r="I50" s="12"/>
      <c r="J50" s="12" t="s">
        <v>1582</v>
      </c>
      <c r="K50" s="12" t="s">
        <v>1583</v>
      </c>
    </row>
    <row r="51" spans="1:11" x14ac:dyDescent="0.3">
      <c r="A51" s="12" t="s">
        <v>824</v>
      </c>
      <c r="B51" s="12" t="s">
        <v>1584</v>
      </c>
      <c r="C51" s="12"/>
      <c r="D51" s="12"/>
      <c r="E51" s="12">
        <v>2</v>
      </c>
      <c r="F51" s="12" t="s">
        <v>1585</v>
      </c>
      <c r="G51" s="12">
        <v>166</v>
      </c>
      <c r="H51" s="12">
        <v>0</v>
      </c>
      <c r="I51" s="12"/>
      <c r="J51" s="12" t="s">
        <v>1586</v>
      </c>
      <c r="K51" s="12" t="s">
        <v>1587</v>
      </c>
    </row>
    <row r="52" spans="1:11" x14ac:dyDescent="0.3">
      <c r="A52" s="12" t="s">
        <v>824</v>
      </c>
      <c r="B52" s="12" t="s">
        <v>954</v>
      </c>
      <c r="C52" s="12" t="s">
        <v>955</v>
      </c>
      <c r="D52" s="12"/>
      <c r="E52" s="12">
        <v>3</v>
      </c>
      <c r="F52" s="12" t="s">
        <v>293</v>
      </c>
      <c r="G52" s="12">
        <v>66</v>
      </c>
      <c r="H52" s="12">
        <v>63</v>
      </c>
      <c r="I52" s="3" t="s">
        <v>291</v>
      </c>
      <c r="J52" s="12" t="s">
        <v>292</v>
      </c>
      <c r="K52" s="12" t="s">
        <v>1588</v>
      </c>
    </row>
    <row r="53" spans="1:11" x14ac:dyDescent="0.3">
      <c r="A53" s="12" t="s">
        <v>824</v>
      </c>
      <c r="B53" s="12" t="s">
        <v>954</v>
      </c>
      <c r="C53" s="12" t="s">
        <v>1589</v>
      </c>
      <c r="D53" s="12"/>
      <c r="E53" s="12">
        <v>3</v>
      </c>
      <c r="F53" s="12" t="s">
        <v>1590</v>
      </c>
      <c r="G53" s="12">
        <v>542</v>
      </c>
      <c r="H53" s="12">
        <v>0</v>
      </c>
      <c r="I53" s="12"/>
      <c r="J53" s="12" t="s">
        <v>1591</v>
      </c>
      <c r="K53" s="12" t="s">
        <v>1592</v>
      </c>
    </row>
    <row r="54" spans="1:11" x14ac:dyDescent="0.3">
      <c r="A54" s="12" t="s">
        <v>824</v>
      </c>
      <c r="B54" s="12" t="s">
        <v>954</v>
      </c>
      <c r="C54" s="12" t="s">
        <v>1593</v>
      </c>
      <c r="D54" s="12"/>
      <c r="E54" s="12">
        <v>3</v>
      </c>
      <c r="F54" s="12" t="s">
        <v>1594</v>
      </c>
      <c r="G54" s="12">
        <v>597</v>
      </c>
      <c r="H54" s="12">
        <v>0</v>
      </c>
      <c r="I54" s="12"/>
      <c r="J54" s="12" t="s">
        <v>1595</v>
      </c>
      <c r="K54" s="12" t="s">
        <v>1596</v>
      </c>
    </row>
    <row r="55" spans="1:11" x14ac:dyDescent="0.3">
      <c r="A55" s="12" t="s">
        <v>824</v>
      </c>
      <c r="B55" s="12" t="s">
        <v>1597</v>
      </c>
      <c r="C55" s="12"/>
      <c r="D55" s="12"/>
      <c r="E55" s="12">
        <v>2</v>
      </c>
      <c r="F55" s="12" t="s">
        <v>1598</v>
      </c>
      <c r="G55" s="12">
        <v>119</v>
      </c>
      <c r="H55" s="12">
        <v>0</v>
      </c>
      <c r="I55" s="12"/>
      <c r="J55" s="12" t="s">
        <v>1599</v>
      </c>
      <c r="K55" s="12" t="s">
        <v>1600</v>
      </c>
    </row>
    <row r="56" spans="1:11" x14ac:dyDescent="0.3">
      <c r="A56" s="12" t="s">
        <v>824</v>
      </c>
      <c r="B56" s="12" t="s">
        <v>1601</v>
      </c>
      <c r="C56" s="12"/>
      <c r="D56" s="12"/>
      <c r="E56" s="12">
        <v>2</v>
      </c>
      <c r="F56" s="12" t="s">
        <v>1602</v>
      </c>
      <c r="G56" s="12">
        <v>88</v>
      </c>
      <c r="H56" s="12">
        <v>0</v>
      </c>
      <c r="I56" s="12"/>
      <c r="J56" s="12" t="s">
        <v>1603</v>
      </c>
      <c r="K56" s="12" t="s">
        <v>1604</v>
      </c>
    </row>
    <row r="57" spans="1:11" x14ac:dyDescent="0.3">
      <c r="A57" s="12" t="s">
        <v>824</v>
      </c>
      <c r="B57" s="12" t="s">
        <v>1605</v>
      </c>
      <c r="C57" s="12"/>
      <c r="D57" s="12"/>
      <c r="E57" s="12">
        <v>2</v>
      </c>
      <c r="F57" s="12" t="s">
        <v>1606</v>
      </c>
      <c r="G57" s="12">
        <v>240</v>
      </c>
      <c r="H57" s="12">
        <v>0</v>
      </c>
      <c r="I57" s="12"/>
      <c r="J57" s="12" t="s">
        <v>1607</v>
      </c>
      <c r="K57" s="12" t="s">
        <v>1608</v>
      </c>
    </row>
    <row r="58" spans="1:11" x14ac:dyDescent="0.3">
      <c r="A58" s="12" t="s">
        <v>824</v>
      </c>
      <c r="B58" s="12" t="s">
        <v>1609</v>
      </c>
      <c r="C58" s="12"/>
      <c r="D58" s="12"/>
      <c r="E58" s="12">
        <v>2</v>
      </c>
      <c r="F58" s="12" t="s">
        <v>1610</v>
      </c>
      <c r="G58" s="12">
        <v>53</v>
      </c>
      <c r="H58" s="12">
        <v>0</v>
      </c>
      <c r="I58" s="12"/>
      <c r="J58" s="12" t="s">
        <v>1611</v>
      </c>
      <c r="K58" s="12" t="s">
        <v>1612</v>
      </c>
    </row>
    <row r="59" spans="1:11" x14ac:dyDescent="0.3">
      <c r="A59" s="12" t="s">
        <v>824</v>
      </c>
      <c r="B59" s="12" t="s">
        <v>1613</v>
      </c>
      <c r="C59" s="12"/>
      <c r="D59" s="12"/>
      <c r="E59" s="12">
        <v>2</v>
      </c>
      <c r="F59" s="12" t="s">
        <v>1614</v>
      </c>
      <c r="G59" s="12">
        <v>1884</v>
      </c>
      <c r="H59" s="12">
        <v>0</v>
      </c>
      <c r="I59" s="12"/>
      <c r="J59" s="12" t="s">
        <v>1615</v>
      </c>
      <c r="K59" s="12" t="s">
        <v>1616</v>
      </c>
    </row>
    <row r="60" spans="1:11" x14ac:dyDescent="0.3">
      <c r="A60" s="12" t="s">
        <v>824</v>
      </c>
      <c r="B60" s="12" t="s">
        <v>1617</v>
      </c>
      <c r="C60" s="12"/>
      <c r="D60" s="12"/>
      <c r="E60" s="12">
        <v>2</v>
      </c>
      <c r="F60" s="12" t="s">
        <v>1618</v>
      </c>
      <c r="G60" s="12">
        <v>126</v>
      </c>
      <c r="H60" s="12">
        <v>0</v>
      </c>
      <c r="I60" s="12"/>
      <c r="J60" s="12" t="s">
        <v>1619</v>
      </c>
      <c r="K60" s="12" t="s">
        <v>1620</v>
      </c>
    </row>
    <row r="61" spans="1:11" x14ac:dyDescent="0.3">
      <c r="A61" s="12" t="s">
        <v>824</v>
      </c>
      <c r="B61" s="12" t="s">
        <v>1621</v>
      </c>
      <c r="C61" s="12"/>
      <c r="D61" s="12"/>
      <c r="E61" s="12">
        <v>2</v>
      </c>
      <c r="F61" s="12" t="s">
        <v>1622</v>
      </c>
      <c r="G61" s="12">
        <v>95</v>
      </c>
      <c r="H61" s="12">
        <v>0</v>
      </c>
      <c r="I61" s="12"/>
      <c r="J61" s="12" t="s">
        <v>1623</v>
      </c>
      <c r="K61" s="12" t="s">
        <v>1624</v>
      </c>
    </row>
    <row r="62" spans="1:11" x14ac:dyDescent="0.3">
      <c r="A62" s="12" t="s">
        <v>824</v>
      </c>
      <c r="B62" s="12" t="s">
        <v>825</v>
      </c>
      <c r="C62" s="12" t="s">
        <v>1625</v>
      </c>
      <c r="D62" s="12"/>
      <c r="E62" s="12">
        <v>3</v>
      </c>
      <c r="F62" s="12" t="s">
        <v>1626</v>
      </c>
      <c r="G62" s="12">
        <v>202</v>
      </c>
      <c r="H62" s="12">
        <v>0</v>
      </c>
      <c r="I62" s="12"/>
      <c r="J62" s="12" t="s">
        <v>1627</v>
      </c>
      <c r="K62" s="12" t="s">
        <v>1628</v>
      </c>
    </row>
    <row r="63" spans="1:11" x14ac:dyDescent="0.3">
      <c r="A63" s="12" t="s">
        <v>824</v>
      </c>
      <c r="B63" s="12" t="s">
        <v>825</v>
      </c>
      <c r="C63" s="12" t="s">
        <v>1629</v>
      </c>
      <c r="D63" s="12"/>
      <c r="E63" s="12">
        <v>3</v>
      </c>
      <c r="F63" s="12" t="s">
        <v>1630</v>
      </c>
      <c r="G63" s="12">
        <v>14</v>
      </c>
      <c r="H63" s="12">
        <v>0</v>
      </c>
      <c r="I63" s="12"/>
      <c r="J63" s="12" t="s">
        <v>1631</v>
      </c>
      <c r="K63" s="12" t="s">
        <v>1632</v>
      </c>
    </row>
    <row r="64" spans="1:11" x14ac:dyDescent="0.3">
      <c r="A64" s="12" t="s">
        <v>824</v>
      </c>
      <c r="B64" s="12" t="s">
        <v>825</v>
      </c>
      <c r="C64" s="12" t="s">
        <v>1633</v>
      </c>
      <c r="D64" s="12"/>
      <c r="E64" s="12">
        <v>3</v>
      </c>
      <c r="F64" s="12" t="s">
        <v>1634</v>
      </c>
      <c r="G64" s="12">
        <v>133</v>
      </c>
      <c r="H64" s="12">
        <v>0</v>
      </c>
      <c r="I64" s="12"/>
      <c r="J64" s="12" t="s">
        <v>1635</v>
      </c>
      <c r="K64" s="12" t="s">
        <v>1636</v>
      </c>
    </row>
    <row r="65" spans="1:11" x14ac:dyDescent="0.3">
      <c r="A65" s="12" t="s">
        <v>824</v>
      </c>
      <c r="B65" s="12" t="s">
        <v>825</v>
      </c>
      <c r="C65" s="12" t="s">
        <v>826</v>
      </c>
      <c r="D65" s="12"/>
      <c r="E65" s="12">
        <v>3</v>
      </c>
      <c r="F65" s="12" t="s">
        <v>281</v>
      </c>
      <c r="G65" s="12">
        <v>166</v>
      </c>
      <c r="H65" s="12">
        <v>0</v>
      </c>
      <c r="I65" s="3" t="s">
        <v>279</v>
      </c>
      <c r="J65" s="12" t="s">
        <v>280</v>
      </c>
      <c r="K65" s="12" t="s">
        <v>411</v>
      </c>
    </row>
    <row r="66" spans="1:11" x14ac:dyDescent="0.3">
      <c r="A66" s="12" t="s">
        <v>824</v>
      </c>
      <c r="B66" s="12" t="s">
        <v>1637</v>
      </c>
      <c r="C66" s="12"/>
      <c r="D66" s="12"/>
      <c r="E66" s="12">
        <v>2</v>
      </c>
      <c r="F66" s="12" t="s">
        <v>1638</v>
      </c>
      <c r="G66" s="12">
        <v>584</v>
      </c>
      <c r="H66" s="12">
        <v>0</v>
      </c>
      <c r="I66" s="12"/>
      <c r="J66" s="12" t="s">
        <v>1639</v>
      </c>
      <c r="K66" s="12" t="s">
        <v>1640</v>
      </c>
    </row>
    <row r="67" spans="1:11" x14ac:dyDescent="0.3">
      <c r="A67" s="12" t="s">
        <v>902</v>
      </c>
      <c r="B67" s="12" t="s">
        <v>903</v>
      </c>
      <c r="C67" s="12" t="s">
        <v>903</v>
      </c>
      <c r="D67" s="12"/>
      <c r="E67" s="12">
        <v>3</v>
      </c>
      <c r="F67" s="12" t="s">
        <v>904</v>
      </c>
      <c r="G67" s="12">
        <v>782</v>
      </c>
      <c r="H67" s="12">
        <v>0</v>
      </c>
      <c r="I67" s="3" t="s">
        <v>900</v>
      </c>
      <c r="J67" s="12" t="s">
        <v>901</v>
      </c>
      <c r="K67" s="12" t="s">
        <v>1641</v>
      </c>
    </row>
    <row r="68" spans="1:11" x14ac:dyDescent="0.3">
      <c r="A68" s="12" t="s">
        <v>902</v>
      </c>
      <c r="B68" s="12" t="s">
        <v>1642</v>
      </c>
      <c r="C68" s="12" t="s">
        <v>1643</v>
      </c>
      <c r="D68" s="12"/>
      <c r="E68" s="12">
        <v>3</v>
      </c>
      <c r="F68" s="12" t="s">
        <v>1644</v>
      </c>
      <c r="G68" s="12">
        <v>1016</v>
      </c>
      <c r="H68" s="12">
        <v>0</v>
      </c>
      <c r="I68" s="12"/>
      <c r="J68" s="12" t="s">
        <v>1645</v>
      </c>
      <c r="K68" s="12" t="s">
        <v>1646</v>
      </c>
    </row>
    <row r="69" spans="1:11" x14ac:dyDescent="0.3">
      <c r="A69" s="12" t="s">
        <v>902</v>
      </c>
      <c r="B69" s="12" t="s">
        <v>1647</v>
      </c>
      <c r="C69" s="12" t="s">
        <v>1648</v>
      </c>
      <c r="D69" s="12" t="s">
        <v>1649</v>
      </c>
      <c r="E69" s="12">
        <v>4</v>
      </c>
      <c r="F69" s="12" t="s">
        <v>1650</v>
      </c>
      <c r="G69" s="12">
        <v>64</v>
      </c>
      <c r="H69" s="12">
        <v>0</v>
      </c>
      <c r="I69" s="12"/>
      <c r="J69" s="12" t="s">
        <v>1651</v>
      </c>
      <c r="K69" s="12" t="s">
        <v>1652</v>
      </c>
    </row>
    <row r="70" spans="1:11" x14ac:dyDescent="0.3">
      <c r="A70" s="12" t="s">
        <v>902</v>
      </c>
      <c r="B70" s="12" t="s">
        <v>1647</v>
      </c>
      <c r="C70" s="12" t="s">
        <v>1648</v>
      </c>
      <c r="D70" s="12" t="s">
        <v>1653</v>
      </c>
      <c r="E70" s="12">
        <v>4</v>
      </c>
      <c r="F70" s="12" t="s">
        <v>1654</v>
      </c>
      <c r="G70" s="12">
        <v>123</v>
      </c>
      <c r="H70" s="12">
        <v>0</v>
      </c>
      <c r="I70" s="12"/>
      <c r="J70" s="12" t="s">
        <v>1655</v>
      </c>
      <c r="K70" s="12" t="s">
        <v>1656</v>
      </c>
    </row>
    <row r="71" spans="1:11" x14ac:dyDescent="0.3">
      <c r="A71" s="12" t="s">
        <v>902</v>
      </c>
      <c r="B71" s="12" t="s">
        <v>1647</v>
      </c>
      <c r="C71" s="12" t="s">
        <v>1648</v>
      </c>
      <c r="D71" s="12" t="s">
        <v>1657</v>
      </c>
      <c r="E71" s="12">
        <v>4</v>
      </c>
      <c r="F71" s="12" t="s">
        <v>1658</v>
      </c>
      <c r="G71" s="12">
        <v>36</v>
      </c>
      <c r="H71" s="12">
        <v>0</v>
      </c>
      <c r="I71" s="12"/>
      <c r="J71" s="12" t="s">
        <v>1659</v>
      </c>
      <c r="K71" s="12" t="s">
        <v>1660</v>
      </c>
    </row>
    <row r="72" spans="1:11" x14ac:dyDescent="0.3">
      <c r="A72" s="12" t="s">
        <v>902</v>
      </c>
      <c r="B72" s="12" t="s">
        <v>1647</v>
      </c>
      <c r="C72" s="12" t="s">
        <v>1648</v>
      </c>
      <c r="D72" s="12" t="s">
        <v>1661</v>
      </c>
      <c r="E72" s="12">
        <v>4</v>
      </c>
      <c r="F72" s="12" t="s">
        <v>1662</v>
      </c>
      <c r="G72" s="12">
        <v>12</v>
      </c>
      <c r="H72" s="12">
        <v>0</v>
      </c>
      <c r="I72" s="12"/>
      <c r="J72" s="12" t="s">
        <v>1663</v>
      </c>
      <c r="K72" s="12" t="s">
        <v>1664</v>
      </c>
    </row>
    <row r="73" spans="1:11" x14ac:dyDescent="0.3">
      <c r="A73" s="12" t="s">
        <v>902</v>
      </c>
      <c r="B73" s="12" t="s">
        <v>1647</v>
      </c>
      <c r="C73" s="12" t="s">
        <v>1665</v>
      </c>
      <c r="D73" s="12"/>
      <c r="E73" s="12">
        <v>3</v>
      </c>
      <c r="F73" s="12" t="s">
        <v>1666</v>
      </c>
      <c r="G73" s="12">
        <v>484</v>
      </c>
      <c r="H73" s="12">
        <v>0</v>
      </c>
      <c r="I73" s="12"/>
      <c r="J73" s="12" t="s">
        <v>1667</v>
      </c>
      <c r="K73" s="12" t="s">
        <v>1668</v>
      </c>
    </row>
    <row r="74" spans="1:11" x14ac:dyDescent="0.3">
      <c r="A74" s="12" t="s">
        <v>902</v>
      </c>
      <c r="B74" s="12" t="s">
        <v>1647</v>
      </c>
      <c r="C74" s="12" t="s">
        <v>1669</v>
      </c>
      <c r="D74" s="12"/>
      <c r="E74" s="12">
        <v>3</v>
      </c>
      <c r="F74" s="12" t="s">
        <v>1670</v>
      </c>
      <c r="G74" s="12">
        <v>151</v>
      </c>
      <c r="H74" s="12">
        <v>0</v>
      </c>
      <c r="I74" s="12"/>
      <c r="J74" s="12" t="s">
        <v>1671</v>
      </c>
      <c r="K74" s="12" t="s">
        <v>1672</v>
      </c>
    </row>
    <row r="75" spans="1:11" x14ac:dyDescent="0.3">
      <c r="A75" s="12" t="s">
        <v>902</v>
      </c>
      <c r="B75" s="12" t="s">
        <v>1647</v>
      </c>
      <c r="C75" s="12" t="s">
        <v>1673</v>
      </c>
      <c r="D75" s="12"/>
      <c r="E75" s="12">
        <v>3</v>
      </c>
      <c r="F75" s="12" t="s">
        <v>1674</v>
      </c>
      <c r="G75" s="12">
        <v>40</v>
      </c>
      <c r="H75" s="12">
        <v>0</v>
      </c>
      <c r="I75" s="12"/>
      <c r="J75" s="12" t="s">
        <v>1675</v>
      </c>
      <c r="K75" s="12" t="s">
        <v>1676</v>
      </c>
    </row>
    <row r="76" spans="1:11" x14ac:dyDescent="0.3">
      <c r="A76" s="12" t="s">
        <v>787</v>
      </c>
      <c r="B76" s="12" t="s">
        <v>788</v>
      </c>
      <c r="C76" s="12" t="s">
        <v>789</v>
      </c>
      <c r="D76" s="12"/>
      <c r="E76" s="12">
        <v>3</v>
      </c>
      <c r="F76" s="12" t="s">
        <v>235</v>
      </c>
      <c r="G76" s="12">
        <v>585</v>
      </c>
      <c r="H76" s="12">
        <v>542</v>
      </c>
      <c r="I76" s="3" t="s">
        <v>234</v>
      </c>
      <c r="J76" s="12" t="s">
        <v>40</v>
      </c>
      <c r="K76" s="12" t="s">
        <v>343</v>
      </c>
    </row>
    <row r="77" spans="1:11" x14ac:dyDescent="0.3">
      <c r="A77" s="12" t="s">
        <v>787</v>
      </c>
      <c r="B77" s="12" t="s">
        <v>788</v>
      </c>
      <c r="C77" s="12" t="s">
        <v>1677</v>
      </c>
      <c r="D77" s="12"/>
      <c r="E77" s="12">
        <v>3</v>
      </c>
      <c r="F77" s="12" t="s">
        <v>1678</v>
      </c>
      <c r="G77" s="12">
        <v>87</v>
      </c>
      <c r="H77" s="12">
        <v>70</v>
      </c>
      <c r="I77" s="12"/>
      <c r="J77" s="12" t="s">
        <v>1679</v>
      </c>
      <c r="K77" s="12" t="s">
        <v>1680</v>
      </c>
    </row>
    <row r="78" spans="1:11" x14ac:dyDescent="0.3">
      <c r="A78" s="12" t="s">
        <v>787</v>
      </c>
      <c r="B78" s="12" t="s">
        <v>788</v>
      </c>
      <c r="C78" s="12" t="s">
        <v>805</v>
      </c>
      <c r="D78" s="12"/>
      <c r="E78" s="12">
        <v>3</v>
      </c>
      <c r="F78" s="12" t="s">
        <v>240</v>
      </c>
      <c r="G78" s="12">
        <v>300</v>
      </c>
      <c r="H78" s="12">
        <v>265</v>
      </c>
      <c r="I78" s="3" t="s">
        <v>238</v>
      </c>
      <c r="J78" s="12" t="s">
        <v>239</v>
      </c>
      <c r="K78" s="12" t="s">
        <v>367</v>
      </c>
    </row>
    <row r="79" spans="1:11" x14ac:dyDescent="0.3">
      <c r="A79" s="12" t="s">
        <v>787</v>
      </c>
      <c r="B79" s="12" t="s">
        <v>788</v>
      </c>
      <c r="C79" s="12" t="s">
        <v>1681</v>
      </c>
      <c r="D79" s="12"/>
      <c r="E79" s="12">
        <v>3</v>
      </c>
      <c r="F79" s="12" t="s">
        <v>1682</v>
      </c>
      <c r="G79" s="12">
        <v>92</v>
      </c>
      <c r="H79" s="12">
        <v>91</v>
      </c>
      <c r="I79" s="12"/>
      <c r="J79" s="12" t="s">
        <v>1683</v>
      </c>
      <c r="K79" s="12" t="s">
        <v>1684</v>
      </c>
    </row>
    <row r="80" spans="1:11" x14ac:dyDescent="0.3">
      <c r="A80" s="12" t="s">
        <v>787</v>
      </c>
      <c r="B80" s="12" t="s">
        <v>807</v>
      </c>
      <c r="C80" s="12" t="s">
        <v>1685</v>
      </c>
      <c r="D80" s="12"/>
      <c r="E80" s="12">
        <v>3</v>
      </c>
      <c r="F80" s="12" t="s">
        <v>1686</v>
      </c>
      <c r="G80" s="12">
        <v>205</v>
      </c>
      <c r="H80" s="12">
        <v>189</v>
      </c>
      <c r="I80" s="12"/>
      <c r="J80" s="12" t="s">
        <v>1687</v>
      </c>
      <c r="K80" s="12" t="s">
        <v>1688</v>
      </c>
    </row>
    <row r="81" spans="1:11" x14ac:dyDescent="0.3">
      <c r="A81" s="12" t="s">
        <v>787</v>
      </c>
      <c r="B81" s="12" t="s">
        <v>807</v>
      </c>
      <c r="C81" s="12" t="s">
        <v>1689</v>
      </c>
      <c r="D81" s="12"/>
      <c r="E81" s="12">
        <v>3</v>
      </c>
      <c r="F81" s="12" t="s">
        <v>1690</v>
      </c>
      <c r="G81" s="12">
        <v>117</v>
      </c>
      <c r="H81" s="12">
        <v>0</v>
      </c>
      <c r="I81" s="12"/>
      <c r="J81" s="12" t="s">
        <v>1691</v>
      </c>
      <c r="K81" s="12" t="s">
        <v>1692</v>
      </c>
    </row>
    <row r="82" spans="1:11" x14ac:dyDescent="0.3">
      <c r="A82" s="12" t="s">
        <v>787</v>
      </c>
      <c r="B82" s="12" t="s">
        <v>807</v>
      </c>
      <c r="C82" s="12" t="s">
        <v>792</v>
      </c>
      <c r="D82" s="12"/>
      <c r="E82" s="12">
        <v>3</v>
      </c>
      <c r="F82" s="12" t="s">
        <v>243</v>
      </c>
      <c r="G82" s="12">
        <v>173</v>
      </c>
      <c r="H82" s="12">
        <v>166</v>
      </c>
      <c r="I82" s="3" t="s">
        <v>241</v>
      </c>
      <c r="J82" s="12" t="s">
        <v>242</v>
      </c>
      <c r="K82" s="12" t="s">
        <v>374</v>
      </c>
    </row>
    <row r="83" spans="1:11" x14ac:dyDescent="0.3">
      <c r="A83" s="12" t="s">
        <v>787</v>
      </c>
      <c r="B83" s="12" t="s">
        <v>1026</v>
      </c>
      <c r="C83" s="12" t="s">
        <v>1027</v>
      </c>
      <c r="D83" s="12" t="s">
        <v>1693</v>
      </c>
      <c r="E83" s="12">
        <v>4</v>
      </c>
      <c r="F83" s="12" t="s">
        <v>1694</v>
      </c>
      <c r="G83" s="12">
        <v>120</v>
      </c>
      <c r="H83" s="12">
        <v>117</v>
      </c>
      <c r="I83" s="12"/>
      <c r="J83" s="12" t="s">
        <v>1695</v>
      </c>
      <c r="K83" s="12" t="s">
        <v>1696</v>
      </c>
    </row>
    <row r="84" spans="1:11" x14ac:dyDescent="0.3">
      <c r="A84" s="12" t="s">
        <v>787</v>
      </c>
      <c r="B84" s="12" t="s">
        <v>1026</v>
      </c>
      <c r="C84" s="12" t="s">
        <v>1027</v>
      </c>
      <c r="D84" s="12" t="s">
        <v>1028</v>
      </c>
      <c r="E84" s="12">
        <v>4</v>
      </c>
      <c r="F84" s="12" t="s">
        <v>246</v>
      </c>
      <c r="G84" s="12">
        <v>881</v>
      </c>
      <c r="H84" s="12">
        <v>872</v>
      </c>
      <c r="I84" s="3" t="s">
        <v>244</v>
      </c>
      <c r="J84" s="12" t="s">
        <v>245</v>
      </c>
      <c r="K84" s="12" t="s">
        <v>1697</v>
      </c>
    </row>
    <row r="85" spans="1:11" x14ac:dyDescent="0.3">
      <c r="A85" s="12" t="s">
        <v>787</v>
      </c>
      <c r="B85" s="12" t="s">
        <v>1026</v>
      </c>
      <c r="C85" s="12" t="s">
        <v>1698</v>
      </c>
      <c r="D85" s="12" t="s">
        <v>1699</v>
      </c>
      <c r="E85" s="12">
        <v>4</v>
      </c>
      <c r="F85" s="12" t="s">
        <v>1700</v>
      </c>
      <c r="G85" s="12">
        <v>83</v>
      </c>
      <c r="H85" s="12">
        <v>0</v>
      </c>
      <c r="I85" s="12"/>
      <c r="J85" s="12" t="s">
        <v>1701</v>
      </c>
      <c r="K85" s="12" t="s">
        <v>1702</v>
      </c>
    </row>
    <row r="86" spans="1:11" x14ac:dyDescent="0.3">
      <c r="A86" s="12" t="s">
        <v>787</v>
      </c>
      <c r="B86" s="12" t="s">
        <v>1026</v>
      </c>
      <c r="C86" s="12" t="s">
        <v>1698</v>
      </c>
      <c r="D86" s="12" t="s">
        <v>1703</v>
      </c>
      <c r="E86" s="12">
        <v>4</v>
      </c>
      <c r="F86" s="12" t="s">
        <v>1704</v>
      </c>
      <c r="G86" s="12">
        <v>152</v>
      </c>
      <c r="H86" s="12">
        <v>0</v>
      </c>
      <c r="I86" s="12"/>
      <c r="J86" s="12" t="s">
        <v>1705</v>
      </c>
      <c r="K86" s="12" t="s">
        <v>1706</v>
      </c>
    </row>
    <row r="87" spans="1:11" x14ac:dyDescent="0.3">
      <c r="A87" s="12" t="s">
        <v>787</v>
      </c>
      <c r="B87" s="12" t="s">
        <v>1026</v>
      </c>
      <c r="C87" s="12" t="s">
        <v>1698</v>
      </c>
      <c r="D87" s="12" t="s">
        <v>1707</v>
      </c>
      <c r="E87" s="12">
        <v>4</v>
      </c>
      <c r="F87" s="12" t="s">
        <v>1708</v>
      </c>
      <c r="G87" s="12">
        <v>148</v>
      </c>
      <c r="H87" s="12">
        <v>0</v>
      </c>
      <c r="I87" s="12"/>
      <c r="J87" s="12" t="s">
        <v>1709</v>
      </c>
      <c r="K87" s="12" t="s">
        <v>1710</v>
      </c>
    </row>
    <row r="88" spans="1:11" x14ac:dyDescent="0.3">
      <c r="A88" s="12" t="s">
        <v>787</v>
      </c>
      <c r="B88" s="12" t="s">
        <v>792</v>
      </c>
      <c r="C88" s="12" t="s">
        <v>793</v>
      </c>
      <c r="D88" s="12"/>
      <c r="E88" s="12">
        <v>3</v>
      </c>
      <c r="F88" s="12" t="s">
        <v>237</v>
      </c>
      <c r="G88" s="12">
        <v>404</v>
      </c>
      <c r="H88" s="12">
        <v>406</v>
      </c>
      <c r="I88" s="3" t="s">
        <v>236</v>
      </c>
      <c r="J88" s="12" t="s">
        <v>43</v>
      </c>
      <c r="K88" s="12" t="s">
        <v>348</v>
      </c>
    </row>
    <row r="89" spans="1:11" x14ac:dyDescent="0.3">
      <c r="A89" s="12" t="s">
        <v>1711</v>
      </c>
      <c r="B89" s="12" t="s">
        <v>1712</v>
      </c>
      <c r="C89" s="12" t="s">
        <v>1713</v>
      </c>
      <c r="D89" s="12"/>
      <c r="E89" s="12">
        <v>3</v>
      </c>
      <c r="F89" s="12" t="s">
        <v>1714</v>
      </c>
      <c r="G89" s="12">
        <v>6</v>
      </c>
      <c r="H89" s="12">
        <v>0</v>
      </c>
      <c r="I89" s="12"/>
      <c r="J89" s="12" t="s">
        <v>1715</v>
      </c>
      <c r="K89" s="12" t="s">
        <v>1716</v>
      </c>
    </row>
    <row r="90" spans="1:11" x14ac:dyDescent="0.3">
      <c r="A90" s="12" t="s">
        <v>1711</v>
      </c>
      <c r="B90" s="12" t="s">
        <v>1712</v>
      </c>
      <c r="C90" s="12" t="s">
        <v>1717</v>
      </c>
      <c r="D90" s="12"/>
      <c r="E90" s="12">
        <v>3</v>
      </c>
      <c r="F90" s="12" t="s">
        <v>1718</v>
      </c>
      <c r="G90" s="12">
        <v>236</v>
      </c>
      <c r="H90" s="12">
        <v>0</v>
      </c>
      <c r="I90" s="12"/>
      <c r="J90" s="12" t="s">
        <v>1719</v>
      </c>
      <c r="K90" s="12" t="s">
        <v>1720</v>
      </c>
    </row>
    <row r="91" spans="1:11" x14ac:dyDescent="0.3">
      <c r="A91" s="12" t="s">
        <v>1711</v>
      </c>
      <c r="B91" s="12" t="s">
        <v>1712</v>
      </c>
      <c r="C91" s="12" t="s">
        <v>1721</v>
      </c>
      <c r="D91" s="12"/>
      <c r="E91" s="12">
        <v>3</v>
      </c>
      <c r="F91" s="12" t="s">
        <v>1722</v>
      </c>
      <c r="G91" s="12">
        <v>13</v>
      </c>
      <c r="H91" s="12">
        <v>0</v>
      </c>
      <c r="I91" s="12"/>
      <c r="J91" s="12" t="s">
        <v>1723</v>
      </c>
      <c r="K91" s="12" t="s">
        <v>1724</v>
      </c>
    </row>
    <row r="92" spans="1:11" x14ac:dyDescent="0.3">
      <c r="A92" s="12" t="s">
        <v>1711</v>
      </c>
      <c r="B92" s="12" t="s">
        <v>1712</v>
      </c>
      <c r="C92" s="12" t="s">
        <v>1725</v>
      </c>
      <c r="D92" s="12"/>
      <c r="E92" s="12">
        <v>3</v>
      </c>
      <c r="F92" s="12" t="s">
        <v>1726</v>
      </c>
      <c r="G92" s="12">
        <v>81</v>
      </c>
      <c r="H92" s="12">
        <v>0</v>
      </c>
      <c r="I92" s="12"/>
      <c r="J92" s="12" t="s">
        <v>1727</v>
      </c>
      <c r="K92" s="12" t="s">
        <v>1728</v>
      </c>
    </row>
    <row r="93" spans="1:11" x14ac:dyDescent="0.3">
      <c r="A93" s="12" t="s">
        <v>1711</v>
      </c>
      <c r="B93" s="12" t="s">
        <v>1712</v>
      </c>
      <c r="C93" s="12" t="s">
        <v>1729</v>
      </c>
      <c r="D93" s="12"/>
      <c r="E93" s="12">
        <v>3</v>
      </c>
      <c r="F93" s="12" t="s">
        <v>1730</v>
      </c>
      <c r="G93" s="12">
        <v>3</v>
      </c>
      <c r="H93" s="12">
        <v>0</v>
      </c>
      <c r="I93" s="12"/>
      <c r="J93" s="12" t="s">
        <v>1731</v>
      </c>
      <c r="K93" s="12" t="s">
        <v>1732</v>
      </c>
    </row>
    <row r="94" spans="1:11" x14ac:dyDescent="0.3">
      <c r="A94" s="12" t="s">
        <v>1711</v>
      </c>
      <c r="B94" s="12" t="s">
        <v>1712</v>
      </c>
      <c r="C94" s="12" t="s">
        <v>1733</v>
      </c>
      <c r="D94" s="12"/>
      <c r="E94" s="12">
        <v>3</v>
      </c>
      <c r="F94" s="12" t="s">
        <v>1734</v>
      </c>
      <c r="G94" s="12">
        <v>15</v>
      </c>
      <c r="H94" s="12">
        <v>0</v>
      </c>
      <c r="I94" s="12"/>
      <c r="J94" s="12" t="s">
        <v>1735</v>
      </c>
      <c r="K94" s="12" t="s">
        <v>1736</v>
      </c>
    </row>
    <row r="95" spans="1:11" x14ac:dyDescent="0.3">
      <c r="A95" s="12" t="s">
        <v>1711</v>
      </c>
      <c r="B95" s="12" t="s">
        <v>1737</v>
      </c>
      <c r="C95" s="12" t="s">
        <v>1738</v>
      </c>
      <c r="D95" s="12"/>
      <c r="E95" s="12">
        <v>3</v>
      </c>
      <c r="F95" s="12" t="s">
        <v>1739</v>
      </c>
      <c r="G95" s="12">
        <v>406</v>
      </c>
      <c r="H95" s="12">
        <v>0</v>
      </c>
      <c r="I95" s="12"/>
      <c r="J95" s="12" t="s">
        <v>1740</v>
      </c>
      <c r="K95" s="12" t="s">
        <v>1741</v>
      </c>
    </row>
    <row r="96" spans="1:11" x14ac:dyDescent="0.3">
      <c r="A96" s="12" t="s">
        <v>1711</v>
      </c>
      <c r="B96" s="12" t="s">
        <v>1737</v>
      </c>
      <c r="C96" s="12" t="s">
        <v>1742</v>
      </c>
      <c r="D96" s="12"/>
      <c r="E96" s="12">
        <v>3</v>
      </c>
      <c r="F96" s="12" t="s">
        <v>1743</v>
      </c>
      <c r="G96" s="12">
        <v>119</v>
      </c>
      <c r="H96" s="12">
        <v>0</v>
      </c>
      <c r="I96" s="12"/>
      <c r="J96" s="12" t="s">
        <v>1744</v>
      </c>
      <c r="K96" s="12" t="s">
        <v>1745</v>
      </c>
    </row>
    <row r="97" spans="1:11" x14ac:dyDescent="0.3">
      <c r="A97" s="12" t="s">
        <v>1711</v>
      </c>
      <c r="B97" s="12" t="s">
        <v>1737</v>
      </c>
      <c r="C97" s="12" t="s">
        <v>1746</v>
      </c>
      <c r="D97" s="12"/>
      <c r="E97" s="12">
        <v>3</v>
      </c>
      <c r="F97" s="12" t="s">
        <v>1747</v>
      </c>
      <c r="G97" s="12">
        <v>78</v>
      </c>
      <c r="H97" s="12">
        <v>0</v>
      </c>
      <c r="I97" s="12"/>
      <c r="J97" s="12" t="s">
        <v>1748</v>
      </c>
      <c r="K97" s="12" t="s">
        <v>1749</v>
      </c>
    </row>
    <row r="98" spans="1:11" x14ac:dyDescent="0.3">
      <c r="A98" s="12" t="s">
        <v>1711</v>
      </c>
      <c r="B98" s="12" t="s">
        <v>1737</v>
      </c>
      <c r="C98" s="12" t="s">
        <v>1750</v>
      </c>
      <c r="D98" s="12"/>
      <c r="E98" s="12">
        <v>3</v>
      </c>
      <c r="F98" s="12" t="s">
        <v>1751</v>
      </c>
      <c r="G98" s="12">
        <v>15</v>
      </c>
      <c r="H98" s="12">
        <v>0</v>
      </c>
      <c r="I98" s="12"/>
      <c r="J98" s="12" t="s">
        <v>1752</v>
      </c>
      <c r="K98" s="12" t="s">
        <v>1753</v>
      </c>
    </row>
    <row r="99" spans="1:11" x14ac:dyDescent="0.3">
      <c r="A99" s="12" t="s">
        <v>1711</v>
      </c>
      <c r="B99" s="12" t="s">
        <v>1737</v>
      </c>
      <c r="C99" s="12" t="s">
        <v>1754</v>
      </c>
      <c r="D99" s="12"/>
      <c r="E99" s="12">
        <v>3</v>
      </c>
      <c r="F99" s="12" t="s">
        <v>1755</v>
      </c>
      <c r="G99" s="12">
        <v>443</v>
      </c>
      <c r="H99" s="12">
        <v>0</v>
      </c>
      <c r="I99" s="12"/>
      <c r="J99" s="12" t="s">
        <v>1756</v>
      </c>
      <c r="K99" s="12" t="s">
        <v>1757</v>
      </c>
    </row>
    <row r="100" spans="1:11" x14ac:dyDescent="0.3">
      <c r="A100" s="12" t="s">
        <v>1711</v>
      </c>
      <c r="B100" s="12" t="s">
        <v>1737</v>
      </c>
      <c r="C100" s="12" t="s">
        <v>1758</v>
      </c>
      <c r="D100" s="12"/>
      <c r="E100" s="12">
        <v>3</v>
      </c>
      <c r="F100" s="12" t="s">
        <v>1759</v>
      </c>
      <c r="G100" s="12">
        <v>26</v>
      </c>
      <c r="H100" s="12">
        <v>0</v>
      </c>
      <c r="I100" s="12"/>
      <c r="J100" s="12" t="s">
        <v>1760</v>
      </c>
      <c r="K100" s="12" t="s">
        <v>1761</v>
      </c>
    </row>
    <row r="101" spans="1:11" x14ac:dyDescent="0.3">
      <c r="A101" s="12" t="s">
        <v>919</v>
      </c>
      <c r="B101" s="12" t="s">
        <v>1762</v>
      </c>
      <c r="C101" s="12" t="s">
        <v>1763</v>
      </c>
      <c r="D101" s="12"/>
      <c r="E101" s="12">
        <v>3</v>
      </c>
      <c r="F101" s="12" t="s">
        <v>1764</v>
      </c>
      <c r="G101" s="12">
        <v>368</v>
      </c>
      <c r="H101" s="12">
        <v>0</v>
      </c>
      <c r="I101" s="12"/>
      <c r="J101" s="12" t="s">
        <v>1765</v>
      </c>
      <c r="K101" s="12" t="s">
        <v>1766</v>
      </c>
    </row>
    <row r="102" spans="1:11" x14ac:dyDescent="0.3">
      <c r="A102" s="12" t="s">
        <v>919</v>
      </c>
      <c r="B102" s="12" t="s">
        <v>1762</v>
      </c>
      <c r="C102" s="12" t="s">
        <v>1767</v>
      </c>
      <c r="D102" s="12"/>
      <c r="E102" s="12">
        <v>3</v>
      </c>
      <c r="F102" s="12" t="s">
        <v>1768</v>
      </c>
      <c r="G102" s="12">
        <v>30</v>
      </c>
      <c r="H102" s="12">
        <v>0</v>
      </c>
      <c r="I102" s="12"/>
      <c r="J102" s="12" t="s">
        <v>1769</v>
      </c>
      <c r="K102" s="12" t="s">
        <v>1770</v>
      </c>
    </row>
    <row r="103" spans="1:11" x14ac:dyDescent="0.3">
      <c r="A103" s="12" t="s">
        <v>919</v>
      </c>
      <c r="B103" s="12" t="s">
        <v>1762</v>
      </c>
      <c r="C103" s="12" t="s">
        <v>1771</v>
      </c>
      <c r="D103" s="12"/>
      <c r="E103" s="12">
        <v>3</v>
      </c>
      <c r="F103" s="12" t="s">
        <v>1772</v>
      </c>
      <c r="G103" s="12">
        <v>671</v>
      </c>
      <c r="H103" s="12">
        <v>0</v>
      </c>
      <c r="I103" s="12"/>
      <c r="J103" s="12" t="s">
        <v>1773</v>
      </c>
      <c r="K103" s="12" t="s">
        <v>1774</v>
      </c>
    </row>
    <row r="104" spans="1:11" x14ac:dyDescent="0.3">
      <c r="A104" s="12" t="s">
        <v>919</v>
      </c>
      <c r="B104" s="12" t="s">
        <v>1762</v>
      </c>
      <c r="C104" s="12" t="s">
        <v>1775</v>
      </c>
      <c r="D104" s="12" t="s">
        <v>1776</v>
      </c>
      <c r="E104" s="12">
        <v>4</v>
      </c>
      <c r="F104" s="12" t="s">
        <v>1777</v>
      </c>
      <c r="G104" s="12">
        <v>104</v>
      </c>
      <c r="H104" s="12">
        <v>0</v>
      </c>
      <c r="I104" s="12"/>
      <c r="J104" s="12" t="s">
        <v>1778</v>
      </c>
      <c r="K104" s="12" t="s">
        <v>1779</v>
      </c>
    </row>
    <row r="105" spans="1:11" x14ac:dyDescent="0.3">
      <c r="A105" s="12" t="s">
        <v>919</v>
      </c>
      <c r="B105" s="12" t="s">
        <v>1762</v>
      </c>
      <c r="C105" s="12" t="s">
        <v>1775</v>
      </c>
      <c r="D105" s="12" t="s">
        <v>1780</v>
      </c>
      <c r="E105" s="12">
        <v>4</v>
      </c>
      <c r="F105" s="12" t="s">
        <v>1781</v>
      </c>
      <c r="G105" s="12">
        <v>5</v>
      </c>
      <c r="H105" s="12">
        <v>0</v>
      </c>
      <c r="I105" s="12"/>
      <c r="J105" s="12" t="s">
        <v>1782</v>
      </c>
      <c r="K105" s="12" t="s">
        <v>1783</v>
      </c>
    </row>
    <row r="106" spans="1:11" x14ac:dyDescent="0.3">
      <c r="A106" s="12" t="s">
        <v>919</v>
      </c>
      <c r="B106" s="12" t="s">
        <v>1762</v>
      </c>
      <c r="C106" s="12" t="s">
        <v>1784</v>
      </c>
      <c r="D106" s="12"/>
      <c r="E106" s="12">
        <v>3</v>
      </c>
      <c r="F106" s="12" t="s">
        <v>1785</v>
      </c>
      <c r="G106" s="12">
        <v>142</v>
      </c>
      <c r="H106" s="12">
        <v>0</v>
      </c>
      <c r="I106" s="12"/>
      <c r="J106" s="12" t="s">
        <v>1786</v>
      </c>
      <c r="K106" s="12" t="s">
        <v>1787</v>
      </c>
    </row>
    <row r="107" spans="1:11" x14ac:dyDescent="0.3">
      <c r="A107" s="12" t="s">
        <v>919</v>
      </c>
      <c r="B107" s="12" t="s">
        <v>1762</v>
      </c>
      <c r="C107" s="12" t="s">
        <v>1788</v>
      </c>
      <c r="D107" s="12"/>
      <c r="E107" s="12">
        <v>3</v>
      </c>
      <c r="F107" s="12" t="s">
        <v>1789</v>
      </c>
      <c r="G107" s="12">
        <v>132</v>
      </c>
      <c r="H107" s="12">
        <v>0</v>
      </c>
      <c r="I107" s="12"/>
      <c r="J107" s="12" t="s">
        <v>1790</v>
      </c>
      <c r="K107" s="12" t="s">
        <v>1791</v>
      </c>
    </row>
    <row r="108" spans="1:11" x14ac:dyDescent="0.3">
      <c r="A108" s="12" t="s">
        <v>919</v>
      </c>
      <c r="B108" s="12" t="s">
        <v>1762</v>
      </c>
      <c r="C108" s="12" t="s">
        <v>1792</v>
      </c>
      <c r="D108" s="12"/>
      <c r="E108" s="12">
        <v>3</v>
      </c>
      <c r="F108" s="12" t="s">
        <v>1793</v>
      </c>
      <c r="G108" s="12">
        <v>38</v>
      </c>
      <c r="H108" s="12">
        <v>0</v>
      </c>
      <c r="I108" s="12"/>
      <c r="J108" s="12" t="s">
        <v>1794</v>
      </c>
      <c r="K108" s="12" t="s">
        <v>1795</v>
      </c>
    </row>
    <row r="109" spans="1:11" x14ac:dyDescent="0.3">
      <c r="A109" s="12" t="s">
        <v>919</v>
      </c>
      <c r="B109" s="12" t="s">
        <v>1796</v>
      </c>
      <c r="C109" s="12" t="s">
        <v>1797</v>
      </c>
      <c r="D109" s="12"/>
      <c r="E109" s="12">
        <v>3</v>
      </c>
      <c r="F109" s="12" t="s">
        <v>1798</v>
      </c>
      <c r="G109" s="12">
        <v>65</v>
      </c>
      <c r="H109" s="12">
        <v>0</v>
      </c>
      <c r="I109" s="12"/>
      <c r="J109" s="12" t="s">
        <v>1799</v>
      </c>
      <c r="K109" s="12" t="s">
        <v>1800</v>
      </c>
    </row>
    <row r="110" spans="1:11" x14ac:dyDescent="0.3">
      <c r="A110" s="12" t="s">
        <v>919</v>
      </c>
      <c r="B110" s="12" t="s">
        <v>1796</v>
      </c>
      <c r="C110" s="12" t="s">
        <v>1801</v>
      </c>
      <c r="D110" s="12" t="s">
        <v>1802</v>
      </c>
      <c r="E110" s="12">
        <v>4</v>
      </c>
      <c r="F110" s="12" t="s">
        <v>1803</v>
      </c>
      <c r="G110" s="12">
        <v>9</v>
      </c>
      <c r="H110" s="12">
        <v>0</v>
      </c>
      <c r="I110" s="12"/>
      <c r="J110" s="12" t="s">
        <v>1804</v>
      </c>
      <c r="K110" s="12" t="s">
        <v>1805</v>
      </c>
    </row>
    <row r="111" spans="1:11" x14ac:dyDescent="0.3">
      <c r="A111" s="12" t="s">
        <v>919</v>
      </c>
      <c r="B111" s="12" t="s">
        <v>1796</v>
      </c>
      <c r="C111" s="12" t="s">
        <v>1801</v>
      </c>
      <c r="D111" s="12" t="s">
        <v>1806</v>
      </c>
      <c r="E111" s="12">
        <v>4</v>
      </c>
      <c r="F111" s="12" t="s">
        <v>1807</v>
      </c>
      <c r="G111" s="12">
        <v>14</v>
      </c>
      <c r="H111" s="12">
        <v>0</v>
      </c>
      <c r="I111" s="12"/>
      <c r="J111" s="12" t="s">
        <v>1808</v>
      </c>
      <c r="K111" s="12" t="s">
        <v>1809</v>
      </c>
    </row>
    <row r="112" spans="1:11" x14ac:dyDescent="0.3">
      <c r="A112" s="12" t="s">
        <v>919</v>
      </c>
      <c r="B112" s="12" t="s">
        <v>1796</v>
      </c>
      <c r="C112" s="12" t="s">
        <v>1801</v>
      </c>
      <c r="D112" s="12" t="s">
        <v>1810</v>
      </c>
      <c r="E112" s="12">
        <v>4</v>
      </c>
      <c r="F112" s="12" t="s">
        <v>1811</v>
      </c>
      <c r="G112" s="12">
        <v>14</v>
      </c>
      <c r="H112" s="12">
        <v>0</v>
      </c>
      <c r="I112" s="12"/>
      <c r="J112" s="12" t="s">
        <v>1812</v>
      </c>
      <c r="K112" s="12" t="s">
        <v>1813</v>
      </c>
    </row>
    <row r="113" spans="1:11" x14ac:dyDescent="0.3">
      <c r="A113" s="12" t="s">
        <v>919</v>
      </c>
      <c r="B113" s="12" t="s">
        <v>1796</v>
      </c>
      <c r="C113" s="12" t="s">
        <v>1814</v>
      </c>
      <c r="D113" s="12"/>
      <c r="E113" s="12">
        <v>3</v>
      </c>
      <c r="F113" s="12" t="s">
        <v>1815</v>
      </c>
      <c r="G113" s="12">
        <v>186</v>
      </c>
      <c r="H113" s="12">
        <v>0</v>
      </c>
      <c r="I113" s="12"/>
      <c r="J113" s="12" t="s">
        <v>1816</v>
      </c>
      <c r="K113" s="12" t="s">
        <v>1817</v>
      </c>
    </row>
    <row r="114" spans="1:11" x14ac:dyDescent="0.3">
      <c r="A114" s="12" t="s">
        <v>919</v>
      </c>
      <c r="B114" s="12" t="s">
        <v>1796</v>
      </c>
      <c r="C114" s="12" t="s">
        <v>1818</v>
      </c>
      <c r="D114" s="12"/>
      <c r="E114" s="12">
        <v>3</v>
      </c>
      <c r="F114" s="12" t="s">
        <v>1819</v>
      </c>
      <c r="G114" s="12">
        <v>49</v>
      </c>
      <c r="H114" s="12">
        <v>0</v>
      </c>
      <c r="I114" s="12"/>
      <c r="J114" s="12" t="s">
        <v>1820</v>
      </c>
      <c r="K114" s="12" t="s">
        <v>1821</v>
      </c>
    </row>
    <row r="115" spans="1:11" x14ac:dyDescent="0.3">
      <c r="A115" s="12" t="s">
        <v>919</v>
      </c>
      <c r="B115" s="12" t="s">
        <v>1796</v>
      </c>
      <c r="C115" s="12" t="s">
        <v>1822</v>
      </c>
      <c r="D115" s="12" t="s">
        <v>1823</v>
      </c>
      <c r="E115" s="12">
        <v>4</v>
      </c>
      <c r="F115" s="12" t="s">
        <v>1824</v>
      </c>
      <c r="G115" s="12">
        <v>46</v>
      </c>
      <c r="H115" s="12">
        <v>0</v>
      </c>
      <c r="I115" s="12"/>
      <c r="J115" s="12" t="s">
        <v>1825</v>
      </c>
      <c r="K115" s="12" t="s">
        <v>1826</v>
      </c>
    </row>
    <row r="116" spans="1:11" x14ac:dyDescent="0.3">
      <c r="A116" s="12" t="s">
        <v>919</v>
      </c>
      <c r="B116" s="12" t="s">
        <v>1796</v>
      </c>
      <c r="C116" s="12" t="s">
        <v>1822</v>
      </c>
      <c r="D116" s="12" t="s">
        <v>1827</v>
      </c>
      <c r="E116" s="12">
        <v>4</v>
      </c>
      <c r="F116" s="12" t="s">
        <v>1828</v>
      </c>
      <c r="G116" s="12">
        <v>214</v>
      </c>
      <c r="H116" s="12">
        <v>0</v>
      </c>
      <c r="I116" s="12"/>
      <c r="J116" s="12" t="s">
        <v>1829</v>
      </c>
      <c r="K116" s="12" t="s">
        <v>1830</v>
      </c>
    </row>
    <row r="117" spans="1:11" x14ac:dyDescent="0.3">
      <c r="A117" s="12" t="s">
        <v>919</v>
      </c>
      <c r="B117" s="12" t="s">
        <v>1796</v>
      </c>
      <c r="C117" s="12" t="s">
        <v>1822</v>
      </c>
      <c r="D117" s="12" t="s">
        <v>1831</v>
      </c>
      <c r="E117" s="12">
        <v>4</v>
      </c>
      <c r="F117" s="12" t="s">
        <v>1832</v>
      </c>
      <c r="G117" s="12">
        <v>119</v>
      </c>
      <c r="H117" s="12">
        <v>0</v>
      </c>
      <c r="I117" s="12"/>
      <c r="J117" s="12" t="s">
        <v>1833</v>
      </c>
      <c r="K117" s="12" t="s">
        <v>1834</v>
      </c>
    </row>
    <row r="118" spans="1:11" x14ac:dyDescent="0.3">
      <c r="A118" s="12" t="s">
        <v>919</v>
      </c>
      <c r="B118" s="12" t="s">
        <v>1796</v>
      </c>
      <c r="C118" s="12" t="s">
        <v>1835</v>
      </c>
      <c r="D118" s="12"/>
      <c r="E118" s="12">
        <v>3</v>
      </c>
      <c r="F118" s="12" t="s">
        <v>1836</v>
      </c>
      <c r="G118" s="12">
        <v>78</v>
      </c>
      <c r="H118" s="12">
        <v>0</v>
      </c>
      <c r="I118" s="12"/>
      <c r="J118" s="12" t="s">
        <v>1837</v>
      </c>
      <c r="K118" s="12" t="s">
        <v>1838</v>
      </c>
    </row>
    <row r="119" spans="1:11" x14ac:dyDescent="0.3">
      <c r="A119" s="12" t="s">
        <v>919</v>
      </c>
      <c r="B119" s="12" t="s">
        <v>1796</v>
      </c>
      <c r="C119" s="12" t="s">
        <v>1839</v>
      </c>
      <c r="D119" s="12"/>
      <c r="E119" s="12">
        <v>3</v>
      </c>
      <c r="F119" s="12" t="s">
        <v>1840</v>
      </c>
      <c r="G119" s="12">
        <v>23</v>
      </c>
      <c r="H119" s="12">
        <v>0</v>
      </c>
      <c r="I119" s="12"/>
      <c r="J119" s="12" t="s">
        <v>1841</v>
      </c>
      <c r="K119" s="12" t="s">
        <v>1842</v>
      </c>
    </row>
    <row r="120" spans="1:11" x14ac:dyDescent="0.3">
      <c r="A120" s="12" t="s">
        <v>919</v>
      </c>
      <c r="B120" s="12" t="s">
        <v>1796</v>
      </c>
      <c r="C120" s="12" t="s">
        <v>1843</v>
      </c>
      <c r="D120" s="12"/>
      <c r="E120" s="12">
        <v>3</v>
      </c>
      <c r="F120" s="12" t="s">
        <v>1844</v>
      </c>
      <c r="G120" s="12">
        <v>40</v>
      </c>
      <c r="H120" s="12">
        <v>0</v>
      </c>
      <c r="I120" s="12"/>
      <c r="J120" s="12" t="s">
        <v>1845</v>
      </c>
      <c r="K120" s="12" t="s">
        <v>1846</v>
      </c>
    </row>
    <row r="121" spans="1:11" x14ac:dyDescent="0.3">
      <c r="A121" s="12" t="s">
        <v>919</v>
      </c>
      <c r="B121" s="12" t="s">
        <v>1847</v>
      </c>
      <c r="C121" s="12"/>
      <c r="D121" s="12"/>
      <c r="E121" s="12">
        <v>2</v>
      </c>
      <c r="F121" s="12" t="s">
        <v>1848</v>
      </c>
      <c r="G121" s="12">
        <v>91</v>
      </c>
      <c r="H121" s="12">
        <v>0</v>
      </c>
      <c r="I121" s="12"/>
      <c r="J121" s="12" t="s">
        <v>1849</v>
      </c>
      <c r="K121" s="12" t="s">
        <v>1850</v>
      </c>
    </row>
    <row r="122" spans="1:11" x14ac:dyDescent="0.3">
      <c r="A122" s="12" t="s">
        <v>919</v>
      </c>
      <c r="B122" s="12" t="s">
        <v>1851</v>
      </c>
      <c r="C122" s="12"/>
      <c r="D122" s="12"/>
      <c r="E122" s="12">
        <v>2</v>
      </c>
      <c r="F122" s="12" t="s">
        <v>1852</v>
      </c>
      <c r="G122" s="12">
        <v>40</v>
      </c>
      <c r="H122" s="12">
        <v>0</v>
      </c>
      <c r="I122" s="12"/>
      <c r="J122" s="12" t="s">
        <v>1853</v>
      </c>
      <c r="K122" s="12" t="s">
        <v>1854</v>
      </c>
    </row>
    <row r="123" spans="1:11" x14ac:dyDescent="0.3">
      <c r="A123" s="12" t="s">
        <v>919</v>
      </c>
      <c r="B123" s="12" t="s">
        <v>1855</v>
      </c>
      <c r="C123" s="12" t="s">
        <v>1856</v>
      </c>
      <c r="D123" s="12"/>
      <c r="E123" s="12">
        <v>3</v>
      </c>
      <c r="F123" s="12" t="s">
        <v>1857</v>
      </c>
      <c r="G123" s="12">
        <v>24</v>
      </c>
      <c r="H123" s="12">
        <v>0</v>
      </c>
      <c r="I123" s="12"/>
      <c r="J123" s="12" t="s">
        <v>1858</v>
      </c>
      <c r="K123" s="12" t="s">
        <v>1859</v>
      </c>
    </row>
    <row r="124" spans="1:11" x14ac:dyDescent="0.3">
      <c r="A124" s="12" t="s">
        <v>919</v>
      </c>
      <c r="B124" s="12" t="s">
        <v>1855</v>
      </c>
      <c r="C124" s="12" t="s">
        <v>1860</v>
      </c>
      <c r="D124" s="12"/>
      <c r="E124" s="12">
        <v>3</v>
      </c>
      <c r="F124" s="12" t="s">
        <v>1861</v>
      </c>
      <c r="G124" s="12">
        <v>16</v>
      </c>
      <c r="H124" s="12">
        <v>0</v>
      </c>
      <c r="I124" s="12"/>
      <c r="J124" s="12" t="s">
        <v>1862</v>
      </c>
      <c r="K124" s="12" t="s">
        <v>1863</v>
      </c>
    </row>
    <row r="125" spans="1:11" x14ac:dyDescent="0.3">
      <c r="A125" s="12" t="s">
        <v>919</v>
      </c>
      <c r="B125" s="12" t="s">
        <v>1855</v>
      </c>
      <c r="C125" s="12" t="s">
        <v>1864</v>
      </c>
      <c r="D125" s="12"/>
      <c r="E125" s="12">
        <v>3</v>
      </c>
      <c r="F125" s="12" t="s">
        <v>1865</v>
      </c>
      <c r="G125" s="12">
        <v>1</v>
      </c>
      <c r="H125" s="12">
        <v>0</v>
      </c>
      <c r="I125" s="12"/>
      <c r="J125" s="12" t="s">
        <v>1866</v>
      </c>
      <c r="K125" s="12" t="s">
        <v>1867</v>
      </c>
    </row>
    <row r="126" spans="1:11" x14ac:dyDescent="0.3">
      <c r="A126" s="12" t="s">
        <v>919</v>
      </c>
      <c r="B126" s="12" t="s">
        <v>1855</v>
      </c>
      <c r="C126" s="12" t="s">
        <v>1868</v>
      </c>
      <c r="D126" s="12"/>
      <c r="E126" s="12">
        <v>3</v>
      </c>
      <c r="F126" s="12" t="s">
        <v>1869</v>
      </c>
      <c r="G126" s="12">
        <v>17</v>
      </c>
      <c r="H126" s="12">
        <v>0</v>
      </c>
      <c r="I126" s="12"/>
      <c r="J126" s="12" t="s">
        <v>1870</v>
      </c>
      <c r="K126" s="12" t="s">
        <v>1871</v>
      </c>
    </row>
    <row r="127" spans="1:11" x14ac:dyDescent="0.3">
      <c r="A127" s="12" t="s">
        <v>919</v>
      </c>
      <c r="B127" s="12" t="s">
        <v>1855</v>
      </c>
      <c r="C127" s="12" t="s">
        <v>1872</v>
      </c>
      <c r="D127" s="12"/>
      <c r="E127" s="12">
        <v>3</v>
      </c>
      <c r="F127" s="12" t="s">
        <v>1873</v>
      </c>
      <c r="G127" s="12">
        <v>119</v>
      </c>
      <c r="H127" s="12">
        <v>0</v>
      </c>
      <c r="I127" s="12"/>
      <c r="J127" s="12" t="s">
        <v>1874</v>
      </c>
      <c r="K127" s="12" t="s">
        <v>1875</v>
      </c>
    </row>
    <row r="128" spans="1:11" x14ac:dyDescent="0.3">
      <c r="A128" s="12" t="s">
        <v>919</v>
      </c>
      <c r="B128" s="12" t="s">
        <v>1855</v>
      </c>
      <c r="C128" s="12" t="s">
        <v>1876</v>
      </c>
      <c r="D128" s="12"/>
      <c r="E128" s="12">
        <v>3</v>
      </c>
      <c r="F128" s="12" t="s">
        <v>1877</v>
      </c>
      <c r="G128" s="12">
        <v>135</v>
      </c>
      <c r="H128" s="12">
        <v>0</v>
      </c>
      <c r="I128" s="12"/>
      <c r="J128" s="12" t="s">
        <v>1878</v>
      </c>
      <c r="K128" s="12" t="s">
        <v>1879</v>
      </c>
    </row>
    <row r="129" spans="1:11" x14ac:dyDescent="0.3">
      <c r="A129" s="12" t="s">
        <v>919</v>
      </c>
      <c r="B129" s="12" t="s">
        <v>1855</v>
      </c>
      <c r="C129" s="12" t="s">
        <v>1880</v>
      </c>
      <c r="D129" s="12"/>
      <c r="E129" s="12">
        <v>3</v>
      </c>
      <c r="F129" s="12" t="s">
        <v>1881</v>
      </c>
      <c r="G129" s="12">
        <v>204</v>
      </c>
      <c r="H129" s="12">
        <v>0</v>
      </c>
      <c r="I129" s="12"/>
      <c r="J129" s="12" t="s">
        <v>1882</v>
      </c>
      <c r="K129" s="12" t="s">
        <v>1883</v>
      </c>
    </row>
    <row r="130" spans="1:11" x14ac:dyDescent="0.3">
      <c r="A130" s="12" t="s">
        <v>919</v>
      </c>
      <c r="B130" s="12" t="s">
        <v>1855</v>
      </c>
      <c r="C130" s="12" t="s">
        <v>1884</v>
      </c>
      <c r="D130" s="12"/>
      <c r="E130" s="12">
        <v>3</v>
      </c>
      <c r="F130" s="12" t="s">
        <v>1885</v>
      </c>
      <c r="G130" s="12">
        <v>13</v>
      </c>
      <c r="H130" s="12">
        <v>0</v>
      </c>
      <c r="I130" s="12"/>
      <c r="J130" s="12" t="s">
        <v>1886</v>
      </c>
      <c r="K130" s="12" t="s">
        <v>1887</v>
      </c>
    </row>
    <row r="131" spans="1:11" x14ac:dyDescent="0.3">
      <c r="A131" s="12" t="s">
        <v>919</v>
      </c>
      <c r="B131" s="12" t="s">
        <v>1888</v>
      </c>
      <c r="C131" s="12" t="s">
        <v>1889</v>
      </c>
      <c r="D131" s="12"/>
      <c r="E131" s="12">
        <v>3</v>
      </c>
      <c r="F131" s="12" t="s">
        <v>1890</v>
      </c>
      <c r="G131" s="12">
        <v>114</v>
      </c>
      <c r="H131" s="12">
        <v>0</v>
      </c>
      <c r="I131" s="12"/>
      <c r="J131" s="12" t="s">
        <v>1891</v>
      </c>
      <c r="K131" s="12" t="s">
        <v>1892</v>
      </c>
    </row>
    <row r="132" spans="1:11" x14ac:dyDescent="0.3">
      <c r="A132" s="12" t="s">
        <v>919</v>
      </c>
      <c r="B132" s="12" t="s">
        <v>1888</v>
      </c>
      <c r="C132" s="12" t="s">
        <v>1893</v>
      </c>
      <c r="D132" s="12"/>
      <c r="E132" s="12">
        <v>3</v>
      </c>
      <c r="F132" s="12" t="s">
        <v>1894</v>
      </c>
      <c r="G132" s="12">
        <v>283</v>
      </c>
      <c r="H132" s="12">
        <v>0</v>
      </c>
      <c r="I132" s="12"/>
      <c r="J132" s="12" t="s">
        <v>1895</v>
      </c>
      <c r="K132" s="12" t="s">
        <v>1896</v>
      </c>
    </row>
    <row r="133" spans="1:11" x14ac:dyDescent="0.3">
      <c r="A133" s="12" t="s">
        <v>919</v>
      </c>
      <c r="B133" s="12" t="s">
        <v>1888</v>
      </c>
      <c r="C133" s="12" t="s">
        <v>1897</v>
      </c>
      <c r="D133" s="12"/>
      <c r="E133" s="12">
        <v>3</v>
      </c>
      <c r="F133" s="12" t="s">
        <v>1898</v>
      </c>
      <c r="G133" s="12">
        <v>104</v>
      </c>
      <c r="H133" s="12">
        <v>0</v>
      </c>
      <c r="I133" s="12"/>
      <c r="J133" s="12" t="s">
        <v>1899</v>
      </c>
      <c r="K133" s="12" t="s">
        <v>1900</v>
      </c>
    </row>
    <row r="134" spans="1:11" x14ac:dyDescent="0.3">
      <c r="A134" s="12" t="s">
        <v>919</v>
      </c>
      <c r="B134" s="12" t="s">
        <v>1901</v>
      </c>
      <c r="C134" s="12" t="s">
        <v>1902</v>
      </c>
      <c r="D134" s="12" t="s">
        <v>1903</v>
      </c>
      <c r="E134" s="12">
        <v>4</v>
      </c>
      <c r="F134" s="12" t="s">
        <v>1904</v>
      </c>
      <c r="G134" s="12">
        <v>41</v>
      </c>
      <c r="H134" s="12">
        <v>0</v>
      </c>
      <c r="I134" s="12"/>
      <c r="J134" s="12" t="s">
        <v>1905</v>
      </c>
      <c r="K134" s="12" t="s">
        <v>1906</v>
      </c>
    </row>
    <row r="135" spans="1:11" x14ac:dyDescent="0.3">
      <c r="A135" s="12" t="s">
        <v>919</v>
      </c>
      <c r="B135" s="12" t="s">
        <v>1907</v>
      </c>
      <c r="C135" s="12" t="s">
        <v>1908</v>
      </c>
      <c r="D135" s="12"/>
      <c r="E135" s="12">
        <v>3</v>
      </c>
      <c r="F135" s="12" t="s">
        <v>1909</v>
      </c>
      <c r="G135" s="12">
        <v>6</v>
      </c>
      <c r="H135" s="12">
        <v>0</v>
      </c>
      <c r="I135" s="12"/>
      <c r="J135" s="12" t="s">
        <v>1910</v>
      </c>
      <c r="K135" s="12" t="s">
        <v>1911</v>
      </c>
    </row>
    <row r="136" spans="1:11" x14ac:dyDescent="0.3">
      <c r="A136" s="12" t="s">
        <v>919</v>
      </c>
      <c r="B136" s="12" t="s">
        <v>1907</v>
      </c>
      <c r="C136" s="12" t="s">
        <v>1912</v>
      </c>
      <c r="D136" s="12"/>
      <c r="E136" s="12">
        <v>3</v>
      </c>
      <c r="F136" s="12" t="s">
        <v>1913</v>
      </c>
      <c r="G136" s="12">
        <v>8</v>
      </c>
      <c r="H136" s="12">
        <v>0</v>
      </c>
      <c r="I136" s="12"/>
      <c r="J136" s="12" t="s">
        <v>1914</v>
      </c>
      <c r="K136" s="12" t="s">
        <v>1915</v>
      </c>
    </row>
    <row r="137" spans="1:11" x14ac:dyDescent="0.3">
      <c r="A137" s="12" t="s">
        <v>919</v>
      </c>
      <c r="B137" s="12" t="s">
        <v>1907</v>
      </c>
      <c r="C137" s="12" t="s">
        <v>1916</v>
      </c>
      <c r="D137" s="12"/>
      <c r="E137" s="12">
        <v>3</v>
      </c>
      <c r="F137" s="12" t="s">
        <v>1917</v>
      </c>
      <c r="G137" s="12">
        <v>94</v>
      </c>
      <c r="H137" s="12">
        <v>0</v>
      </c>
      <c r="I137" s="12"/>
      <c r="J137" s="12" t="s">
        <v>1918</v>
      </c>
      <c r="K137" s="12" t="s">
        <v>1919</v>
      </c>
    </row>
    <row r="138" spans="1:11" x14ac:dyDescent="0.3">
      <c r="A138" s="12" t="s">
        <v>919</v>
      </c>
      <c r="B138" s="12" t="s">
        <v>1907</v>
      </c>
      <c r="C138" s="12" t="s">
        <v>1920</v>
      </c>
      <c r="D138" s="12" t="s">
        <v>1921</v>
      </c>
      <c r="E138" s="12">
        <v>4</v>
      </c>
      <c r="F138" s="12" t="s">
        <v>1922</v>
      </c>
      <c r="G138" s="12">
        <v>38</v>
      </c>
      <c r="H138" s="12">
        <v>0</v>
      </c>
      <c r="I138" s="12"/>
      <c r="J138" s="12" t="s">
        <v>1923</v>
      </c>
      <c r="K138" s="12" t="s">
        <v>1924</v>
      </c>
    </row>
    <row r="139" spans="1:11" x14ac:dyDescent="0.3">
      <c r="A139" s="12" t="s">
        <v>919</v>
      </c>
      <c r="B139" s="12" t="s">
        <v>1907</v>
      </c>
      <c r="C139" s="12" t="s">
        <v>1920</v>
      </c>
      <c r="D139" s="12" t="s">
        <v>1925</v>
      </c>
      <c r="E139" s="12">
        <v>4</v>
      </c>
      <c r="F139" s="12" t="s">
        <v>1926</v>
      </c>
      <c r="G139" s="12">
        <v>49</v>
      </c>
      <c r="H139" s="12">
        <v>0</v>
      </c>
      <c r="I139" s="12"/>
      <c r="J139" s="12" t="s">
        <v>1927</v>
      </c>
      <c r="K139" s="12" t="s">
        <v>1928</v>
      </c>
    </row>
    <row r="140" spans="1:11" x14ac:dyDescent="0.3">
      <c r="A140" s="12" t="s">
        <v>919</v>
      </c>
      <c r="B140" s="12" t="s">
        <v>1907</v>
      </c>
      <c r="C140" s="12" t="s">
        <v>1920</v>
      </c>
      <c r="D140" s="12" t="s">
        <v>1929</v>
      </c>
      <c r="E140" s="12">
        <v>4</v>
      </c>
      <c r="F140" s="12" t="s">
        <v>1930</v>
      </c>
      <c r="G140" s="12">
        <v>168</v>
      </c>
      <c r="H140" s="12">
        <v>0</v>
      </c>
      <c r="I140" s="12"/>
      <c r="J140" s="12" t="s">
        <v>1931</v>
      </c>
      <c r="K140" s="12" t="s">
        <v>1932</v>
      </c>
    </row>
    <row r="141" spans="1:11" x14ac:dyDescent="0.3">
      <c r="A141" s="12" t="s">
        <v>919</v>
      </c>
      <c r="B141" s="12" t="s">
        <v>1907</v>
      </c>
      <c r="C141" s="12" t="s">
        <v>1933</v>
      </c>
      <c r="D141" s="12"/>
      <c r="E141" s="12">
        <v>3</v>
      </c>
      <c r="F141" s="12" t="s">
        <v>1934</v>
      </c>
      <c r="G141" s="12">
        <v>11</v>
      </c>
      <c r="H141" s="12">
        <v>0</v>
      </c>
      <c r="I141" s="12"/>
      <c r="J141" s="12" t="s">
        <v>1935</v>
      </c>
      <c r="K141" s="12" t="s">
        <v>1936</v>
      </c>
    </row>
    <row r="142" spans="1:11" x14ac:dyDescent="0.3">
      <c r="A142" s="12" t="s">
        <v>919</v>
      </c>
      <c r="B142" s="12" t="s">
        <v>1907</v>
      </c>
      <c r="C142" s="12" t="s">
        <v>1937</v>
      </c>
      <c r="D142" s="12"/>
      <c r="E142" s="12">
        <v>3</v>
      </c>
      <c r="F142" s="12" t="s">
        <v>1938</v>
      </c>
      <c r="G142" s="12">
        <v>23</v>
      </c>
      <c r="H142" s="12">
        <v>0</v>
      </c>
      <c r="I142" s="12"/>
      <c r="J142" s="12" t="s">
        <v>1939</v>
      </c>
      <c r="K142" s="12" t="s">
        <v>1940</v>
      </c>
    </row>
    <row r="143" spans="1:11" x14ac:dyDescent="0.3">
      <c r="A143" s="12" t="s">
        <v>919</v>
      </c>
      <c r="B143" s="12" t="s">
        <v>1907</v>
      </c>
      <c r="C143" s="12" t="s">
        <v>1941</v>
      </c>
      <c r="D143" s="12"/>
      <c r="E143" s="12">
        <v>3</v>
      </c>
      <c r="F143" s="12" t="s">
        <v>1942</v>
      </c>
      <c r="G143" s="12">
        <v>7</v>
      </c>
      <c r="H143" s="12">
        <v>0</v>
      </c>
      <c r="I143" s="12"/>
      <c r="J143" s="12" t="s">
        <v>1943</v>
      </c>
      <c r="K143" s="12" t="s">
        <v>1944</v>
      </c>
    </row>
    <row r="144" spans="1:11" x14ac:dyDescent="0.3">
      <c r="A144" s="12" t="s">
        <v>919</v>
      </c>
      <c r="B144" s="12" t="s">
        <v>1945</v>
      </c>
      <c r="C144" s="12"/>
      <c r="D144" s="12"/>
      <c r="E144" s="12">
        <v>2</v>
      </c>
      <c r="F144" s="12" t="s">
        <v>1946</v>
      </c>
      <c r="G144" s="12">
        <v>128</v>
      </c>
      <c r="H144" s="12">
        <v>0</v>
      </c>
      <c r="I144" s="12"/>
      <c r="J144" s="12" t="s">
        <v>1947</v>
      </c>
      <c r="K144" s="12" t="s">
        <v>1948</v>
      </c>
    </row>
    <row r="145" spans="1:11" x14ac:dyDescent="0.3">
      <c r="A145" s="12" t="s">
        <v>919</v>
      </c>
      <c r="B145" s="12" t="s">
        <v>1949</v>
      </c>
      <c r="C145" s="12"/>
      <c r="D145" s="12"/>
      <c r="E145" s="12">
        <v>2</v>
      </c>
      <c r="F145" s="12" t="s">
        <v>1950</v>
      </c>
      <c r="G145" s="12">
        <v>1</v>
      </c>
      <c r="H145" s="12">
        <v>0</v>
      </c>
      <c r="I145" s="12"/>
      <c r="J145" s="12" t="s">
        <v>1951</v>
      </c>
      <c r="K145" s="12" t="s">
        <v>1952</v>
      </c>
    </row>
    <row r="146" spans="1:11" x14ac:dyDescent="0.3">
      <c r="A146" s="12" t="s">
        <v>919</v>
      </c>
      <c r="B146" s="12" t="s">
        <v>920</v>
      </c>
      <c r="C146" s="12" t="s">
        <v>1953</v>
      </c>
      <c r="D146" s="12"/>
      <c r="E146" s="12">
        <v>3</v>
      </c>
      <c r="F146" s="12" t="s">
        <v>1954</v>
      </c>
      <c r="G146" s="12">
        <v>362</v>
      </c>
      <c r="H146" s="12">
        <v>0</v>
      </c>
      <c r="I146" s="12"/>
      <c r="J146" s="12" t="s">
        <v>1955</v>
      </c>
      <c r="K146" s="12" t="s">
        <v>1956</v>
      </c>
    </row>
    <row r="147" spans="1:11" x14ac:dyDescent="0.3">
      <c r="A147" s="12" t="s">
        <v>919</v>
      </c>
      <c r="B147" s="12" t="s">
        <v>920</v>
      </c>
      <c r="C147" s="12" t="s">
        <v>921</v>
      </c>
      <c r="D147" s="12"/>
      <c r="E147" s="12">
        <v>3</v>
      </c>
      <c r="F147" s="12" t="s">
        <v>922</v>
      </c>
      <c r="G147" s="12">
        <v>798</v>
      </c>
      <c r="H147" s="12">
        <v>0</v>
      </c>
      <c r="I147" s="3" t="s">
        <v>917</v>
      </c>
      <c r="J147" s="12" t="s">
        <v>918</v>
      </c>
      <c r="K147" s="12" t="s">
        <v>1957</v>
      </c>
    </row>
    <row r="148" spans="1:11" x14ac:dyDescent="0.3">
      <c r="A148" s="12" t="s">
        <v>919</v>
      </c>
      <c r="B148" s="12" t="s">
        <v>920</v>
      </c>
      <c r="C148" s="12" t="s">
        <v>1958</v>
      </c>
      <c r="D148" s="12"/>
      <c r="E148" s="12">
        <v>3</v>
      </c>
      <c r="F148" s="12" t="s">
        <v>1959</v>
      </c>
      <c r="G148" s="12">
        <v>56</v>
      </c>
      <c r="H148" s="12">
        <v>0</v>
      </c>
      <c r="I148" s="12"/>
      <c r="J148" s="12" t="s">
        <v>1960</v>
      </c>
      <c r="K148" s="12" t="s">
        <v>1961</v>
      </c>
    </row>
    <row r="149" spans="1:11" x14ac:dyDescent="0.3">
      <c r="A149" s="12" t="s">
        <v>770</v>
      </c>
      <c r="B149" s="12" t="s">
        <v>1962</v>
      </c>
      <c r="C149" s="12" t="s">
        <v>1963</v>
      </c>
      <c r="D149" s="12"/>
      <c r="E149" s="12">
        <v>3</v>
      </c>
      <c r="F149" s="12" t="s">
        <v>1964</v>
      </c>
      <c r="G149" s="12">
        <v>65</v>
      </c>
      <c r="H149" s="12">
        <v>0</v>
      </c>
      <c r="I149" s="12"/>
      <c r="J149" s="12" t="s">
        <v>1965</v>
      </c>
      <c r="K149" s="12" t="s">
        <v>1966</v>
      </c>
    </row>
    <row r="150" spans="1:11" x14ac:dyDescent="0.3">
      <c r="A150" s="12" t="s">
        <v>770</v>
      </c>
      <c r="B150" s="12" t="s">
        <v>1962</v>
      </c>
      <c r="C150" s="12" t="s">
        <v>1967</v>
      </c>
      <c r="D150" s="12"/>
      <c r="E150" s="12">
        <v>3</v>
      </c>
      <c r="F150" s="12" t="s">
        <v>1968</v>
      </c>
      <c r="G150" s="12">
        <v>6</v>
      </c>
      <c r="H150" s="12">
        <v>6</v>
      </c>
      <c r="I150" s="12"/>
      <c r="J150" s="12" t="s">
        <v>1969</v>
      </c>
      <c r="K150" s="12" t="s">
        <v>1970</v>
      </c>
    </row>
    <row r="151" spans="1:11" x14ac:dyDescent="0.3">
      <c r="A151" s="12" t="s">
        <v>770</v>
      </c>
      <c r="B151" s="12" t="s">
        <v>1962</v>
      </c>
      <c r="C151" s="12" t="s">
        <v>1971</v>
      </c>
      <c r="D151" s="12"/>
      <c r="E151" s="12">
        <v>3</v>
      </c>
      <c r="F151" s="12" t="s">
        <v>1972</v>
      </c>
      <c r="G151" s="12">
        <v>4</v>
      </c>
      <c r="H151" s="12">
        <v>0</v>
      </c>
      <c r="I151" s="12"/>
      <c r="J151" s="12" t="s">
        <v>1973</v>
      </c>
      <c r="K151" s="12" t="s">
        <v>1974</v>
      </c>
    </row>
    <row r="152" spans="1:11" x14ac:dyDescent="0.3">
      <c r="A152" s="12" t="s">
        <v>770</v>
      </c>
      <c r="B152" s="12" t="s">
        <v>1962</v>
      </c>
      <c r="C152" s="12" t="s">
        <v>1975</v>
      </c>
      <c r="D152" s="12"/>
      <c r="E152" s="12">
        <v>3</v>
      </c>
      <c r="F152" s="12" t="s">
        <v>1976</v>
      </c>
      <c r="G152" s="12">
        <v>5</v>
      </c>
      <c r="H152" s="12">
        <v>0</v>
      </c>
      <c r="I152" s="12"/>
      <c r="J152" s="12" t="s">
        <v>1977</v>
      </c>
      <c r="K152" s="12" t="s">
        <v>1978</v>
      </c>
    </row>
    <row r="153" spans="1:11" x14ac:dyDescent="0.3">
      <c r="A153" s="12" t="s">
        <v>770</v>
      </c>
      <c r="B153" s="12" t="s">
        <v>1962</v>
      </c>
      <c r="C153" s="12" t="s">
        <v>1979</v>
      </c>
      <c r="D153" s="12"/>
      <c r="E153" s="12">
        <v>3</v>
      </c>
      <c r="F153" s="12" t="s">
        <v>1980</v>
      </c>
      <c r="G153" s="12">
        <v>46</v>
      </c>
      <c r="H153" s="12">
        <v>0</v>
      </c>
      <c r="I153" s="12"/>
      <c r="J153" s="12" t="s">
        <v>1981</v>
      </c>
      <c r="K153" s="12" t="s">
        <v>1982</v>
      </c>
    </row>
    <row r="154" spans="1:11" x14ac:dyDescent="0.3">
      <c r="A154" s="12" t="s">
        <v>770</v>
      </c>
      <c r="B154" s="12" t="s">
        <v>1962</v>
      </c>
      <c r="C154" s="12" t="s">
        <v>1983</v>
      </c>
      <c r="D154" s="12"/>
      <c r="E154" s="12">
        <v>3</v>
      </c>
      <c r="F154" s="12" t="s">
        <v>1984</v>
      </c>
      <c r="G154" s="12">
        <v>41</v>
      </c>
      <c r="H154" s="12">
        <v>0</v>
      </c>
      <c r="I154" s="12"/>
      <c r="J154" s="12" t="s">
        <v>1985</v>
      </c>
      <c r="K154" s="12" t="s">
        <v>1986</v>
      </c>
    </row>
    <row r="155" spans="1:11" x14ac:dyDescent="0.3">
      <c r="A155" s="12" t="s">
        <v>770</v>
      </c>
      <c r="B155" s="12" t="s">
        <v>1962</v>
      </c>
      <c r="C155" s="12" t="s">
        <v>1987</v>
      </c>
      <c r="D155" s="12"/>
      <c r="E155" s="12">
        <v>3</v>
      </c>
      <c r="F155" s="12" t="s">
        <v>1988</v>
      </c>
      <c r="G155" s="12">
        <v>82</v>
      </c>
      <c r="H155" s="12">
        <v>0</v>
      </c>
      <c r="I155" s="12"/>
      <c r="J155" s="12" t="s">
        <v>1989</v>
      </c>
      <c r="K155" s="12" t="s">
        <v>1990</v>
      </c>
    </row>
    <row r="156" spans="1:11" x14ac:dyDescent="0.3">
      <c r="A156" s="12" t="s">
        <v>770</v>
      </c>
      <c r="B156" s="12" t="s">
        <v>1991</v>
      </c>
      <c r="C156" s="12" t="s">
        <v>1992</v>
      </c>
      <c r="D156" s="12"/>
      <c r="E156" s="12">
        <v>3</v>
      </c>
      <c r="F156" s="12" t="s">
        <v>1993</v>
      </c>
      <c r="G156" s="12">
        <v>154</v>
      </c>
      <c r="H156" s="12">
        <v>0</v>
      </c>
      <c r="I156" s="12"/>
      <c r="J156" s="12" t="s">
        <v>1994</v>
      </c>
      <c r="K156" s="12" t="s">
        <v>1995</v>
      </c>
    </row>
    <row r="157" spans="1:11" x14ac:dyDescent="0.3">
      <c r="A157" s="12" t="s">
        <v>770</v>
      </c>
      <c r="B157" s="12" t="s">
        <v>1991</v>
      </c>
      <c r="C157" s="12" t="s">
        <v>1996</v>
      </c>
      <c r="D157" s="12"/>
      <c r="E157" s="12">
        <v>3</v>
      </c>
      <c r="F157" s="12" t="s">
        <v>1997</v>
      </c>
      <c r="G157" s="12">
        <v>57</v>
      </c>
      <c r="H157" s="12">
        <v>0</v>
      </c>
      <c r="I157" s="12"/>
      <c r="J157" s="12" t="s">
        <v>1998</v>
      </c>
      <c r="K157" s="12" t="s">
        <v>1999</v>
      </c>
    </row>
    <row r="158" spans="1:11" x14ac:dyDescent="0.3">
      <c r="A158" s="12" t="s">
        <v>770</v>
      </c>
      <c r="B158" s="12" t="s">
        <v>1991</v>
      </c>
      <c r="C158" s="12" t="s">
        <v>2000</v>
      </c>
      <c r="D158" s="12"/>
      <c r="E158" s="12">
        <v>3</v>
      </c>
      <c r="F158" s="12" t="s">
        <v>2001</v>
      </c>
      <c r="G158" s="12">
        <v>124</v>
      </c>
      <c r="H158" s="12">
        <v>0</v>
      </c>
      <c r="I158" s="12"/>
      <c r="J158" s="12" t="s">
        <v>2002</v>
      </c>
      <c r="K158" s="12" t="s">
        <v>2003</v>
      </c>
    </row>
    <row r="159" spans="1:11" x14ac:dyDescent="0.3">
      <c r="A159" s="12" t="s">
        <v>770</v>
      </c>
      <c r="B159" s="12" t="s">
        <v>1991</v>
      </c>
      <c r="C159" s="12" t="s">
        <v>2004</v>
      </c>
      <c r="D159" s="12"/>
      <c r="E159" s="12">
        <v>3</v>
      </c>
      <c r="F159" s="12" t="s">
        <v>2005</v>
      </c>
      <c r="G159" s="12">
        <v>51</v>
      </c>
      <c r="H159" s="12">
        <v>0</v>
      </c>
      <c r="I159" s="12"/>
      <c r="J159" s="12" t="s">
        <v>2006</v>
      </c>
      <c r="K159" s="12" t="s">
        <v>2007</v>
      </c>
    </row>
    <row r="160" spans="1:11" x14ac:dyDescent="0.3">
      <c r="A160" s="12" t="s">
        <v>770</v>
      </c>
      <c r="B160" s="12" t="s">
        <v>2008</v>
      </c>
      <c r="C160" s="12"/>
      <c r="D160" s="12"/>
      <c r="E160" s="12">
        <v>2</v>
      </c>
      <c r="F160" s="12" t="s">
        <v>2009</v>
      </c>
      <c r="G160" s="12">
        <v>277</v>
      </c>
      <c r="H160" s="12">
        <v>0</v>
      </c>
      <c r="I160" s="12"/>
      <c r="J160" s="12" t="s">
        <v>2010</v>
      </c>
      <c r="K160" s="12" t="s">
        <v>2011</v>
      </c>
    </row>
    <row r="161" spans="1:11" x14ac:dyDescent="0.3">
      <c r="A161" s="12" t="s">
        <v>770</v>
      </c>
      <c r="B161" s="12" t="s">
        <v>935</v>
      </c>
      <c r="C161" s="12" t="s">
        <v>936</v>
      </c>
      <c r="D161" s="12"/>
      <c r="E161" s="12">
        <v>3</v>
      </c>
      <c r="F161" s="12" t="s">
        <v>937</v>
      </c>
      <c r="G161" s="12">
        <v>55</v>
      </c>
      <c r="H161" s="12">
        <v>0</v>
      </c>
      <c r="I161" s="3" t="s">
        <v>933</v>
      </c>
      <c r="J161" s="12" t="s">
        <v>934</v>
      </c>
      <c r="K161" s="12" t="s">
        <v>2012</v>
      </c>
    </row>
    <row r="162" spans="1:11" x14ac:dyDescent="0.3">
      <c r="A162" s="12" t="s">
        <v>770</v>
      </c>
      <c r="B162" s="12" t="s">
        <v>935</v>
      </c>
      <c r="C162" s="12" t="s">
        <v>2013</v>
      </c>
      <c r="D162" s="12"/>
      <c r="E162" s="12">
        <v>3</v>
      </c>
      <c r="F162" s="12" t="s">
        <v>2014</v>
      </c>
      <c r="G162" s="12">
        <v>14</v>
      </c>
      <c r="H162" s="12">
        <v>0</v>
      </c>
      <c r="I162" s="12"/>
      <c r="J162" s="12" t="s">
        <v>2015</v>
      </c>
      <c r="K162" s="12" t="s">
        <v>2016</v>
      </c>
    </row>
    <row r="163" spans="1:11" x14ac:dyDescent="0.3">
      <c r="A163" s="12" t="s">
        <v>770</v>
      </c>
      <c r="B163" s="12" t="s">
        <v>935</v>
      </c>
      <c r="C163" s="12" t="s">
        <v>2017</v>
      </c>
      <c r="D163" s="12"/>
      <c r="E163" s="12">
        <v>3</v>
      </c>
      <c r="F163" s="12" t="s">
        <v>2018</v>
      </c>
      <c r="G163" s="12">
        <v>12</v>
      </c>
      <c r="H163" s="12">
        <v>0</v>
      </c>
      <c r="I163" s="12"/>
      <c r="J163" s="12" t="s">
        <v>2019</v>
      </c>
      <c r="K163" s="12" t="s">
        <v>2020</v>
      </c>
    </row>
    <row r="164" spans="1:11" x14ac:dyDescent="0.3">
      <c r="A164" s="12" t="s">
        <v>770</v>
      </c>
      <c r="B164" s="12" t="s">
        <v>935</v>
      </c>
      <c r="C164" s="12" t="s">
        <v>2021</v>
      </c>
      <c r="D164" s="12"/>
      <c r="E164" s="12">
        <v>3</v>
      </c>
      <c r="F164" s="12" t="s">
        <v>2022</v>
      </c>
      <c r="G164" s="12">
        <v>14</v>
      </c>
      <c r="H164" s="12">
        <v>0</v>
      </c>
      <c r="I164" s="12"/>
      <c r="J164" s="12" t="s">
        <v>2023</v>
      </c>
      <c r="K164" s="12" t="s">
        <v>2024</v>
      </c>
    </row>
    <row r="165" spans="1:11" x14ac:dyDescent="0.3">
      <c r="A165" s="12" t="s">
        <v>770</v>
      </c>
      <c r="B165" s="12" t="s">
        <v>935</v>
      </c>
      <c r="C165" s="12" t="s">
        <v>972</v>
      </c>
      <c r="D165" s="12"/>
      <c r="E165" s="12">
        <v>3</v>
      </c>
      <c r="F165" s="12" t="s">
        <v>973</v>
      </c>
      <c r="G165" s="12">
        <v>139</v>
      </c>
      <c r="H165" s="12">
        <v>0</v>
      </c>
      <c r="I165" s="3" t="s">
        <v>970</v>
      </c>
      <c r="J165" s="12" t="s">
        <v>971</v>
      </c>
      <c r="K165" s="12" t="s">
        <v>2025</v>
      </c>
    </row>
    <row r="166" spans="1:11" x14ac:dyDescent="0.3">
      <c r="A166" s="12" t="s">
        <v>770</v>
      </c>
      <c r="B166" s="12" t="s">
        <v>935</v>
      </c>
      <c r="C166" s="12" t="s">
        <v>2026</v>
      </c>
      <c r="D166" s="12"/>
      <c r="E166" s="12">
        <v>3</v>
      </c>
      <c r="F166" s="12" t="s">
        <v>2027</v>
      </c>
      <c r="G166" s="12">
        <v>50</v>
      </c>
      <c r="H166" s="12">
        <v>0</v>
      </c>
      <c r="I166" s="12"/>
      <c r="J166" s="12" t="s">
        <v>2028</v>
      </c>
      <c r="K166" s="12" t="s">
        <v>2029</v>
      </c>
    </row>
    <row r="167" spans="1:11" x14ac:dyDescent="0.3">
      <c r="A167" s="12" t="s">
        <v>770</v>
      </c>
      <c r="B167" s="12" t="s">
        <v>935</v>
      </c>
      <c r="C167" s="12" t="s">
        <v>2030</v>
      </c>
      <c r="D167" s="12"/>
      <c r="E167" s="12">
        <v>3</v>
      </c>
      <c r="F167" s="12" t="s">
        <v>2031</v>
      </c>
      <c r="G167" s="12">
        <v>139</v>
      </c>
      <c r="H167" s="12">
        <v>0</v>
      </c>
      <c r="I167" s="12"/>
      <c r="J167" s="12" t="s">
        <v>2032</v>
      </c>
      <c r="K167" s="12" t="s">
        <v>2033</v>
      </c>
    </row>
    <row r="168" spans="1:11" x14ac:dyDescent="0.3">
      <c r="A168" s="12" t="s">
        <v>770</v>
      </c>
      <c r="B168" s="12" t="s">
        <v>2034</v>
      </c>
      <c r="C168" s="12" t="s">
        <v>2035</v>
      </c>
      <c r="D168" s="12"/>
      <c r="E168" s="12">
        <v>3</v>
      </c>
      <c r="F168" s="12" t="s">
        <v>2036</v>
      </c>
      <c r="G168" s="12">
        <v>68</v>
      </c>
      <c r="H168" s="12">
        <v>0</v>
      </c>
      <c r="I168" s="12"/>
      <c r="J168" s="12" t="s">
        <v>2037</v>
      </c>
      <c r="K168" s="12" t="s">
        <v>2038</v>
      </c>
    </row>
    <row r="169" spans="1:11" x14ac:dyDescent="0.3">
      <c r="A169" s="12" t="s">
        <v>770</v>
      </c>
      <c r="B169" s="12" t="s">
        <v>2034</v>
      </c>
      <c r="C169" s="12" t="s">
        <v>2039</v>
      </c>
      <c r="D169" s="12"/>
      <c r="E169" s="12">
        <v>3</v>
      </c>
      <c r="F169" s="12" t="s">
        <v>2040</v>
      </c>
      <c r="G169" s="12">
        <v>182</v>
      </c>
      <c r="H169" s="12">
        <v>0</v>
      </c>
      <c r="I169" s="12"/>
      <c r="J169" s="12" t="s">
        <v>2041</v>
      </c>
      <c r="K169" s="12" t="s">
        <v>2042</v>
      </c>
    </row>
    <row r="170" spans="1:11" x14ac:dyDescent="0.3">
      <c r="A170" s="12" t="s">
        <v>770</v>
      </c>
      <c r="B170" s="12" t="s">
        <v>2034</v>
      </c>
      <c r="C170" s="12" t="s">
        <v>2043</v>
      </c>
      <c r="D170" s="12"/>
      <c r="E170" s="12">
        <v>3</v>
      </c>
      <c r="F170" s="12" t="s">
        <v>2044</v>
      </c>
      <c r="G170" s="12">
        <v>130</v>
      </c>
      <c r="H170" s="12">
        <v>0</v>
      </c>
      <c r="I170" s="12"/>
      <c r="J170" s="12" t="s">
        <v>2045</v>
      </c>
      <c r="K170" s="12" t="s">
        <v>2046</v>
      </c>
    </row>
    <row r="171" spans="1:11" x14ac:dyDescent="0.3">
      <c r="A171" s="12" t="s">
        <v>770</v>
      </c>
      <c r="B171" s="12" t="s">
        <v>2034</v>
      </c>
      <c r="C171" s="12" t="s">
        <v>2047</v>
      </c>
      <c r="D171" s="12"/>
      <c r="E171" s="12">
        <v>3</v>
      </c>
      <c r="F171" s="12" t="s">
        <v>2048</v>
      </c>
      <c r="G171" s="12">
        <v>11</v>
      </c>
      <c r="H171" s="12">
        <v>0</v>
      </c>
      <c r="I171" s="12"/>
      <c r="J171" s="12" t="s">
        <v>2049</v>
      </c>
      <c r="K171" s="12" t="s">
        <v>2050</v>
      </c>
    </row>
    <row r="172" spans="1:11" x14ac:dyDescent="0.3">
      <c r="A172" s="12" t="s">
        <v>770</v>
      </c>
      <c r="B172" s="12" t="s">
        <v>2051</v>
      </c>
      <c r="C172" s="12"/>
      <c r="D172" s="12"/>
      <c r="E172" s="12">
        <v>2</v>
      </c>
      <c r="F172" s="12" t="s">
        <v>2052</v>
      </c>
      <c r="G172" s="12">
        <v>583</v>
      </c>
      <c r="H172" s="12">
        <v>0</v>
      </c>
      <c r="I172" s="12"/>
      <c r="J172" s="12" t="s">
        <v>2053</v>
      </c>
      <c r="K172" s="12" t="s">
        <v>2054</v>
      </c>
    </row>
    <row r="173" spans="1:11" x14ac:dyDescent="0.3">
      <c r="A173" s="12" t="s">
        <v>770</v>
      </c>
      <c r="B173" s="12" t="s">
        <v>2055</v>
      </c>
      <c r="C173" s="12" t="s">
        <v>2056</v>
      </c>
      <c r="D173" s="12"/>
      <c r="E173" s="12">
        <v>3</v>
      </c>
      <c r="F173" s="12" t="s">
        <v>2057</v>
      </c>
      <c r="G173" s="12">
        <v>117</v>
      </c>
      <c r="H173" s="12">
        <v>0</v>
      </c>
      <c r="I173" s="12"/>
      <c r="J173" s="12" t="s">
        <v>2058</v>
      </c>
      <c r="K173" s="12" t="s">
        <v>2059</v>
      </c>
    </row>
    <row r="174" spans="1:11" x14ac:dyDescent="0.3">
      <c r="A174" s="12" t="s">
        <v>770</v>
      </c>
      <c r="B174" s="12" t="s">
        <v>2055</v>
      </c>
      <c r="C174" s="12" t="s">
        <v>2060</v>
      </c>
      <c r="D174" s="12"/>
      <c r="E174" s="12">
        <v>3</v>
      </c>
      <c r="F174" s="12" t="s">
        <v>2061</v>
      </c>
      <c r="G174" s="12">
        <v>95</v>
      </c>
      <c r="H174" s="12">
        <v>0</v>
      </c>
      <c r="I174" s="12"/>
      <c r="J174" s="12" t="s">
        <v>2062</v>
      </c>
      <c r="K174" s="12" t="s">
        <v>2063</v>
      </c>
    </row>
    <row r="175" spans="1:11" x14ac:dyDescent="0.3">
      <c r="A175" s="12" t="s">
        <v>770</v>
      </c>
      <c r="B175" s="12" t="s">
        <v>2055</v>
      </c>
      <c r="C175" s="12" t="s">
        <v>2064</v>
      </c>
      <c r="D175" s="12"/>
      <c r="E175" s="12">
        <v>3</v>
      </c>
      <c r="F175" s="12" t="s">
        <v>2065</v>
      </c>
      <c r="G175" s="12">
        <v>41</v>
      </c>
      <c r="H175" s="12">
        <v>0</v>
      </c>
      <c r="I175" s="12"/>
      <c r="J175" s="12" t="s">
        <v>2066</v>
      </c>
      <c r="K175" s="12" t="s">
        <v>2067</v>
      </c>
    </row>
    <row r="176" spans="1:11" x14ac:dyDescent="0.3">
      <c r="A176" s="12" t="s">
        <v>770</v>
      </c>
      <c r="B176" s="12" t="s">
        <v>2055</v>
      </c>
      <c r="C176" s="12" t="s">
        <v>2068</v>
      </c>
      <c r="D176" s="12" t="s">
        <v>2069</v>
      </c>
      <c r="E176" s="12">
        <v>4</v>
      </c>
      <c r="F176" s="12" t="s">
        <v>2070</v>
      </c>
      <c r="G176" s="12">
        <v>54</v>
      </c>
      <c r="H176" s="12">
        <v>0</v>
      </c>
      <c r="I176" s="12"/>
      <c r="J176" s="12" t="s">
        <v>2071</v>
      </c>
      <c r="K176" s="12" t="s">
        <v>2072</v>
      </c>
    </row>
    <row r="177" spans="1:11" x14ac:dyDescent="0.3">
      <c r="A177" s="12" t="s">
        <v>770</v>
      </c>
      <c r="B177" s="12" t="s">
        <v>2055</v>
      </c>
      <c r="C177" s="12" t="s">
        <v>2068</v>
      </c>
      <c r="D177" s="12" t="s">
        <v>2073</v>
      </c>
      <c r="E177" s="12">
        <v>4</v>
      </c>
      <c r="F177" s="12" t="s">
        <v>2074</v>
      </c>
      <c r="G177" s="12">
        <v>98</v>
      </c>
      <c r="H177" s="12">
        <v>0</v>
      </c>
      <c r="I177" s="12"/>
      <c r="J177" s="12" t="s">
        <v>2075</v>
      </c>
      <c r="K177" s="12" t="s">
        <v>2076</v>
      </c>
    </row>
    <row r="178" spans="1:11" x14ac:dyDescent="0.3">
      <c r="A178" s="12" t="s">
        <v>770</v>
      </c>
      <c r="B178" s="12" t="s">
        <v>2055</v>
      </c>
      <c r="C178" s="12" t="s">
        <v>2068</v>
      </c>
      <c r="D178" s="12" t="s">
        <v>2077</v>
      </c>
      <c r="E178" s="12">
        <v>4</v>
      </c>
      <c r="F178" s="12" t="s">
        <v>2078</v>
      </c>
      <c r="G178" s="12">
        <v>46</v>
      </c>
      <c r="H178" s="12">
        <v>0</v>
      </c>
      <c r="I178" s="12"/>
      <c r="J178" s="12" t="s">
        <v>2079</v>
      </c>
      <c r="K178" s="12" t="s">
        <v>2080</v>
      </c>
    </row>
    <row r="179" spans="1:11" x14ac:dyDescent="0.3">
      <c r="A179" s="12" t="s">
        <v>770</v>
      </c>
      <c r="B179" s="12" t="s">
        <v>2055</v>
      </c>
      <c r="C179" s="12" t="s">
        <v>2068</v>
      </c>
      <c r="D179" s="12" t="s">
        <v>2081</v>
      </c>
      <c r="E179" s="12">
        <v>4</v>
      </c>
      <c r="F179" s="12" t="s">
        <v>2082</v>
      </c>
      <c r="G179" s="12">
        <v>54</v>
      </c>
      <c r="H179" s="12">
        <v>0</v>
      </c>
      <c r="I179" s="12"/>
      <c r="J179" s="12" t="s">
        <v>2083</v>
      </c>
      <c r="K179" s="12" t="s">
        <v>2084</v>
      </c>
    </row>
    <row r="180" spans="1:11" x14ac:dyDescent="0.3">
      <c r="A180" s="12" t="s">
        <v>770</v>
      </c>
      <c r="B180" s="12" t="s">
        <v>2055</v>
      </c>
      <c r="C180" s="12" t="s">
        <v>2068</v>
      </c>
      <c r="D180" s="12" t="s">
        <v>2085</v>
      </c>
      <c r="E180" s="12">
        <v>4</v>
      </c>
      <c r="F180" s="12" t="s">
        <v>2086</v>
      </c>
      <c r="G180" s="12">
        <v>70</v>
      </c>
      <c r="H180" s="12">
        <v>0</v>
      </c>
      <c r="I180" s="12"/>
      <c r="J180" s="12" t="s">
        <v>2087</v>
      </c>
      <c r="K180" s="12" t="s">
        <v>2088</v>
      </c>
    </row>
    <row r="181" spans="1:11" x14ac:dyDescent="0.3">
      <c r="A181" s="12" t="s">
        <v>770</v>
      </c>
      <c r="B181" s="12" t="s">
        <v>2055</v>
      </c>
      <c r="C181" s="12" t="s">
        <v>2089</v>
      </c>
      <c r="D181" s="12"/>
      <c r="E181" s="12">
        <v>3</v>
      </c>
      <c r="F181" s="12" t="s">
        <v>2090</v>
      </c>
      <c r="G181" s="12">
        <v>33</v>
      </c>
      <c r="H181" s="12">
        <v>0</v>
      </c>
      <c r="I181" s="12"/>
      <c r="J181" s="12" t="s">
        <v>2091</v>
      </c>
      <c r="K181" s="12" t="s">
        <v>2092</v>
      </c>
    </row>
    <row r="182" spans="1:11" x14ac:dyDescent="0.3">
      <c r="A182" s="12" t="s">
        <v>770</v>
      </c>
      <c r="B182" s="12" t="s">
        <v>2055</v>
      </c>
      <c r="C182" s="12" t="s">
        <v>2093</v>
      </c>
      <c r="D182" s="12"/>
      <c r="E182" s="12">
        <v>3</v>
      </c>
      <c r="F182" s="12" t="s">
        <v>2094</v>
      </c>
      <c r="G182" s="12">
        <v>64</v>
      </c>
      <c r="H182" s="12">
        <v>0</v>
      </c>
      <c r="I182" s="12"/>
      <c r="J182" s="12" t="s">
        <v>2095</v>
      </c>
      <c r="K182" s="12" t="s">
        <v>2096</v>
      </c>
    </row>
    <row r="183" spans="1:11" x14ac:dyDescent="0.3">
      <c r="A183" s="12" t="s">
        <v>770</v>
      </c>
      <c r="B183" s="12" t="s">
        <v>2055</v>
      </c>
      <c r="C183" s="12" t="s">
        <v>2097</v>
      </c>
      <c r="D183" s="12"/>
      <c r="E183" s="12">
        <v>3</v>
      </c>
      <c r="F183" s="12" t="s">
        <v>2098</v>
      </c>
      <c r="G183" s="12">
        <v>65</v>
      </c>
      <c r="H183" s="12">
        <v>0</v>
      </c>
      <c r="I183" s="12"/>
      <c r="J183" s="12" t="s">
        <v>2099</v>
      </c>
      <c r="K183" s="12" t="s">
        <v>2100</v>
      </c>
    </row>
    <row r="184" spans="1:11" x14ac:dyDescent="0.3">
      <c r="A184" s="12" t="s">
        <v>770</v>
      </c>
      <c r="B184" s="12" t="s">
        <v>2055</v>
      </c>
      <c r="C184" s="12" t="s">
        <v>2101</v>
      </c>
      <c r="D184" s="12"/>
      <c r="E184" s="12">
        <v>3</v>
      </c>
      <c r="F184" s="12" t="s">
        <v>2102</v>
      </c>
      <c r="G184" s="12">
        <v>18</v>
      </c>
      <c r="H184" s="12">
        <v>0</v>
      </c>
      <c r="I184" s="12"/>
      <c r="J184" s="12" t="s">
        <v>2103</v>
      </c>
      <c r="K184" s="12" t="s">
        <v>2104</v>
      </c>
    </row>
    <row r="185" spans="1:11" x14ac:dyDescent="0.3">
      <c r="A185" s="12" t="s">
        <v>770</v>
      </c>
      <c r="B185" s="12" t="s">
        <v>2055</v>
      </c>
      <c r="C185" s="12" t="s">
        <v>2105</v>
      </c>
      <c r="D185" s="12"/>
      <c r="E185" s="12">
        <v>3</v>
      </c>
      <c r="F185" s="12" t="s">
        <v>2106</v>
      </c>
      <c r="G185" s="12">
        <v>33</v>
      </c>
      <c r="H185" s="12">
        <v>0</v>
      </c>
      <c r="I185" s="12"/>
      <c r="J185" s="12" t="s">
        <v>2107</v>
      </c>
      <c r="K185" s="12" t="s">
        <v>2108</v>
      </c>
    </row>
    <row r="186" spans="1:11" x14ac:dyDescent="0.3">
      <c r="A186" s="12" t="s">
        <v>770</v>
      </c>
      <c r="B186" s="12" t="s">
        <v>2055</v>
      </c>
      <c r="C186" s="12" t="s">
        <v>2109</v>
      </c>
      <c r="D186" s="12"/>
      <c r="E186" s="12">
        <v>3</v>
      </c>
      <c r="F186" s="12" t="s">
        <v>2110</v>
      </c>
      <c r="G186" s="12">
        <v>45</v>
      </c>
      <c r="H186" s="12">
        <v>0</v>
      </c>
      <c r="I186" s="12"/>
      <c r="J186" s="12" t="s">
        <v>2111</v>
      </c>
      <c r="K186" s="12" t="s">
        <v>2112</v>
      </c>
    </row>
    <row r="187" spans="1:11" x14ac:dyDescent="0.3">
      <c r="A187" s="12" t="s">
        <v>770</v>
      </c>
      <c r="B187" s="12" t="s">
        <v>2055</v>
      </c>
      <c r="C187" s="12" t="s">
        <v>2113</v>
      </c>
      <c r="D187" s="12"/>
      <c r="E187" s="12">
        <v>3</v>
      </c>
      <c r="F187" s="12" t="s">
        <v>2114</v>
      </c>
      <c r="G187" s="12">
        <v>236</v>
      </c>
      <c r="H187" s="12">
        <v>0</v>
      </c>
      <c r="I187" s="12"/>
      <c r="J187" s="12" t="s">
        <v>2115</v>
      </c>
      <c r="K187" s="12" t="s">
        <v>2116</v>
      </c>
    </row>
    <row r="188" spans="1:11" x14ac:dyDescent="0.3">
      <c r="A188" s="12" t="s">
        <v>770</v>
      </c>
      <c r="B188" s="12" t="s">
        <v>2055</v>
      </c>
      <c r="C188" s="12" t="s">
        <v>2117</v>
      </c>
      <c r="D188" s="12"/>
      <c r="E188" s="12">
        <v>3</v>
      </c>
      <c r="F188" s="12" t="s">
        <v>2118</v>
      </c>
      <c r="G188" s="12">
        <v>52</v>
      </c>
      <c r="H188" s="12">
        <v>0</v>
      </c>
      <c r="I188" s="12"/>
      <c r="J188" s="12" t="s">
        <v>2119</v>
      </c>
      <c r="K188" s="12" t="s">
        <v>2120</v>
      </c>
    </row>
    <row r="189" spans="1:11" x14ac:dyDescent="0.3">
      <c r="A189" s="12" t="s">
        <v>770</v>
      </c>
      <c r="B189" s="12" t="s">
        <v>771</v>
      </c>
      <c r="C189" s="12" t="s">
        <v>2121</v>
      </c>
      <c r="D189" s="12"/>
      <c r="E189" s="12">
        <v>3</v>
      </c>
      <c r="F189" s="12" t="s">
        <v>2122</v>
      </c>
      <c r="G189" s="12">
        <v>103</v>
      </c>
      <c r="H189" s="12">
        <v>0</v>
      </c>
      <c r="I189" s="12"/>
      <c r="J189" s="12" t="s">
        <v>2123</v>
      </c>
      <c r="K189" s="12" t="s">
        <v>2124</v>
      </c>
    </row>
    <row r="190" spans="1:11" x14ac:dyDescent="0.3">
      <c r="A190" s="12" t="s">
        <v>770</v>
      </c>
      <c r="B190" s="12" t="s">
        <v>771</v>
      </c>
      <c r="C190" s="12" t="s">
        <v>2125</v>
      </c>
      <c r="D190" s="12"/>
      <c r="E190" s="12">
        <v>3</v>
      </c>
      <c r="F190" s="12" t="s">
        <v>2126</v>
      </c>
      <c r="G190" s="12">
        <v>53</v>
      </c>
      <c r="H190" s="12">
        <v>0</v>
      </c>
      <c r="I190" s="12"/>
      <c r="J190" s="12" t="s">
        <v>2127</v>
      </c>
      <c r="K190" s="12" t="s">
        <v>2128</v>
      </c>
    </row>
    <row r="191" spans="1:11" x14ac:dyDescent="0.3">
      <c r="A191" s="12" t="s">
        <v>770</v>
      </c>
      <c r="B191" s="12" t="s">
        <v>771</v>
      </c>
      <c r="C191" s="12" t="s">
        <v>2129</v>
      </c>
      <c r="D191" s="12"/>
      <c r="E191" s="12">
        <v>3</v>
      </c>
      <c r="F191" s="12" t="s">
        <v>2130</v>
      </c>
      <c r="G191" s="12">
        <v>95</v>
      </c>
      <c r="H191" s="12">
        <v>0</v>
      </c>
      <c r="I191" s="12"/>
      <c r="J191" s="12" t="s">
        <v>2131</v>
      </c>
      <c r="K191" s="12" t="s">
        <v>2132</v>
      </c>
    </row>
    <row r="192" spans="1:11" x14ac:dyDescent="0.3">
      <c r="A192" s="12" t="s">
        <v>770</v>
      </c>
      <c r="B192" s="12" t="s">
        <v>771</v>
      </c>
      <c r="C192" s="12" t="s">
        <v>2133</v>
      </c>
      <c r="D192" s="12"/>
      <c r="E192" s="12">
        <v>3</v>
      </c>
      <c r="F192" s="12" t="s">
        <v>2134</v>
      </c>
      <c r="G192" s="12">
        <v>118</v>
      </c>
      <c r="H192" s="12">
        <v>0</v>
      </c>
      <c r="I192" s="12"/>
      <c r="J192" s="12" t="s">
        <v>2135</v>
      </c>
      <c r="K192" s="12" t="s">
        <v>2136</v>
      </c>
    </row>
    <row r="193" spans="1:11" x14ac:dyDescent="0.3">
      <c r="A193" s="12" t="s">
        <v>770</v>
      </c>
      <c r="B193" s="12" t="s">
        <v>771</v>
      </c>
      <c r="C193" s="12" t="s">
        <v>2137</v>
      </c>
      <c r="D193" s="12"/>
      <c r="E193" s="12">
        <v>3</v>
      </c>
      <c r="F193" s="12" t="s">
        <v>2138</v>
      </c>
      <c r="G193" s="12">
        <v>44</v>
      </c>
      <c r="H193" s="12">
        <v>0</v>
      </c>
      <c r="I193" s="12"/>
      <c r="J193" s="12" t="s">
        <v>2139</v>
      </c>
      <c r="K193" s="12" t="s">
        <v>2140</v>
      </c>
    </row>
    <row r="194" spans="1:11" x14ac:dyDescent="0.3">
      <c r="A194" s="12" t="s">
        <v>770</v>
      </c>
      <c r="B194" s="12" t="s">
        <v>771</v>
      </c>
      <c r="C194" s="12" t="s">
        <v>2141</v>
      </c>
      <c r="D194" s="12"/>
      <c r="E194" s="12">
        <v>3</v>
      </c>
      <c r="F194" s="12" t="s">
        <v>2142</v>
      </c>
      <c r="G194" s="12">
        <v>200</v>
      </c>
      <c r="H194" s="12">
        <v>0</v>
      </c>
      <c r="I194" s="12"/>
      <c r="J194" s="12" t="s">
        <v>2143</v>
      </c>
      <c r="K194" s="12" t="s">
        <v>2144</v>
      </c>
    </row>
    <row r="195" spans="1:11" x14ac:dyDescent="0.3">
      <c r="A195" s="12" t="s">
        <v>770</v>
      </c>
      <c r="B195" s="12" t="s">
        <v>771</v>
      </c>
      <c r="C195" s="12" t="s">
        <v>772</v>
      </c>
      <c r="D195" s="12"/>
      <c r="E195" s="12">
        <v>3</v>
      </c>
      <c r="F195" s="12" t="s">
        <v>249</v>
      </c>
      <c r="G195" s="12">
        <v>463</v>
      </c>
      <c r="H195" s="12">
        <v>462</v>
      </c>
      <c r="I195" s="3" t="s">
        <v>248</v>
      </c>
      <c r="J195" s="12" t="s">
        <v>27</v>
      </c>
      <c r="K195" s="12" t="s">
        <v>322</v>
      </c>
    </row>
    <row r="196" spans="1:11" x14ac:dyDescent="0.3">
      <c r="A196" s="12" t="s">
        <v>2145</v>
      </c>
      <c r="B196" s="12" t="s">
        <v>2146</v>
      </c>
      <c r="C196" s="12"/>
      <c r="D196" s="12"/>
      <c r="E196" s="12">
        <v>2</v>
      </c>
      <c r="F196" s="12" t="s">
        <v>2147</v>
      </c>
      <c r="G196" s="12">
        <v>18</v>
      </c>
      <c r="H196" s="12">
        <v>0</v>
      </c>
      <c r="I196" s="12"/>
      <c r="J196" s="12" t="s">
        <v>2148</v>
      </c>
      <c r="K196" s="12" t="s">
        <v>2149</v>
      </c>
    </row>
    <row r="197" spans="1:11" x14ac:dyDescent="0.3">
      <c r="A197" s="12" t="s">
        <v>2145</v>
      </c>
      <c r="B197" s="12" t="s">
        <v>2150</v>
      </c>
      <c r="C197" s="12"/>
      <c r="D197" s="12"/>
      <c r="E197" s="12">
        <v>2</v>
      </c>
      <c r="F197" s="12" t="s">
        <v>2151</v>
      </c>
      <c r="G197" s="12">
        <v>105</v>
      </c>
      <c r="H197" s="12">
        <v>0</v>
      </c>
      <c r="I197" s="12"/>
      <c r="J197" s="12" t="s">
        <v>2152</v>
      </c>
      <c r="K197" s="12" t="s">
        <v>2153</v>
      </c>
    </row>
    <row r="198" spans="1:11" x14ac:dyDescent="0.3">
      <c r="A198" s="12" t="s">
        <v>2145</v>
      </c>
      <c r="B198" s="12" t="s">
        <v>2154</v>
      </c>
      <c r="C198" s="12"/>
      <c r="D198" s="12"/>
      <c r="E198" s="12">
        <v>2</v>
      </c>
      <c r="F198" s="12" t="s">
        <v>2155</v>
      </c>
      <c r="G198" s="12">
        <v>10</v>
      </c>
      <c r="H198" s="12">
        <v>0</v>
      </c>
      <c r="I198" s="12"/>
      <c r="J198" s="12" t="s">
        <v>2156</v>
      </c>
      <c r="K198" s="12" t="s">
        <v>2157</v>
      </c>
    </row>
    <row r="199" spans="1:11" x14ac:dyDescent="0.3">
      <c r="A199" s="12" t="s">
        <v>2145</v>
      </c>
      <c r="B199" s="12" t="s">
        <v>2158</v>
      </c>
      <c r="C199" s="12"/>
      <c r="D199" s="12"/>
      <c r="E199" s="12">
        <v>2</v>
      </c>
      <c r="F199" s="12" t="s">
        <v>2159</v>
      </c>
      <c r="G199" s="12">
        <v>20</v>
      </c>
      <c r="H199" s="12">
        <v>0</v>
      </c>
      <c r="I199" s="12"/>
      <c r="J199" s="12" t="s">
        <v>2160</v>
      </c>
      <c r="K199" s="12" t="s">
        <v>2161</v>
      </c>
    </row>
    <row r="200" spans="1:11" x14ac:dyDescent="0.3">
      <c r="A200" s="12" t="s">
        <v>2145</v>
      </c>
      <c r="B200" s="12" t="s">
        <v>2162</v>
      </c>
      <c r="C200" s="12"/>
      <c r="D200" s="12"/>
      <c r="E200" s="12">
        <v>2</v>
      </c>
      <c r="F200" s="12" t="s">
        <v>2163</v>
      </c>
      <c r="G200" s="12">
        <v>5</v>
      </c>
      <c r="H200" s="12">
        <v>0</v>
      </c>
      <c r="I200" s="12"/>
      <c r="J200" s="12" t="s">
        <v>2164</v>
      </c>
      <c r="K200" s="12" t="s">
        <v>2165</v>
      </c>
    </row>
    <row r="201" spans="1:11" x14ac:dyDescent="0.3">
      <c r="A201" s="12" t="s">
        <v>2145</v>
      </c>
      <c r="B201" s="12" t="s">
        <v>2166</v>
      </c>
      <c r="C201" s="12"/>
      <c r="D201" s="12"/>
      <c r="E201" s="12">
        <v>2</v>
      </c>
      <c r="F201" s="12" t="s">
        <v>2167</v>
      </c>
      <c r="G201" s="12">
        <v>2</v>
      </c>
      <c r="H201" s="12">
        <v>0</v>
      </c>
      <c r="I201" s="12"/>
      <c r="J201" s="12" t="s">
        <v>2168</v>
      </c>
      <c r="K201" s="12" t="s">
        <v>2169</v>
      </c>
    </row>
    <row r="202" spans="1:11" x14ac:dyDescent="0.3">
      <c r="A202" s="12" t="s">
        <v>2145</v>
      </c>
      <c r="B202" s="12" t="s">
        <v>2170</v>
      </c>
      <c r="C202" s="12"/>
      <c r="D202" s="12"/>
      <c r="E202" s="12">
        <v>2</v>
      </c>
      <c r="F202" s="12" t="s">
        <v>2171</v>
      </c>
      <c r="G202" s="12">
        <v>5</v>
      </c>
      <c r="H202" s="12">
        <v>0</v>
      </c>
      <c r="I202" s="12"/>
      <c r="J202" s="12" t="s">
        <v>2172</v>
      </c>
      <c r="K202" s="12" t="s">
        <v>2173</v>
      </c>
    </row>
    <row r="203" spans="1:11" x14ac:dyDescent="0.3">
      <c r="A203" s="12" t="s">
        <v>2145</v>
      </c>
      <c r="B203" s="12" t="s">
        <v>2174</v>
      </c>
      <c r="C203" s="12"/>
      <c r="D203" s="12"/>
      <c r="E203" s="12">
        <v>2</v>
      </c>
      <c r="F203" s="12" t="s">
        <v>2175</v>
      </c>
      <c r="G203" s="12">
        <v>35</v>
      </c>
      <c r="H203" s="12">
        <v>0</v>
      </c>
      <c r="I203" s="12"/>
      <c r="J203" s="12" t="s">
        <v>2176</v>
      </c>
      <c r="K203" s="12" t="s">
        <v>2177</v>
      </c>
    </row>
    <row r="204" spans="1:11" x14ac:dyDescent="0.3">
      <c r="A204" s="12" t="s">
        <v>2145</v>
      </c>
      <c r="B204" s="12" t="s">
        <v>2178</v>
      </c>
      <c r="C204" s="12" t="s">
        <v>2179</v>
      </c>
      <c r="D204" s="12"/>
      <c r="E204" s="12">
        <v>3</v>
      </c>
      <c r="F204" s="12" t="s">
        <v>2180</v>
      </c>
      <c r="G204" s="12">
        <v>47</v>
      </c>
      <c r="H204" s="12">
        <v>0</v>
      </c>
      <c r="I204" s="12"/>
      <c r="J204" s="12" t="s">
        <v>2181</v>
      </c>
      <c r="K204" s="12" t="s">
        <v>2182</v>
      </c>
    </row>
    <row r="205" spans="1:11" x14ac:dyDescent="0.3">
      <c r="A205" s="12" t="s">
        <v>2145</v>
      </c>
      <c r="B205" s="12" t="s">
        <v>2183</v>
      </c>
      <c r="C205" s="12"/>
      <c r="D205" s="12"/>
      <c r="E205" s="12">
        <v>2</v>
      </c>
      <c r="F205" s="12" t="s">
        <v>2184</v>
      </c>
      <c r="G205" s="12">
        <v>9</v>
      </c>
      <c r="H205" s="12">
        <v>0</v>
      </c>
      <c r="I205" s="12"/>
      <c r="J205" s="12" t="s">
        <v>2185</v>
      </c>
      <c r="K205" s="12" t="s">
        <v>2186</v>
      </c>
    </row>
    <row r="206" spans="1:11" x14ac:dyDescent="0.3">
      <c r="A206" s="12" t="s">
        <v>2145</v>
      </c>
      <c r="B206" s="12" t="s">
        <v>2187</v>
      </c>
      <c r="C206" s="12"/>
      <c r="D206" s="12"/>
      <c r="E206" s="12">
        <v>2</v>
      </c>
      <c r="F206" s="12" t="s">
        <v>2188</v>
      </c>
      <c r="G206" s="12">
        <v>60</v>
      </c>
      <c r="H206" s="12">
        <v>0</v>
      </c>
      <c r="I206" s="12"/>
      <c r="J206" s="12" t="s">
        <v>2189</v>
      </c>
      <c r="K206" s="12" t="s">
        <v>2190</v>
      </c>
    </row>
    <row r="207" spans="1:11" x14ac:dyDescent="0.3">
      <c r="A207" s="12" t="s">
        <v>2145</v>
      </c>
      <c r="B207" s="12" t="s">
        <v>2191</v>
      </c>
      <c r="C207" s="12"/>
      <c r="D207" s="12"/>
      <c r="E207" s="12">
        <v>2</v>
      </c>
      <c r="F207" s="12" t="s">
        <v>2192</v>
      </c>
      <c r="G207" s="12">
        <v>6</v>
      </c>
      <c r="H207" s="12">
        <v>0</v>
      </c>
      <c r="I207" s="12"/>
      <c r="J207" s="12" t="s">
        <v>2193</v>
      </c>
      <c r="K207" s="12" t="s">
        <v>2194</v>
      </c>
    </row>
    <row r="208" spans="1:11" x14ac:dyDescent="0.3">
      <c r="A208" s="12" t="s">
        <v>2145</v>
      </c>
      <c r="B208" s="12" t="s">
        <v>2195</v>
      </c>
      <c r="C208" s="12"/>
      <c r="D208" s="12"/>
      <c r="E208" s="12">
        <v>2</v>
      </c>
      <c r="F208" s="12" t="s">
        <v>2196</v>
      </c>
      <c r="G208" s="12">
        <v>15</v>
      </c>
      <c r="H208" s="12">
        <v>0</v>
      </c>
      <c r="I208" s="12"/>
      <c r="J208" s="12" t="s">
        <v>2197</v>
      </c>
      <c r="K208" s="12" t="s">
        <v>2198</v>
      </c>
    </row>
    <row r="209" spans="1:11" x14ac:dyDescent="0.3">
      <c r="A209" s="12" t="s">
        <v>2145</v>
      </c>
      <c r="B209" s="12" t="s">
        <v>2199</v>
      </c>
      <c r="C209" s="12"/>
      <c r="D209" s="12"/>
      <c r="E209" s="12">
        <v>2</v>
      </c>
      <c r="F209" s="12" t="s">
        <v>2200</v>
      </c>
      <c r="G209" s="12">
        <v>4</v>
      </c>
      <c r="H209" s="12">
        <v>0</v>
      </c>
      <c r="I209" s="12"/>
      <c r="J209" s="12" t="s">
        <v>2201</v>
      </c>
      <c r="K209" s="12" t="s">
        <v>2202</v>
      </c>
    </row>
    <row r="210" spans="1:11" x14ac:dyDescent="0.3">
      <c r="A210" s="12" t="s">
        <v>829</v>
      </c>
      <c r="B210" s="12" t="s">
        <v>830</v>
      </c>
      <c r="C210" s="12" t="s">
        <v>2203</v>
      </c>
      <c r="D210" s="12" t="s">
        <v>2204</v>
      </c>
      <c r="E210" s="12">
        <v>4</v>
      </c>
      <c r="F210" s="12" t="s">
        <v>2205</v>
      </c>
      <c r="G210" s="12">
        <v>684</v>
      </c>
      <c r="H210" s="12">
        <v>0</v>
      </c>
      <c r="I210" s="12"/>
      <c r="J210" s="12" t="s">
        <v>2206</v>
      </c>
      <c r="K210" s="12" t="s">
        <v>2207</v>
      </c>
    </row>
    <row r="211" spans="1:11" x14ac:dyDescent="0.3">
      <c r="A211" s="12" t="s">
        <v>829</v>
      </c>
      <c r="B211" s="12" t="s">
        <v>830</v>
      </c>
      <c r="C211" s="12" t="s">
        <v>2203</v>
      </c>
      <c r="D211" s="12" t="s">
        <v>2208</v>
      </c>
      <c r="E211" s="12">
        <v>4</v>
      </c>
      <c r="F211" s="12" t="s">
        <v>2209</v>
      </c>
      <c r="G211" s="12">
        <v>218</v>
      </c>
      <c r="H211" s="12">
        <v>0</v>
      </c>
      <c r="I211" s="12"/>
      <c r="J211" s="12" t="s">
        <v>2210</v>
      </c>
      <c r="K211" s="12" t="s">
        <v>2211</v>
      </c>
    </row>
    <row r="212" spans="1:11" x14ac:dyDescent="0.3">
      <c r="A212" s="12" t="s">
        <v>829</v>
      </c>
      <c r="B212" s="12" t="s">
        <v>830</v>
      </c>
      <c r="C212" s="12" t="s">
        <v>2203</v>
      </c>
      <c r="D212" s="12" t="s">
        <v>2212</v>
      </c>
      <c r="E212" s="12">
        <v>4</v>
      </c>
      <c r="F212" s="12" t="s">
        <v>2213</v>
      </c>
      <c r="G212" s="12">
        <v>1992</v>
      </c>
      <c r="H212" s="12">
        <v>0</v>
      </c>
      <c r="I212" s="12"/>
      <c r="J212" s="12" t="s">
        <v>2214</v>
      </c>
      <c r="K212" s="12" t="s">
        <v>2215</v>
      </c>
    </row>
    <row r="213" spans="1:11" x14ac:dyDescent="0.3">
      <c r="A213" s="12" t="s">
        <v>829</v>
      </c>
      <c r="B213" s="12" t="s">
        <v>830</v>
      </c>
      <c r="C213" s="12" t="s">
        <v>2203</v>
      </c>
      <c r="D213" s="12" t="s">
        <v>2216</v>
      </c>
      <c r="E213" s="12">
        <v>4</v>
      </c>
      <c r="F213" s="12" t="s">
        <v>2217</v>
      </c>
      <c r="G213" s="12">
        <v>224</v>
      </c>
      <c r="H213" s="12">
        <v>0</v>
      </c>
      <c r="I213" s="12"/>
      <c r="J213" s="12" t="s">
        <v>2218</v>
      </c>
      <c r="K213" s="12" t="s">
        <v>2219</v>
      </c>
    </row>
    <row r="214" spans="1:11" x14ac:dyDescent="0.3">
      <c r="A214" s="12" t="s">
        <v>829</v>
      </c>
      <c r="B214" s="12" t="s">
        <v>830</v>
      </c>
      <c r="C214" s="12" t="s">
        <v>2220</v>
      </c>
      <c r="D214" s="12"/>
      <c r="E214" s="12">
        <v>3</v>
      </c>
      <c r="F214" s="12" t="s">
        <v>2221</v>
      </c>
      <c r="G214" s="12">
        <v>140</v>
      </c>
      <c r="H214" s="12">
        <v>0</v>
      </c>
      <c r="I214" s="12"/>
      <c r="J214" s="12" t="s">
        <v>2222</v>
      </c>
      <c r="K214" s="12" t="s">
        <v>2223</v>
      </c>
    </row>
    <row r="215" spans="1:11" x14ac:dyDescent="0.3">
      <c r="A215" s="12" t="s">
        <v>829</v>
      </c>
      <c r="B215" s="12" t="s">
        <v>830</v>
      </c>
      <c r="C215" s="12" t="s">
        <v>865</v>
      </c>
      <c r="D215" s="12"/>
      <c r="E215" s="12">
        <v>3</v>
      </c>
      <c r="F215" s="12" t="s">
        <v>469</v>
      </c>
      <c r="G215" s="12">
        <v>374</v>
      </c>
      <c r="H215" s="12">
        <v>0</v>
      </c>
      <c r="I215" s="3" t="s">
        <v>864</v>
      </c>
      <c r="J215" s="12" t="s">
        <v>468</v>
      </c>
      <c r="K215" s="12" t="s">
        <v>476</v>
      </c>
    </row>
    <row r="216" spans="1:11" x14ac:dyDescent="0.3">
      <c r="A216" s="12" t="s">
        <v>829</v>
      </c>
      <c r="B216" s="12" t="s">
        <v>830</v>
      </c>
      <c r="C216" s="12" t="s">
        <v>2224</v>
      </c>
      <c r="D216" s="12"/>
      <c r="E216" s="12">
        <v>3</v>
      </c>
      <c r="F216" s="12" t="s">
        <v>2225</v>
      </c>
      <c r="G216" s="12">
        <v>496</v>
      </c>
      <c r="H216" s="12">
        <v>0</v>
      </c>
      <c r="I216" s="12"/>
      <c r="J216" s="12" t="s">
        <v>2226</v>
      </c>
      <c r="K216" s="12" t="s">
        <v>2227</v>
      </c>
    </row>
    <row r="217" spans="1:11" x14ac:dyDescent="0.3">
      <c r="A217" s="12" t="s">
        <v>829</v>
      </c>
      <c r="B217" s="12" t="s">
        <v>830</v>
      </c>
      <c r="C217" s="12" t="s">
        <v>2228</v>
      </c>
      <c r="D217" s="12"/>
      <c r="E217" s="12">
        <v>3</v>
      </c>
      <c r="F217" s="12" t="s">
        <v>2229</v>
      </c>
      <c r="G217" s="12">
        <v>147</v>
      </c>
      <c r="H217" s="12">
        <v>0</v>
      </c>
      <c r="I217" s="12"/>
      <c r="J217" s="12" t="s">
        <v>2230</v>
      </c>
      <c r="K217" s="12" t="s">
        <v>2231</v>
      </c>
    </row>
    <row r="218" spans="1:11" x14ac:dyDescent="0.3">
      <c r="A218" s="12" t="s">
        <v>829</v>
      </c>
      <c r="B218" s="12" t="s">
        <v>830</v>
      </c>
      <c r="C218" s="12" t="s">
        <v>2232</v>
      </c>
      <c r="D218" s="12"/>
      <c r="E218" s="12">
        <v>3</v>
      </c>
      <c r="F218" s="12" t="s">
        <v>2233</v>
      </c>
      <c r="G218" s="12">
        <v>51</v>
      </c>
      <c r="H218" s="12">
        <v>0</v>
      </c>
      <c r="I218" s="12"/>
      <c r="J218" s="12" t="s">
        <v>2234</v>
      </c>
      <c r="K218" s="12" t="s">
        <v>2235</v>
      </c>
    </row>
    <row r="219" spans="1:11" x14ac:dyDescent="0.3">
      <c r="A219" s="12" t="s">
        <v>829</v>
      </c>
      <c r="B219" s="12" t="s">
        <v>830</v>
      </c>
      <c r="C219" s="12" t="s">
        <v>2236</v>
      </c>
      <c r="D219" s="12"/>
      <c r="E219" s="12">
        <v>3</v>
      </c>
      <c r="F219" s="12" t="s">
        <v>2237</v>
      </c>
      <c r="G219" s="12">
        <v>16</v>
      </c>
      <c r="H219" s="12">
        <v>0</v>
      </c>
      <c r="I219" s="12"/>
      <c r="J219" s="12" t="s">
        <v>2238</v>
      </c>
      <c r="K219" s="12" t="s">
        <v>2239</v>
      </c>
    </row>
    <row r="220" spans="1:11" x14ac:dyDescent="0.3">
      <c r="A220" s="12" t="s">
        <v>829</v>
      </c>
      <c r="B220" s="12" t="s">
        <v>830</v>
      </c>
      <c r="C220" s="12" t="s">
        <v>2240</v>
      </c>
      <c r="D220" s="12"/>
      <c r="E220" s="12">
        <v>3</v>
      </c>
      <c r="F220" s="12" t="s">
        <v>2241</v>
      </c>
      <c r="G220" s="12">
        <v>199</v>
      </c>
      <c r="H220" s="12">
        <v>0</v>
      </c>
      <c r="I220" s="12"/>
      <c r="J220" s="12" t="s">
        <v>2242</v>
      </c>
      <c r="K220" s="12" t="s">
        <v>2243</v>
      </c>
    </row>
    <row r="221" spans="1:11" x14ac:dyDescent="0.3">
      <c r="A221" s="12" t="s">
        <v>829</v>
      </c>
      <c r="B221" s="12" t="s">
        <v>830</v>
      </c>
      <c r="C221" s="12" t="s">
        <v>2244</v>
      </c>
      <c r="D221" s="12"/>
      <c r="E221" s="12">
        <v>3</v>
      </c>
      <c r="F221" s="12" t="s">
        <v>2245</v>
      </c>
      <c r="G221" s="12">
        <v>60</v>
      </c>
      <c r="H221" s="12">
        <v>0</v>
      </c>
      <c r="I221" s="12"/>
      <c r="J221" s="12" t="s">
        <v>2246</v>
      </c>
      <c r="K221" s="12" t="s">
        <v>2247</v>
      </c>
    </row>
    <row r="222" spans="1:11" x14ac:dyDescent="0.3">
      <c r="A222" s="12" t="s">
        <v>829</v>
      </c>
      <c r="B222" s="12" t="s">
        <v>830</v>
      </c>
      <c r="C222" s="12" t="s">
        <v>856</v>
      </c>
      <c r="D222" s="12" t="s">
        <v>2248</v>
      </c>
      <c r="E222" s="12">
        <v>4</v>
      </c>
      <c r="F222" s="12" t="s">
        <v>2249</v>
      </c>
      <c r="G222" s="12">
        <v>245</v>
      </c>
      <c r="H222" s="12">
        <v>0</v>
      </c>
      <c r="I222" s="12"/>
      <c r="J222" s="12" t="s">
        <v>2250</v>
      </c>
      <c r="K222" s="12" t="s">
        <v>2251</v>
      </c>
    </row>
    <row r="223" spans="1:11" x14ac:dyDescent="0.3">
      <c r="A223" s="12" t="s">
        <v>829</v>
      </c>
      <c r="B223" s="12" t="s">
        <v>830</v>
      </c>
      <c r="C223" s="12" t="s">
        <v>856</v>
      </c>
      <c r="D223" s="12" t="s">
        <v>2252</v>
      </c>
      <c r="E223" s="12">
        <v>4</v>
      </c>
      <c r="F223" s="12" t="s">
        <v>2253</v>
      </c>
      <c r="G223" s="12">
        <v>295</v>
      </c>
      <c r="H223" s="12">
        <v>0</v>
      </c>
      <c r="I223" s="12"/>
      <c r="J223" s="12" t="s">
        <v>2254</v>
      </c>
      <c r="K223" s="12" t="s">
        <v>2255</v>
      </c>
    </row>
    <row r="224" spans="1:11" x14ac:dyDescent="0.3">
      <c r="A224" s="12" t="s">
        <v>829</v>
      </c>
      <c r="B224" s="12" t="s">
        <v>830</v>
      </c>
      <c r="C224" s="12" t="s">
        <v>856</v>
      </c>
      <c r="D224" s="12" t="s">
        <v>2256</v>
      </c>
      <c r="E224" s="12">
        <v>4</v>
      </c>
      <c r="F224" s="12" t="s">
        <v>2257</v>
      </c>
      <c r="G224" s="12">
        <v>66</v>
      </c>
      <c r="H224" s="12">
        <v>0</v>
      </c>
      <c r="I224" s="12"/>
      <c r="J224" s="12" t="s">
        <v>2258</v>
      </c>
      <c r="K224" s="12" t="s">
        <v>2259</v>
      </c>
    </row>
    <row r="225" spans="1:11" x14ac:dyDescent="0.3">
      <c r="A225" s="12" t="s">
        <v>829</v>
      </c>
      <c r="B225" s="12" t="s">
        <v>830</v>
      </c>
      <c r="C225" s="12" t="s">
        <v>856</v>
      </c>
      <c r="D225" s="12" t="s">
        <v>857</v>
      </c>
      <c r="E225" s="12">
        <v>4</v>
      </c>
      <c r="F225" s="12" t="s">
        <v>447</v>
      </c>
      <c r="G225" s="12">
        <v>205</v>
      </c>
      <c r="H225" s="12">
        <v>0</v>
      </c>
      <c r="I225" s="3" t="s">
        <v>855</v>
      </c>
      <c r="J225" s="12" t="s">
        <v>446</v>
      </c>
      <c r="K225" s="12" t="s">
        <v>454</v>
      </c>
    </row>
    <row r="226" spans="1:11" x14ac:dyDescent="0.3">
      <c r="A226" s="12" t="s">
        <v>829</v>
      </c>
      <c r="B226" s="12" t="s">
        <v>830</v>
      </c>
      <c r="C226" s="12" t="s">
        <v>2260</v>
      </c>
      <c r="D226" s="12"/>
      <c r="E226" s="12">
        <v>3</v>
      </c>
      <c r="F226" s="12" t="s">
        <v>2261</v>
      </c>
      <c r="G226" s="12">
        <v>25</v>
      </c>
      <c r="H226" s="12">
        <v>0</v>
      </c>
      <c r="I226" s="12"/>
      <c r="J226" s="12" t="s">
        <v>2262</v>
      </c>
      <c r="K226" s="12" t="s">
        <v>2263</v>
      </c>
    </row>
    <row r="227" spans="1:11" x14ac:dyDescent="0.3">
      <c r="A227" s="12" t="s">
        <v>829</v>
      </c>
      <c r="B227" s="12" t="s">
        <v>830</v>
      </c>
      <c r="C227" s="12" t="s">
        <v>831</v>
      </c>
      <c r="D227" s="12"/>
      <c r="E227" s="12">
        <v>3</v>
      </c>
      <c r="F227" s="12" t="s">
        <v>413</v>
      </c>
      <c r="G227" s="12">
        <v>318</v>
      </c>
      <c r="H227" s="12">
        <v>0</v>
      </c>
      <c r="I227" s="3" t="s">
        <v>828</v>
      </c>
      <c r="J227" s="12" t="s">
        <v>412</v>
      </c>
      <c r="K227" s="12" t="s">
        <v>420</v>
      </c>
    </row>
    <row r="228" spans="1:11" x14ac:dyDescent="0.3">
      <c r="A228" s="12" t="s">
        <v>829</v>
      </c>
      <c r="B228" s="12" t="s">
        <v>830</v>
      </c>
      <c r="C228" s="12" t="s">
        <v>2264</v>
      </c>
      <c r="D228" s="12"/>
      <c r="E228" s="12">
        <v>3</v>
      </c>
      <c r="F228" s="12" t="s">
        <v>2265</v>
      </c>
      <c r="G228" s="12">
        <v>9</v>
      </c>
      <c r="H228" s="12">
        <v>0</v>
      </c>
      <c r="I228" s="12"/>
      <c r="J228" s="12" t="s">
        <v>2266</v>
      </c>
      <c r="K228" s="12" t="s">
        <v>2267</v>
      </c>
    </row>
    <row r="229" spans="1:11" x14ac:dyDescent="0.3">
      <c r="A229" s="12" t="s">
        <v>829</v>
      </c>
      <c r="B229" s="12" t="s">
        <v>830</v>
      </c>
      <c r="C229" s="12" t="s">
        <v>2268</v>
      </c>
      <c r="D229" s="12"/>
      <c r="E229" s="12">
        <v>3</v>
      </c>
      <c r="F229" s="12" t="s">
        <v>2269</v>
      </c>
      <c r="G229" s="12">
        <v>302</v>
      </c>
      <c r="H229" s="12">
        <v>93</v>
      </c>
      <c r="I229" s="12"/>
      <c r="J229" s="12" t="s">
        <v>2270</v>
      </c>
      <c r="K229" s="12" t="s">
        <v>2271</v>
      </c>
    </row>
    <row r="230" spans="1:11" x14ac:dyDescent="0.3">
      <c r="A230" s="12" t="s">
        <v>829</v>
      </c>
      <c r="B230" s="12" t="s">
        <v>908</v>
      </c>
      <c r="C230" s="12" t="s">
        <v>2272</v>
      </c>
      <c r="D230" s="12"/>
      <c r="E230" s="12">
        <v>3</v>
      </c>
      <c r="F230" s="12" t="s">
        <v>2273</v>
      </c>
      <c r="G230" s="12">
        <v>574</v>
      </c>
      <c r="H230" s="12">
        <v>0</v>
      </c>
      <c r="I230" s="12"/>
      <c r="J230" s="12" t="s">
        <v>2274</v>
      </c>
      <c r="K230" s="12" t="s">
        <v>2275</v>
      </c>
    </row>
    <row r="231" spans="1:11" x14ac:dyDescent="0.3">
      <c r="A231" s="12" t="s">
        <v>829</v>
      </c>
      <c r="B231" s="12" t="s">
        <v>908</v>
      </c>
      <c r="C231" s="12" t="s">
        <v>909</v>
      </c>
      <c r="D231" s="12"/>
      <c r="E231" s="12">
        <v>3</v>
      </c>
      <c r="F231" s="12" t="s">
        <v>910</v>
      </c>
      <c r="G231" s="12">
        <v>661</v>
      </c>
      <c r="H231" s="12">
        <v>0</v>
      </c>
      <c r="I231" s="3" t="s">
        <v>906</v>
      </c>
      <c r="J231" s="12" t="s">
        <v>907</v>
      </c>
      <c r="K231" s="12" t="s">
        <v>2276</v>
      </c>
    </row>
    <row r="232" spans="1:11" x14ac:dyDescent="0.3">
      <c r="A232" s="12" t="s">
        <v>829</v>
      </c>
      <c r="B232" s="12" t="s">
        <v>2277</v>
      </c>
      <c r="C232" s="12" t="s">
        <v>2278</v>
      </c>
      <c r="D232" s="12"/>
      <c r="E232" s="12">
        <v>3</v>
      </c>
      <c r="F232" s="12" t="s">
        <v>2279</v>
      </c>
      <c r="G232" s="12">
        <v>53</v>
      </c>
      <c r="H232" s="12">
        <v>0</v>
      </c>
      <c r="I232" s="12"/>
      <c r="J232" s="12" t="s">
        <v>2280</v>
      </c>
      <c r="K232" s="12" t="s">
        <v>2281</v>
      </c>
    </row>
    <row r="233" spans="1:11" x14ac:dyDescent="0.3">
      <c r="A233" s="12" t="s">
        <v>829</v>
      </c>
      <c r="B233" s="12" t="s">
        <v>2277</v>
      </c>
      <c r="C233" s="12" t="s">
        <v>2282</v>
      </c>
      <c r="D233" s="12"/>
      <c r="E233" s="12">
        <v>3</v>
      </c>
      <c r="F233" s="12" t="s">
        <v>2283</v>
      </c>
      <c r="G233" s="12">
        <v>47</v>
      </c>
      <c r="H233" s="12">
        <v>0</v>
      </c>
      <c r="I233" s="12"/>
      <c r="J233" s="12" t="s">
        <v>2284</v>
      </c>
      <c r="K233" s="12" t="s">
        <v>2285</v>
      </c>
    </row>
    <row r="234" spans="1:11" x14ac:dyDescent="0.3">
      <c r="A234" s="12" t="s">
        <v>829</v>
      </c>
      <c r="B234" s="12" t="s">
        <v>2277</v>
      </c>
      <c r="C234" s="12" t="s">
        <v>2286</v>
      </c>
      <c r="D234" s="12"/>
      <c r="E234" s="12">
        <v>3</v>
      </c>
      <c r="F234" s="12" t="s">
        <v>2287</v>
      </c>
      <c r="G234" s="12">
        <v>124</v>
      </c>
      <c r="H234" s="12">
        <v>0</v>
      </c>
      <c r="I234" s="12"/>
      <c r="J234" s="12" t="s">
        <v>2288</v>
      </c>
      <c r="K234" s="12" t="s">
        <v>2289</v>
      </c>
    </row>
    <row r="235" spans="1:11" x14ac:dyDescent="0.3">
      <c r="A235" s="12" t="s">
        <v>829</v>
      </c>
      <c r="B235" s="12" t="s">
        <v>2277</v>
      </c>
      <c r="C235" s="12" t="s">
        <v>2290</v>
      </c>
      <c r="D235" s="12"/>
      <c r="E235" s="12">
        <v>3</v>
      </c>
      <c r="F235" s="12" t="s">
        <v>2291</v>
      </c>
      <c r="G235" s="12">
        <v>121</v>
      </c>
      <c r="H235" s="12">
        <v>0</v>
      </c>
      <c r="I235" s="12"/>
      <c r="J235" s="12" t="s">
        <v>2292</v>
      </c>
      <c r="K235" s="12" t="s">
        <v>2293</v>
      </c>
    </row>
    <row r="236" spans="1:11" x14ac:dyDescent="0.3">
      <c r="A236" s="12" t="s">
        <v>829</v>
      </c>
      <c r="B236" s="12" t="s">
        <v>2277</v>
      </c>
      <c r="C236" s="12" t="s">
        <v>2294</v>
      </c>
      <c r="D236" s="12"/>
      <c r="E236" s="12">
        <v>3</v>
      </c>
      <c r="F236" s="12" t="s">
        <v>2295</v>
      </c>
      <c r="G236" s="12">
        <v>63</v>
      </c>
      <c r="H236" s="12">
        <v>0</v>
      </c>
      <c r="I236" s="12"/>
      <c r="J236" s="12" t="s">
        <v>2296</v>
      </c>
      <c r="K236" s="12" t="s">
        <v>2297</v>
      </c>
    </row>
    <row r="237" spans="1:11" x14ac:dyDescent="0.3">
      <c r="A237" s="12" t="s">
        <v>829</v>
      </c>
      <c r="B237" s="12" t="s">
        <v>2277</v>
      </c>
      <c r="C237" s="12" t="s">
        <v>2298</v>
      </c>
      <c r="D237" s="12"/>
      <c r="E237" s="12">
        <v>3</v>
      </c>
      <c r="F237" s="12" t="s">
        <v>2299</v>
      </c>
      <c r="G237" s="12">
        <v>73</v>
      </c>
      <c r="H237" s="12">
        <v>0</v>
      </c>
      <c r="I237" s="12"/>
      <c r="J237" s="12" t="s">
        <v>2300</v>
      </c>
      <c r="K237" s="12" t="s">
        <v>2301</v>
      </c>
    </row>
    <row r="238" spans="1:11" x14ac:dyDescent="0.3">
      <c r="A238" s="12" t="s">
        <v>829</v>
      </c>
      <c r="B238" s="12" t="s">
        <v>2277</v>
      </c>
      <c r="C238" s="12" t="s">
        <v>2302</v>
      </c>
      <c r="D238" s="12"/>
      <c r="E238" s="12">
        <v>3</v>
      </c>
      <c r="F238" s="12" t="s">
        <v>2303</v>
      </c>
      <c r="G238" s="12">
        <v>66</v>
      </c>
      <c r="H238" s="12">
        <v>0</v>
      </c>
      <c r="I238" s="12"/>
      <c r="J238" s="12" t="s">
        <v>2304</v>
      </c>
      <c r="K238" s="12" t="s">
        <v>2305</v>
      </c>
    </row>
    <row r="239" spans="1:11" x14ac:dyDescent="0.3">
      <c r="A239" s="12" t="s">
        <v>829</v>
      </c>
      <c r="B239" s="12" t="s">
        <v>2277</v>
      </c>
      <c r="C239" s="12" t="s">
        <v>2306</v>
      </c>
      <c r="D239" s="12"/>
      <c r="E239" s="12">
        <v>3</v>
      </c>
      <c r="F239" s="12" t="s">
        <v>2307</v>
      </c>
      <c r="G239" s="12">
        <v>59</v>
      </c>
      <c r="H239" s="12">
        <v>0</v>
      </c>
      <c r="I239" s="12"/>
      <c r="J239" s="12" t="s">
        <v>2308</v>
      </c>
      <c r="K239" s="12" t="s">
        <v>2309</v>
      </c>
    </row>
    <row r="240" spans="1:11" x14ac:dyDescent="0.3">
      <c r="A240" s="12" t="s">
        <v>829</v>
      </c>
      <c r="B240" s="12" t="s">
        <v>2277</v>
      </c>
      <c r="C240" s="12" t="s">
        <v>2310</v>
      </c>
      <c r="D240" s="12"/>
      <c r="E240" s="12">
        <v>3</v>
      </c>
      <c r="F240" s="12" t="s">
        <v>2311</v>
      </c>
      <c r="G240" s="12">
        <v>5</v>
      </c>
      <c r="H240" s="12">
        <v>0</v>
      </c>
      <c r="I240" s="12"/>
      <c r="J240" s="12" t="s">
        <v>2312</v>
      </c>
      <c r="K240" s="12" t="s">
        <v>2313</v>
      </c>
    </row>
    <row r="241" spans="1:11" x14ac:dyDescent="0.3">
      <c r="A241" s="12" t="s">
        <v>829</v>
      </c>
      <c r="B241" s="12" t="s">
        <v>2277</v>
      </c>
      <c r="C241" s="12" t="s">
        <v>2314</v>
      </c>
      <c r="D241" s="12"/>
      <c r="E241" s="12">
        <v>3</v>
      </c>
      <c r="F241" s="12" t="s">
        <v>2315</v>
      </c>
      <c r="G241" s="12">
        <v>88</v>
      </c>
      <c r="H241" s="12">
        <v>0</v>
      </c>
      <c r="I241" s="12"/>
      <c r="J241" s="12" t="s">
        <v>2316</v>
      </c>
      <c r="K241" s="12" t="s">
        <v>2317</v>
      </c>
    </row>
    <row r="242" spans="1:11" x14ac:dyDescent="0.3">
      <c r="A242" s="12" t="s">
        <v>829</v>
      </c>
      <c r="B242" s="12" t="s">
        <v>2277</v>
      </c>
      <c r="C242" s="12" t="s">
        <v>2318</v>
      </c>
      <c r="D242" s="12"/>
      <c r="E242" s="12">
        <v>3</v>
      </c>
      <c r="F242" s="12" t="s">
        <v>2319</v>
      </c>
      <c r="G242" s="12">
        <v>17</v>
      </c>
      <c r="H242" s="12">
        <v>0</v>
      </c>
      <c r="I242" s="12"/>
      <c r="J242" s="12" t="s">
        <v>2320</v>
      </c>
      <c r="K242" s="12" t="s">
        <v>2321</v>
      </c>
    </row>
    <row r="243" spans="1:11" x14ac:dyDescent="0.3">
      <c r="A243" s="12" t="s">
        <v>829</v>
      </c>
      <c r="B243" s="12" t="s">
        <v>2322</v>
      </c>
      <c r="C243" s="12"/>
      <c r="D243" s="12"/>
      <c r="E243" s="12">
        <v>2</v>
      </c>
      <c r="F243" s="12" t="s">
        <v>2323</v>
      </c>
      <c r="G243" s="12">
        <v>566</v>
      </c>
      <c r="H243" s="12">
        <v>0</v>
      </c>
      <c r="I243" s="12"/>
      <c r="J243" s="12" t="s">
        <v>2324</v>
      </c>
      <c r="K243" s="12" t="s">
        <v>2325</v>
      </c>
    </row>
    <row r="244" spans="1:11" x14ac:dyDescent="0.3">
      <c r="A244" s="12" t="s">
        <v>829</v>
      </c>
      <c r="B244" s="12" t="s">
        <v>2326</v>
      </c>
      <c r="C244" s="12"/>
      <c r="D244" s="12"/>
      <c r="E244" s="12">
        <v>2</v>
      </c>
      <c r="F244" s="12" t="s">
        <v>2327</v>
      </c>
      <c r="G244" s="12">
        <v>644</v>
      </c>
      <c r="H244" s="12">
        <v>0</v>
      </c>
      <c r="I244" s="12"/>
      <c r="J244" s="12" t="s">
        <v>2328</v>
      </c>
      <c r="K244" s="12" t="s">
        <v>2329</v>
      </c>
    </row>
    <row r="245" spans="1:11" x14ac:dyDescent="0.3">
      <c r="A245" s="12" t="s">
        <v>829</v>
      </c>
      <c r="B245" s="12" t="s">
        <v>2330</v>
      </c>
      <c r="C245" s="12" t="s">
        <v>2331</v>
      </c>
      <c r="D245" s="12"/>
      <c r="E245" s="12">
        <v>3</v>
      </c>
      <c r="F245" s="12" t="s">
        <v>2332</v>
      </c>
      <c r="G245" s="12">
        <v>113</v>
      </c>
      <c r="H245" s="12">
        <v>0</v>
      </c>
      <c r="I245" s="12"/>
      <c r="J245" s="12" t="s">
        <v>2333</v>
      </c>
      <c r="K245" s="12" t="s">
        <v>2334</v>
      </c>
    </row>
    <row r="246" spans="1:11" x14ac:dyDescent="0.3">
      <c r="A246" s="12" t="s">
        <v>829</v>
      </c>
      <c r="B246" s="12" t="s">
        <v>2330</v>
      </c>
      <c r="C246" s="12" t="s">
        <v>2335</v>
      </c>
      <c r="D246" s="12"/>
      <c r="E246" s="12">
        <v>3</v>
      </c>
      <c r="F246" s="12" t="s">
        <v>2336</v>
      </c>
      <c r="G246" s="12">
        <v>187</v>
      </c>
      <c r="H246" s="12">
        <v>0</v>
      </c>
      <c r="I246" s="12"/>
      <c r="J246" s="12" t="s">
        <v>2337</v>
      </c>
      <c r="K246" s="12" t="s">
        <v>2338</v>
      </c>
    </row>
    <row r="247" spans="1:11" x14ac:dyDescent="0.3">
      <c r="A247" s="12" t="s">
        <v>829</v>
      </c>
      <c r="B247" s="12" t="s">
        <v>2330</v>
      </c>
      <c r="C247" s="12" t="s">
        <v>2339</v>
      </c>
      <c r="D247" s="12"/>
      <c r="E247" s="12">
        <v>3</v>
      </c>
      <c r="F247" s="12" t="s">
        <v>2340</v>
      </c>
      <c r="G247" s="12">
        <v>57</v>
      </c>
      <c r="H247" s="12">
        <v>0</v>
      </c>
      <c r="I247" s="12"/>
      <c r="J247" s="12" t="s">
        <v>2341</v>
      </c>
      <c r="K247" s="12" t="s">
        <v>2342</v>
      </c>
    </row>
    <row r="248" spans="1:11" x14ac:dyDescent="0.3">
      <c r="A248" s="12" t="s">
        <v>816</v>
      </c>
      <c r="B248" s="12" t="s">
        <v>2343</v>
      </c>
      <c r="C248" s="12"/>
      <c r="D248" s="12"/>
      <c r="E248" s="12">
        <v>2</v>
      </c>
      <c r="F248" s="12" t="s">
        <v>2344</v>
      </c>
      <c r="G248" s="12">
        <v>75</v>
      </c>
      <c r="H248" s="12">
        <v>0</v>
      </c>
      <c r="I248" s="12"/>
      <c r="J248" s="12" t="s">
        <v>2345</v>
      </c>
      <c r="K248" s="12" t="s">
        <v>2346</v>
      </c>
    </row>
    <row r="249" spans="1:11" x14ac:dyDescent="0.3">
      <c r="A249" s="12" t="s">
        <v>816</v>
      </c>
      <c r="B249" s="12" t="s">
        <v>130</v>
      </c>
      <c r="C249" s="12"/>
      <c r="D249" s="12"/>
      <c r="E249" s="12">
        <v>2</v>
      </c>
      <c r="F249" s="12" t="s">
        <v>229</v>
      </c>
      <c r="G249" s="12">
        <v>804</v>
      </c>
      <c r="H249" s="12">
        <v>746</v>
      </c>
      <c r="I249" s="3" t="s">
        <v>227</v>
      </c>
      <c r="J249" s="12" t="s">
        <v>228</v>
      </c>
      <c r="K249" s="12" t="s">
        <v>2347</v>
      </c>
    </row>
    <row r="250" spans="1:11" x14ac:dyDescent="0.3">
      <c r="A250" s="12" t="s">
        <v>2348</v>
      </c>
      <c r="B250" s="12" t="s">
        <v>2349</v>
      </c>
      <c r="C250" s="12" t="s">
        <v>2350</v>
      </c>
      <c r="D250" s="12"/>
      <c r="E250" s="12">
        <v>3</v>
      </c>
      <c r="F250" s="12" t="s">
        <v>2351</v>
      </c>
      <c r="G250" s="12">
        <v>2</v>
      </c>
      <c r="H250" s="12">
        <v>0</v>
      </c>
      <c r="I250" s="12"/>
      <c r="J250" s="12" t="s">
        <v>2352</v>
      </c>
      <c r="K250" s="12" t="s">
        <v>2353</v>
      </c>
    </row>
    <row r="251" spans="1:11" x14ac:dyDescent="0.3">
      <c r="A251" s="12" t="s">
        <v>2348</v>
      </c>
      <c r="B251" s="12" t="s">
        <v>2354</v>
      </c>
      <c r="C251" s="12" t="s">
        <v>2355</v>
      </c>
      <c r="D251" s="12" t="s">
        <v>2356</v>
      </c>
      <c r="E251" s="12">
        <v>4</v>
      </c>
      <c r="F251" s="12" t="s">
        <v>2357</v>
      </c>
      <c r="G251" s="12">
        <v>1</v>
      </c>
      <c r="H251" s="12">
        <v>0</v>
      </c>
      <c r="I251" s="12"/>
      <c r="J251" s="12" t="s">
        <v>2358</v>
      </c>
      <c r="K251" s="12" t="s">
        <v>2359</v>
      </c>
    </row>
    <row r="252" spans="1:11" x14ac:dyDescent="0.3">
      <c r="A252" s="12" t="s">
        <v>2348</v>
      </c>
      <c r="B252" s="12" t="s">
        <v>2354</v>
      </c>
      <c r="C252" s="12" t="s">
        <v>2360</v>
      </c>
      <c r="D252" s="12"/>
      <c r="E252" s="12">
        <v>3</v>
      </c>
      <c r="F252" s="12" t="s">
        <v>2361</v>
      </c>
      <c r="G252" s="12">
        <v>2</v>
      </c>
      <c r="H252" s="12">
        <v>0</v>
      </c>
      <c r="I252" s="12"/>
      <c r="J252" s="12" t="s">
        <v>2362</v>
      </c>
      <c r="K252" s="12" t="s">
        <v>2363</v>
      </c>
    </row>
    <row r="253" spans="1:11" x14ac:dyDescent="0.3">
      <c r="A253" s="12" t="s">
        <v>2348</v>
      </c>
      <c r="B253" s="12" t="s">
        <v>2354</v>
      </c>
      <c r="C253" s="12" t="s">
        <v>2364</v>
      </c>
      <c r="D253" s="12" t="s">
        <v>2365</v>
      </c>
      <c r="E253" s="12">
        <v>4</v>
      </c>
      <c r="F253" s="12" t="s">
        <v>2366</v>
      </c>
      <c r="G253" s="12">
        <v>12</v>
      </c>
      <c r="H253" s="12">
        <v>0</v>
      </c>
      <c r="I253" s="12"/>
      <c r="J253" s="12" t="s">
        <v>2367</v>
      </c>
      <c r="K253" s="12" t="s">
        <v>2368</v>
      </c>
    </row>
    <row r="254" spans="1:11" x14ac:dyDescent="0.3">
      <c r="A254" s="12" t="s">
        <v>2348</v>
      </c>
      <c r="B254" s="12" t="s">
        <v>929</v>
      </c>
      <c r="C254" s="12"/>
      <c r="D254" s="12"/>
      <c r="E254" s="12">
        <v>2</v>
      </c>
      <c r="F254" s="12" t="s">
        <v>2369</v>
      </c>
      <c r="G254" s="12"/>
      <c r="H254" s="12">
        <v>0</v>
      </c>
      <c r="I254" s="12"/>
      <c r="J254" s="12" t="s">
        <v>2370</v>
      </c>
      <c r="K254" s="12" t="s">
        <v>2371</v>
      </c>
    </row>
    <row r="255" spans="1:11" x14ac:dyDescent="0.3">
      <c r="A255" s="12" t="s">
        <v>2348</v>
      </c>
      <c r="B255" s="12" t="s">
        <v>2372</v>
      </c>
      <c r="C255" s="12" t="s">
        <v>2373</v>
      </c>
      <c r="D255" s="12"/>
      <c r="E255" s="12">
        <v>3</v>
      </c>
      <c r="F255" s="12" t="s">
        <v>2374</v>
      </c>
      <c r="G255" s="12">
        <v>1</v>
      </c>
      <c r="H255" s="12">
        <v>0</v>
      </c>
      <c r="I255" s="12"/>
      <c r="J255" s="12" t="s">
        <v>2375</v>
      </c>
      <c r="K255" s="12" t="s">
        <v>2376</v>
      </c>
    </row>
    <row r="256" spans="1:11" x14ac:dyDescent="0.3">
      <c r="A256" s="12" t="s">
        <v>2348</v>
      </c>
      <c r="B256" s="12" t="s">
        <v>2372</v>
      </c>
      <c r="C256" s="12" t="s">
        <v>2377</v>
      </c>
      <c r="D256" s="12"/>
      <c r="E256" s="12">
        <v>3</v>
      </c>
      <c r="F256" s="12" t="s">
        <v>2378</v>
      </c>
      <c r="G256" s="12">
        <v>22</v>
      </c>
      <c r="H256" s="12">
        <v>0</v>
      </c>
      <c r="I256" s="12"/>
      <c r="J256" s="12" t="s">
        <v>2379</v>
      </c>
      <c r="K256" s="12" t="s">
        <v>2380</v>
      </c>
    </row>
    <row r="257" spans="1:11" x14ac:dyDescent="0.3">
      <c r="A257" s="12" t="s">
        <v>2348</v>
      </c>
      <c r="B257" s="12" t="s">
        <v>2372</v>
      </c>
      <c r="C257" s="12" t="s">
        <v>2381</v>
      </c>
      <c r="D257" s="12"/>
      <c r="E257" s="12">
        <v>3</v>
      </c>
      <c r="F257" s="12" t="s">
        <v>2382</v>
      </c>
      <c r="G257" s="12">
        <v>2</v>
      </c>
      <c r="H257" s="12">
        <v>0</v>
      </c>
      <c r="I257" s="12"/>
      <c r="J257" s="12" t="s">
        <v>2383</v>
      </c>
      <c r="K257" s="12" t="s">
        <v>2384</v>
      </c>
    </row>
    <row r="258" spans="1:11" x14ac:dyDescent="0.3">
      <c r="A258" s="12" t="s">
        <v>2348</v>
      </c>
      <c r="B258" s="12" t="s">
        <v>2385</v>
      </c>
      <c r="C258" s="12" t="s">
        <v>2386</v>
      </c>
      <c r="D258" s="12"/>
      <c r="E258" s="12">
        <v>3</v>
      </c>
      <c r="F258" s="12" t="s">
        <v>2387</v>
      </c>
      <c r="G258" s="12">
        <v>2</v>
      </c>
      <c r="H258" s="12">
        <v>0</v>
      </c>
      <c r="I258" s="12"/>
      <c r="J258" s="12" t="s">
        <v>2388</v>
      </c>
      <c r="K258" s="12" t="s">
        <v>2389</v>
      </c>
    </row>
    <row r="259" spans="1:11" x14ac:dyDescent="0.3">
      <c r="A259" s="12" t="s">
        <v>2348</v>
      </c>
      <c r="B259" s="12" t="s">
        <v>2385</v>
      </c>
      <c r="C259" s="12" t="s">
        <v>2390</v>
      </c>
      <c r="D259" s="12"/>
      <c r="E259" s="12">
        <v>3</v>
      </c>
      <c r="F259" s="12" t="s">
        <v>2391</v>
      </c>
      <c r="G259" s="12">
        <v>9</v>
      </c>
      <c r="H259" s="12">
        <v>0</v>
      </c>
      <c r="I259" s="12"/>
      <c r="J259" s="12" t="s">
        <v>2392</v>
      </c>
      <c r="K259" s="12" t="s">
        <v>2393</v>
      </c>
    </row>
    <row r="260" spans="1:11" x14ac:dyDescent="0.3">
      <c r="A260" s="12" t="s">
        <v>2348</v>
      </c>
      <c r="B260" s="12" t="s">
        <v>2394</v>
      </c>
      <c r="C260" s="12" t="s">
        <v>2395</v>
      </c>
      <c r="D260" s="12" t="s">
        <v>2396</v>
      </c>
      <c r="E260" s="12">
        <v>4</v>
      </c>
      <c r="F260" s="12" t="s">
        <v>2397</v>
      </c>
      <c r="G260" s="12">
        <v>4</v>
      </c>
      <c r="H260" s="12">
        <v>0</v>
      </c>
      <c r="I260" s="12"/>
      <c r="J260" s="12" t="s">
        <v>2398</v>
      </c>
      <c r="K260" s="12" t="s">
        <v>2399</v>
      </c>
    </row>
    <row r="261" spans="1:11" x14ac:dyDescent="0.3">
      <c r="A261" s="12" t="s">
        <v>965</v>
      </c>
      <c r="B261" s="12" t="s">
        <v>2400</v>
      </c>
      <c r="C261" s="12" t="s">
        <v>2401</v>
      </c>
      <c r="D261" s="12" t="s">
        <v>2402</v>
      </c>
      <c r="E261" s="12">
        <v>4</v>
      </c>
      <c r="F261" s="12" t="s">
        <v>2403</v>
      </c>
      <c r="G261" s="12">
        <v>6</v>
      </c>
      <c r="H261" s="12">
        <v>0</v>
      </c>
      <c r="I261" s="12"/>
      <c r="J261" s="12" t="s">
        <v>2404</v>
      </c>
      <c r="K261" s="12" t="s">
        <v>2405</v>
      </c>
    </row>
    <row r="262" spans="1:11" x14ac:dyDescent="0.3">
      <c r="A262" s="12" t="s">
        <v>965</v>
      </c>
      <c r="B262" s="12" t="s">
        <v>2400</v>
      </c>
      <c r="C262" s="12" t="s">
        <v>2401</v>
      </c>
      <c r="D262" s="12" t="s">
        <v>2406</v>
      </c>
      <c r="E262" s="12">
        <v>4</v>
      </c>
      <c r="F262" s="12" t="s">
        <v>2407</v>
      </c>
      <c r="G262" s="12">
        <v>93</v>
      </c>
      <c r="H262" s="12">
        <v>0</v>
      </c>
      <c r="I262" s="12"/>
      <c r="J262" s="12" t="s">
        <v>2408</v>
      </c>
      <c r="K262" s="12" t="s">
        <v>2409</v>
      </c>
    </row>
    <row r="263" spans="1:11" x14ac:dyDescent="0.3">
      <c r="A263" s="12" t="s">
        <v>965</v>
      </c>
      <c r="B263" s="12" t="s">
        <v>2400</v>
      </c>
      <c r="C263" s="12" t="s">
        <v>2410</v>
      </c>
      <c r="D263" s="12" t="s">
        <v>2411</v>
      </c>
      <c r="E263" s="12">
        <v>4</v>
      </c>
      <c r="F263" s="12" t="s">
        <v>2412</v>
      </c>
      <c r="G263" s="12">
        <v>10</v>
      </c>
      <c r="H263" s="12">
        <v>0</v>
      </c>
      <c r="I263" s="12"/>
      <c r="J263" s="12" t="s">
        <v>2413</v>
      </c>
      <c r="K263" s="12" t="s">
        <v>2414</v>
      </c>
    </row>
    <row r="264" spans="1:11" x14ac:dyDescent="0.3">
      <c r="A264" s="12" t="s">
        <v>965</v>
      </c>
      <c r="B264" s="12" t="s">
        <v>984</v>
      </c>
      <c r="C264" s="12" t="s">
        <v>2415</v>
      </c>
      <c r="D264" s="12"/>
      <c r="E264" s="12">
        <v>3</v>
      </c>
      <c r="F264" s="12" t="s">
        <v>2416</v>
      </c>
      <c r="G264" s="12">
        <v>5</v>
      </c>
      <c r="H264" s="12">
        <v>0</v>
      </c>
      <c r="I264" s="12"/>
      <c r="J264" s="12" t="s">
        <v>2417</v>
      </c>
      <c r="K264" s="12" t="s">
        <v>2418</v>
      </c>
    </row>
    <row r="265" spans="1:11" x14ac:dyDescent="0.3">
      <c r="A265" s="12" t="s">
        <v>965</v>
      </c>
      <c r="B265" s="12" t="s">
        <v>984</v>
      </c>
      <c r="C265" s="12" t="s">
        <v>2419</v>
      </c>
      <c r="D265" s="12"/>
      <c r="E265" s="12">
        <v>3</v>
      </c>
      <c r="F265" s="12" t="s">
        <v>2420</v>
      </c>
      <c r="G265" s="12">
        <v>69</v>
      </c>
      <c r="H265" s="12">
        <v>0</v>
      </c>
      <c r="I265" s="12"/>
      <c r="J265" s="12" t="s">
        <v>2421</v>
      </c>
      <c r="K265" s="12" t="s">
        <v>2422</v>
      </c>
    </row>
    <row r="266" spans="1:11" x14ac:dyDescent="0.3">
      <c r="A266" s="12" t="s">
        <v>965</v>
      </c>
      <c r="B266" s="12" t="s">
        <v>984</v>
      </c>
      <c r="C266" s="12" t="s">
        <v>985</v>
      </c>
      <c r="D266" s="12"/>
      <c r="E266" s="12">
        <v>3</v>
      </c>
      <c r="F266" s="12" t="s">
        <v>986</v>
      </c>
      <c r="G266" s="12">
        <v>91</v>
      </c>
      <c r="H266" s="12">
        <v>0</v>
      </c>
      <c r="I266" s="3" t="s">
        <v>982</v>
      </c>
      <c r="J266" s="12" t="s">
        <v>983</v>
      </c>
      <c r="K266" s="12" t="s">
        <v>2423</v>
      </c>
    </row>
    <row r="267" spans="1:11" x14ac:dyDescent="0.3">
      <c r="A267" s="12" t="s">
        <v>965</v>
      </c>
      <c r="B267" s="12" t="s">
        <v>984</v>
      </c>
      <c r="C267" s="12" t="s">
        <v>2424</v>
      </c>
      <c r="D267" s="12"/>
      <c r="E267" s="12">
        <v>3</v>
      </c>
      <c r="F267" s="12" t="s">
        <v>2425</v>
      </c>
      <c r="G267" s="12">
        <v>40</v>
      </c>
      <c r="H267" s="12">
        <v>0</v>
      </c>
      <c r="I267" s="12"/>
      <c r="J267" s="12" t="s">
        <v>2426</v>
      </c>
      <c r="K267" s="12" t="s">
        <v>2427</v>
      </c>
    </row>
    <row r="268" spans="1:11" x14ac:dyDescent="0.3">
      <c r="A268" s="12" t="s">
        <v>965</v>
      </c>
      <c r="B268" s="12" t="s">
        <v>984</v>
      </c>
      <c r="C268" s="12" t="s">
        <v>2428</v>
      </c>
      <c r="D268" s="12"/>
      <c r="E268" s="12">
        <v>3</v>
      </c>
      <c r="F268" s="12" t="s">
        <v>2429</v>
      </c>
      <c r="G268" s="12">
        <v>42</v>
      </c>
      <c r="H268" s="12">
        <v>0</v>
      </c>
      <c r="I268" s="12"/>
      <c r="J268" s="12" t="s">
        <v>2430</v>
      </c>
      <c r="K268" s="12" t="s">
        <v>2431</v>
      </c>
    </row>
    <row r="269" spans="1:11" x14ac:dyDescent="0.3">
      <c r="A269" s="12" t="s">
        <v>965</v>
      </c>
      <c r="B269" s="12" t="s">
        <v>984</v>
      </c>
      <c r="C269" s="12" t="s">
        <v>2432</v>
      </c>
      <c r="D269" s="12"/>
      <c r="E269" s="12">
        <v>3</v>
      </c>
      <c r="F269" s="12" t="s">
        <v>2433</v>
      </c>
      <c r="G269" s="12">
        <v>46</v>
      </c>
      <c r="H269" s="12">
        <v>0</v>
      </c>
      <c r="I269" s="12"/>
      <c r="J269" s="12" t="s">
        <v>2434</v>
      </c>
      <c r="K269" s="12" t="s">
        <v>2435</v>
      </c>
    </row>
    <row r="270" spans="1:11" x14ac:dyDescent="0.3">
      <c r="A270" s="12" t="s">
        <v>965</v>
      </c>
      <c r="B270" s="12" t="s">
        <v>2436</v>
      </c>
      <c r="C270" s="12" t="s">
        <v>2437</v>
      </c>
      <c r="D270" s="12"/>
      <c r="E270" s="12">
        <v>3</v>
      </c>
      <c r="F270" s="12" t="s">
        <v>2438</v>
      </c>
      <c r="G270" s="12">
        <v>5</v>
      </c>
      <c r="H270" s="12">
        <v>0</v>
      </c>
      <c r="I270" s="12"/>
      <c r="J270" s="12" t="s">
        <v>2439</v>
      </c>
      <c r="K270" s="12" t="s">
        <v>2440</v>
      </c>
    </row>
    <row r="271" spans="1:11" x14ac:dyDescent="0.3">
      <c r="A271" s="12" t="s">
        <v>965</v>
      </c>
      <c r="B271" s="12" t="s">
        <v>2436</v>
      </c>
      <c r="C271" s="12" t="s">
        <v>2441</v>
      </c>
      <c r="D271" s="12"/>
      <c r="E271" s="12">
        <v>3</v>
      </c>
      <c r="F271" s="12" t="s">
        <v>2442</v>
      </c>
      <c r="G271" s="12">
        <v>2</v>
      </c>
      <c r="H271" s="12">
        <v>0</v>
      </c>
      <c r="I271" s="12"/>
      <c r="J271" s="12" t="s">
        <v>2443</v>
      </c>
      <c r="K271" s="12" t="s">
        <v>2444</v>
      </c>
    </row>
    <row r="272" spans="1:11" x14ac:dyDescent="0.3">
      <c r="A272" s="12" t="s">
        <v>965</v>
      </c>
      <c r="B272" s="12" t="s">
        <v>2436</v>
      </c>
      <c r="C272" s="12" t="s">
        <v>2445</v>
      </c>
      <c r="D272" s="12"/>
      <c r="E272" s="12">
        <v>3</v>
      </c>
      <c r="F272" s="12" t="s">
        <v>2446</v>
      </c>
      <c r="G272" s="12">
        <v>11</v>
      </c>
      <c r="H272" s="12">
        <v>0</v>
      </c>
      <c r="I272" s="12"/>
      <c r="J272" s="12" t="s">
        <v>2447</v>
      </c>
      <c r="K272" s="12" t="s">
        <v>2448</v>
      </c>
    </row>
    <row r="273" spans="1:11" x14ac:dyDescent="0.3">
      <c r="A273" s="12" t="s">
        <v>965</v>
      </c>
      <c r="B273" s="12" t="s">
        <v>2436</v>
      </c>
      <c r="C273" s="12" t="s">
        <v>2449</v>
      </c>
      <c r="D273" s="12"/>
      <c r="E273" s="12">
        <v>3</v>
      </c>
      <c r="F273" s="12" t="s">
        <v>2450</v>
      </c>
      <c r="G273" s="12">
        <v>11</v>
      </c>
      <c r="H273" s="12">
        <v>0</v>
      </c>
      <c r="I273" s="12"/>
      <c r="J273" s="12" t="s">
        <v>2451</v>
      </c>
      <c r="K273" s="12" t="s">
        <v>2452</v>
      </c>
    </row>
    <row r="274" spans="1:11" x14ac:dyDescent="0.3">
      <c r="A274" s="12" t="s">
        <v>965</v>
      </c>
      <c r="B274" s="12" t="s">
        <v>2436</v>
      </c>
      <c r="C274" s="12" t="s">
        <v>2453</v>
      </c>
      <c r="D274" s="12"/>
      <c r="E274" s="12">
        <v>3</v>
      </c>
      <c r="F274" s="12" t="s">
        <v>2454</v>
      </c>
      <c r="G274" s="12">
        <v>22</v>
      </c>
      <c r="H274" s="12">
        <v>0</v>
      </c>
      <c r="I274" s="12"/>
      <c r="J274" s="12" t="s">
        <v>2455</v>
      </c>
      <c r="K274" s="12" t="s">
        <v>2456</v>
      </c>
    </row>
    <row r="275" spans="1:11" x14ac:dyDescent="0.3">
      <c r="A275" s="12" t="s">
        <v>965</v>
      </c>
      <c r="B275" s="12" t="s">
        <v>2436</v>
      </c>
      <c r="C275" s="12" t="s">
        <v>2457</v>
      </c>
      <c r="D275" s="12"/>
      <c r="E275" s="12">
        <v>3</v>
      </c>
      <c r="F275" s="12" t="s">
        <v>2458</v>
      </c>
      <c r="G275" s="12">
        <v>6</v>
      </c>
      <c r="H275" s="12">
        <v>0</v>
      </c>
      <c r="I275" s="12"/>
      <c r="J275" s="12" t="s">
        <v>2459</v>
      </c>
      <c r="K275" s="12" t="s">
        <v>2460</v>
      </c>
    </row>
    <row r="276" spans="1:11" x14ac:dyDescent="0.3">
      <c r="A276" s="12" t="s">
        <v>965</v>
      </c>
      <c r="B276" s="12" t="s">
        <v>2461</v>
      </c>
      <c r="C276" s="12" t="s">
        <v>2462</v>
      </c>
      <c r="D276" s="12"/>
      <c r="E276" s="12">
        <v>3</v>
      </c>
      <c r="F276" s="12" t="s">
        <v>2463</v>
      </c>
      <c r="G276" s="12">
        <v>6</v>
      </c>
      <c r="H276" s="12">
        <v>0</v>
      </c>
      <c r="I276" s="12"/>
      <c r="J276" s="12" t="s">
        <v>2464</v>
      </c>
      <c r="K276" s="12" t="s">
        <v>2465</v>
      </c>
    </row>
    <row r="277" spans="1:11" x14ac:dyDescent="0.3">
      <c r="A277" s="12" t="s">
        <v>965</v>
      </c>
      <c r="B277" s="12" t="s">
        <v>2461</v>
      </c>
      <c r="C277" s="12" t="s">
        <v>2466</v>
      </c>
      <c r="D277" s="12"/>
      <c r="E277" s="12">
        <v>3</v>
      </c>
      <c r="F277" s="12" t="s">
        <v>2467</v>
      </c>
      <c r="G277" s="12">
        <v>23</v>
      </c>
      <c r="H277" s="12">
        <v>0</v>
      </c>
      <c r="I277" s="12"/>
      <c r="J277" s="12" t="s">
        <v>2468</v>
      </c>
      <c r="K277" s="12" t="s">
        <v>2469</v>
      </c>
    </row>
    <row r="278" spans="1:11" x14ac:dyDescent="0.3">
      <c r="A278" s="12" t="s">
        <v>965</v>
      </c>
      <c r="B278" s="12" t="s">
        <v>2461</v>
      </c>
      <c r="C278" s="12" t="s">
        <v>2470</v>
      </c>
      <c r="D278" s="12"/>
      <c r="E278" s="12">
        <v>3</v>
      </c>
      <c r="F278" s="12" t="s">
        <v>2471</v>
      </c>
      <c r="G278" s="12">
        <v>317</v>
      </c>
      <c r="H278" s="12">
        <v>0</v>
      </c>
      <c r="I278" s="12"/>
      <c r="J278" s="12" t="s">
        <v>2472</v>
      </c>
      <c r="K278" s="12" t="s">
        <v>2473</v>
      </c>
    </row>
    <row r="279" spans="1:11" x14ac:dyDescent="0.3">
      <c r="A279" s="12" t="s">
        <v>965</v>
      </c>
      <c r="B279" s="12" t="s">
        <v>2474</v>
      </c>
      <c r="C279" s="12" t="s">
        <v>2475</v>
      </c>
      <c r="D279" s="12" t="s">
        <v>2476</v>
      </c>
      <c r="E279" s="12">
        <v>4</v>
      </c>
      <c r="F279" s="12" t="s">
        <v>2477</v>
      </c>
      <c r="G279" s="12">
        <v>2</v>
      </c>
      <c r="H279" s="12">
        <v>0</v>
      </c>
      <c r="I279" s="12"/>
      <c r="J279" s="12" t="s">
        <v>2478</v>
      </c>
      <c r="K279" s="12" t="s">
        <v>2479</v>
      </c>
    </row>
    <row r="280" spans="1:11" x14ac:dyDescent="0.3">
      <c r="A280" s="12" t="s">
        <v>965</v>
      </c>
      <c r="B280" s="12" t="s">
        <v>2474</v>
      </c>
      <c r="C280" s="12" t="s">
        <v>2475</v>
      </c>
      <c r="D280" s="12" t="s">
        <v>2480</v>
      </c>
      <c r="E280" s="12">
        <v>4</v>
      </c>
      <c r="F280" s="12" t="s">
        <v>2481</v>
      </c>
      <c r="G280" s="12">
        <v>1</v>
      </c>
      <c r="H280" s="12">
        <v>0</v>
      </c>
      <c r="I280" s="12"/>
      <c r="J280" s="12" t="s">
        <v>2482</v>
      </c>
      <c r="K280" s="12" t="s">
        <v>2483</v>
      </c>
    </row>
    <row r="281" spans="1:11" x14ac:dyDescent="0.3">
      <c r="A281" s="12" t="s">
        <v>965</v>
      </c>
      <c r="B281" s="12" t="s">
        <v>2474</v>
      </c>
      <c r="C281" s="12" t="s">
        <v>2475</v>
      </c>
      <c r="D281" s="12" t="s">
        <v>2484</v>
      </c>
      <c r="E281" s="12">
        <v>4</v>
      </c>
      <c r="F281" s="12" t="s">
        <v>2485</v>
      </c>
      <c r="G281" s="12">
        <v>9</v>
      </c>
      <c r="H281" s="12">
        <v>0</v>
      </c>
      <c r="I281" s="12"/>
      <c r="J281" s="12" t="s">
        <v>2486</v>
      </c>
      <c r="K281" s="12" t="s">
        <v>2487</v>
      </c>
    </row>
    <row r="282" spans="1:11" x14ac:dyDescent="0.3">
      <c r="A282" s="12" t="s">
        <v>965</v>
      </c>
      <c r="B282" s="12" t="s">
        <v>2474</v>
      </c>
      <c r="C282" s="12" t="s">
        <v>2475</v>
      </c>
      <c r="D282" s="12" t="s">
        <v>2488</v>
      </c>
      <c r="E282" s="12">
        <v>4</v>
      </c>
      <c r="F282" s="12" t="s">
        <v>2489</v>
      </c>
      <c r="G282" s="12">
        <v>6</v>
      </c>
      <c r="H282" s="12">
        <v>0</v>
      </c>
      <c r="I282" s="12"/>
      <c r="J282" s="12" t="s">
        <v>2490</v>
      </c>
      <c r="K282" s="12" t="s">
        <v>2491</v>
      </c>
    </row>
    <row r="283" spans="1:11" x14ac:dyDescent="0.3">
      <c r="A283" s="12" t="s">
        <v>965</v>
      </c>
      <c r="B283" s="12" t="s">
        <v>2492</v>
      </c>
      <c r="C283" s="12" t="s">
        <v>2493</v>
      </c>
      <c r="D283" s="12"/>
      <c r="E283" s="12">
        <v>3</v>
      </c>
      <c r="F283" s="12" t="s">
        <v>2494</v>
      </c>
      <c r="G283" s="12">
        <v>1249</v>
      </c>
      <c r="H283" s="12">
        <v>0</v>
      </c>
      <c r="I283" s="12"/>
      <c r="J283" s="12" t="s">
        <v>2495</v>
      </c>
      <c r="K283" s="12" t="s">
        <v>2496</v>
      </c>
    </row>
    <row r="284" spans="1:11" x14ac:dyDescent="0.3">
      <c r="A284" s="12" t="s">
        <v>965</v>
      </c>
      <c r="B284" s="12" t="s">
        <v>2492</v>
      </c>
      <c r="C284" s="12" t="s">
        <v>2497</v>
      </c>
      <c r="D284" s="12"/>
      <c r="E284" s="12">
        <v>3</v>
      </c>
      <c r="F284" s="12" t="s">
        <v>2498</v>
      </c>
      <c r="G284" s="12">
        <v>1002</v>
      </c>
      <c r="H284" s="12">
        <v>0</v>
      </c>
      <c r="I284" s="12"/>
      <c r="J284" s="12" t="s">
        <v>2499</v>
      </c>
      <c r="K284" s="12" t="s">
        <v>2500</v>
      </c>
    </row>
    <row r="285" spans="1:11" x14ac:dyDescent="0.3">
      <c r="A285" s="12" t="s">
        <v>965</v>
      </c>
      <c r="B285" s="12" t="s">
        <v>2492</v>
      </c>
      <c r="C285" s="12" t="s">
        <v>2501</v>
      </c>
      <c r="D285" s="12"/>
      <c r="E285" s="12">
        <v>3</v>
      </c>
      <c r="F285" s="12" t="s">
        <v>2502</v>
      </c>
      <c r="G285" s="12">
        <v>3198</v>
      </c>
      <c r="H285" s="12">
        <v>0</v>
      </c>
      <c r="I285" s="12"/>
      <c r="J285" s="12" t="s">
        <v>2503</v>
      </c>
      <c r="K285" s="12" t="s">
        <v>2504</v>
      </c>
    </row>
    <row r="286" spans="1:11" x14ac:dyDescent="0.3">
      <c r="A286" s="12" t="s">
        <v>965</v>
      </c>
      <c r="B286" s="12" t="s">
        <v>2505</v>
      </c>
      <c r="C286" s="12"/>
      <c r="D286" s="12"/>
      <c r="E286" s="12">
        <v>2</v>
      </c>
      <c r="F286" s="12" t="s">
        <v>2506</v>
      </c>
      <c r="G286" s="12">
        <v>100</v>
      </c>
      <c r="H286" s="12">
        <v>0</v>
      </c>
      <c r="I286" s="12"/>
      <c r="J286" s="12" t="s">
        <v>2507</v>
      </c>
      <c r="K286" s="12" t="s">
        <v>2508</v>
      </c>
    </row>
    <row r="287" spans="1:11" x14ac:dyDescent="0.3">
      <c r="A287" s="12" t="s">
        <v>965</v>
      </c>
      <c r="B287" s="12" t="s">
        <v>966</v>
      </c>
      <c r="C287" s="12" t="s">
        <v>2509</v>
      </c>
      <c r="D287" s="12"/>
      <c r="E287" s="12">
        <v>3</v>
      </c>
      <c r="F287" s="12" t="s">
        <v>2510</v>
      </c>
      <c r="G287" s="12">
        <v>111</v>
      </c>
      <c r="H287" s="12">
        <v>0</v>
      </c>
      <c r="I287" s="12"/>
      <c r="J287" s="12" t="s">
        <v>2511</v>
      </c>
      <c r="K287" s="12" t="s">
        <v>2512</v>
      </c>
    </row>
    <row r="288" spans="1:11" x14ac:dyDescent="0.3">
      <c r="A288" s="12" t="s">
        <v>965</v>
      </c>
      <c r="B288" s="12" t="s">
        <v>966</v>
      </c>
      <c r="C288" s="12" t="s">
        <v>967</v>
      </c>
      <c r="D288" s="12"/>
      <c r="E288" s="12">
        <v>3</v>
      </c>
      <c r="F288" s="12" t="s">
        <v>968</v>
      </c>
      <c r="G288" s="12">
        <v>639</v>
      </c>
      <c r="H288" s="12">
        <v>0</v>
      </c>
      <c r="I288" s="3" t="s">
        <v>963</v>
      </c>
      <c r="J288" s="12" t="s">
        <v>964</v>
      </c>
      <c r="K288" s="12" t="s">
        <v>2513</v>
      </c>
    </row>
    <row r="289" spans="1:11" x14ac:dyDescent="0.3">
      <c r="A289" s="12" t="s">
        <v>965</v>
      </c>
      <c r="B289" s="12" t="s">
        <v>2514</v>
      </c>
      <c r="C289" s="12" t="s">
        <v>2515</v>
      </c>
      <c r="D289" s="12" t="s">
        <v>2516</v>
      </c>
      <c r="E289" s="12">
        <v>4</v>
      </c>
      <c r="F289" s="12" t="s">
        <v>2517</v>
      </c>
      <c r="G289" s="12">
        <v>47</v>
      </c>
      <c r="H289" s="12">
        <v>0</v>
      </c>
      <c r="I289" s="12"/>
      <c r="J289" s="12" t="s">
        <v>2518</v>
      </c>
      <c r="K289" s="12" t="s">
        <v>2519</v>
      </c>
    </row>
    <row r="290" spans="1:11" x14ac:dyDescent="0.3">
      <c r="A290" s="12" t="s">
        <v>965</v>
      </c>
      <c r="B290" s="12" t="s">
        <v>2514</v>
      </c>
      <c r="C290" s="12" t="s">
        <v>2515</v>
      </c>
      <c r="D290" s="12" t="s">
        <v>2520</v>
      </c>
      <c r="E290" s="12">
        <v>4</v>
      </c>
      <c r="F290" s="12" t="s">
        <v>2521</v>
      </c>
      <c r="G290" s="12">
        <v>8</v>
      </c>
      <c r="H290" s="12">
        <v>0</v>
      </c>
      <c r="I290" s="12"/>
      <c r="J290" s="12" t="s">
        <v>2522</v>
      </c>
      <c r="K290" s="12" t="s">
        <v>2523</v>
      </c>
    </row>
    <row r="291" spans="1:11" x14ac:dyDescent="0.3">
      <c r="A291" s="12" t="s">
        <v>965</v>
      </c>
      <c r="B291" s="12" t="s">
        <v>2514</v>
      </c>
      <c r="C291" s="12" t="s">
        <v>2515</v>
      </c>
      <c r="D291" s="12" t="s">
        <v>2524</v>
      </c>
      <c r="E291" s="12">
        <v>4</v>
      </c>
      <c r="F291" s="12" t="s">
        <v>2525</v>
      </c>
      <c r="G291" s="12">
        <v>5</v>
      </c>
      <c r="H291" s="12">
        <v>0</v>
      </c>
      <c r="I291" s="12"/>
      <c r="J291" s="12" t="s">
        <v>2526</v>
      </c>
      <c r="K291" s="12" t="s">
        <v>2527</v>
      </c>
    </row>
    <row r="292" spans="1:11" x14ac:dyDescent="0.3">
      <c r="A292" s="12" t="s">
        <v>965</v>
      </c>
      <c r="B292" s="12" t="s">
        <v>2514</v>
      </c>
      <c r="C292" s="12" t="s">
        <v>2528</v>
      </c>
      <c r="D292" s="12" t="s">
        <v>2529</v>
      </c>
      <c r="E292" s="12">
        <v>4</v>
      </c>
      <c r="F292" s="12" t="s">
        <v>2530</v>
      </c>
      <c r="G292" s="12">
        <v>8</v>
      </c>
      <c r="H292" s="12">
        <v>0</v>
      </c>
      <c r="I292" s="12"/>
      <c r="J292" s="12" t="s">
        <v>2531</v>
      </c>
      <c r="K292" s="12" t="s">
        <v>2532</v>
      </c>
    </row>
    <row r="293" spans="1:11" x14ac:dyDescent="0.3">
      <c r="A293" s="12" t="s">
        <v>965</v>
      </c>
      <c r="B293" s="12" t="s">
        <v>2514</v>
      </c>
      <c r="C293" s="12" t="s">
        <v>2528</v>
      </c>
      <c r="D293" s="12" t="s">
        <v>2533</v>
      </c>
      <c r="E293" s="12">
        <v>4</v>
      </c>
      <c r="F293" s="12" t="s">
        <v>2534</v>
      </c>
      <c r="G293" s="12">
        <v>1</v>
      </c>
      <c r="H293" s="12">
        <v>0</v>
      </c>
      <c r="I293" s="12"/>
      <c r="J293" s="12" t="s">
        <v>2535</v>
      </c>
      <c r="K293" s="12" t="s">
        <v>2536</v>
      </c>
    </row>
    <row r="294" spans="1:11" x14ac:dyDescent="0.3">
      <c r="A294" s="12" t="s">
        <v>965</v>
      </c>
      <c r="B294" s="12" t="s">
        <v>2514</v>
      </c>
      <c r="C294" s="12" t="s">
        <v>2528</v>
      </c>
      <c r="D294" s="12" t="s">
        <v>2537</v>
      </c>
      <c r="E294" s="12">
        <v>4</v>
      </c>
      <c r="F294" s="12" t="s">
        <v>2538</v>
      </c>
      <c r="G294" s="12">
        <v>13</v>
      </c>
      <c r="H294" s="12">
        <v>0</v>
      </c>
      <c r="I294" s="12"/>
      <c r="J294" s="12" t="s">
        <v>2539</v>
      </c>
      <c r="K294" s="12" t="s">
        <v>2540</v>
      </c>
    </row>
    <row r="295" spans="1:11" x14ac:dyDescent="0.3">
      <c r="A295" s="12" t="s">
        <v>965</v>
      </c>
      <c r="B295" s="12" t="s">
        <v>2514</v>
      </c>
      <c r="C295" s="12" t="s">
        <v>2541</v>
      </c>
      <c r="D295" s="12" t="s">
        <v>2542</v>
      </c>
      <c r="E295" s="12">
        <v>4</v>
      </c>
      <c r="F295" s="12" t="s">
        <v>2543</v>
      </c>
      <c r="G295" s="12">
        <v>3</v>
      </c>
      <c r="H295" s="12">
        <v>0</v>
      </c>
      <c r="I295" s="12"/>
      <c r="J295" s="12" t="s">
        <v>2544</v>
      </c>
      <c r="K295" s="12" t="s">
        <v>2545</v>
      </c>
    </row>
    <row r="296" spans="1:11" x14ac:dyDescent="0.3">
      <c r="A296" s="12" t="s">
        <v>965</v>
      </c>
      <c r="B296" s="12" t="s">
        <v>2514</v>
      </c>
      <c r="C296" s="12" t="s">
        <v>2541</v>
      </c>
      <c r="D296" s="12" t="s">
        <v>2546</v>
      </c>
      <c r="E296" s="12">
        <v>4</v>
      </c>
      <c r="F296" s="12" t="s">
        <v>2547</v>
      </c>
      <c r="G296" s="12">
        <v>14</v>
      </c>
      <c r="H296" s="12">
        <v>0</v>
      </c>
      <c r="I296" s="12"/>
      <c r="J296" s="12" t="s">
        <v>2548</v>
      </c>
      <c r="K296" s="12" t="s">
        <v>2549</v>
      </c>
    </row>
    <row r="297" spans="1:11" x14ac:dyDescent="0.3">
      <c r="A297" s="12" t="s">
        <v>965</v>
      </c>
      <c r="B297" s="12" t="s">
        <v>2550</v>
      </c>
      <c r="C297" s="12" t="s">
        <v>2551</v>
      </c>
      <c r="D297" s="12" t="s">
        <v>2552</v>
      </c>
      <c r="E297" s="12">
        <v>4</v>
      </c>
      <c r="F297" s="12" t="s">
        <v>2553</v>
      </c>
      <c r="G297" s="12">
        <v>85</v>
      </c>
      <c r="H297" s="12">
        <v>0</v>
      </c>
      <c r="I297" s="12"/>
      <c r="J297" s="12" t="s">
        <v>2554</v>
      </c>
      <c r="K297" s="12" t="s">
        <v>2555</v>
      </c>
    </row>
    <row r="298" spans="1:11" x14ac:dyDescent="0.3">
      <c r="A298" s="12" t="s">
        <v>965</v>
      </c>
      <c r="B298" s="12" t="s">
        <v>2550</v>
      </c>
      <c r="C298" s="12" t="s">
        <v>2551</v>
      </c>
      <c r="D298" s="12" t="s">
        <v>2556</v>
      </c>
      <c r="E298" s="12">
        <v>4</v>
      </c>
      <c r="F298" s="12" t="s">
        <v>2557</v>
      </c>
      <c r="G298" s="12">
        <v>7</v>
      </c>
      <c r="H298" s="12">
        <v>0</v>
      </c>
      <c r="I298" s="12"/>
      <c r="J298" s="12" t="s">
        <v>2558</v>
      </c>
      <c r="K298" s="12" t="s">
        <v>2559</v>
      </c>
    </row>
    <row r="299" spans="1:11" x14ac:dyDescent="0.3">
      <c r="A299" s="12" t="s">
        <v>965</v>
      </c>
      <c r="B299" s="12" t="s">
        <v>2550</v>
      </c>
      <c r="C299" s="12" t="s">
        <v>2551</v>
      </c>
      <c r="D299" s="12" t="s">
        <v>2560</v>
      </c>
      <c r="E299" s="12">
        <v>4</v>
      </c>
      <c r="F299" s="12" t="s">
        <v>2561</v>
      </c>
      <c r="G299" s="12">
        <v>8</v>
      </c>
      <c r="H299" s="12">
        <v>0</v>
      </c>
      <c r="I299" s="12"/>
      <c r="J299" s="12" t="s">
        <v>2562</v>
      </c>
      <c r="K299" s="12" t="s">
        <v>2563</v>
      </c>
    </row>
    <row r="300" spans="1:11" x14ac:dyDescent="0.3">
      <c r="A300" s="12" t="s">
        <v>965</v>
      </c>
      <c r="B300" s="12" t="s">
        <v>2550</v>
      </c>
      <c r="C300" s="12" t="s">
        <v>2551</v>
      </c>
      <c r="D300" s="12" t="s">
        <v>2564</v>
      </c>
      <c r="E300" s="12">
        <v>4</v>
      </c>
      <c r="F300" s="12" t="s">
        <v>2565</v>
      </c>
      <c r="G300" s="12">
        <v>2</v>
      </c>
      <c r="H300" s="12">
        <v>0</v>
      </c>
      <c r="I300" s="12"/>
      <c r="J300" s="12" t="s">
        <v>2566</v>
      </c>
      <c r="K300" s="12" t="s">
        <v>2567</v>
      </c>
    </row>
    <row r="301" spans="1:11" x14ac:dyDescent="0.3">
      <c r="A301" s="12" t="s">
        <v>965</v>
      </c>
      <c r="B301" s="12" t="s">
        <v>2550</v>
      </c>
      <c r="C301" s="12" t="s">
        <v>2551</v>
      </c>
      <c r="D301" s="12" t="s">
        <v>2568</v>
      </c>
      <c r="E301" s="12">
        <v>4</v>
      </c>
      <c r="F301" s="12" t="s">
        <v>2569</v>
      </c>
      <c r="G301" s="12">
        <v>21</v>
      </c>
      <c r="H301" s="12">
        <v>0</v>
      </c>
      <c r="I301" s="12"/>
      <c r="J301" s="12" t="s">
        <v>2570</v>
      </c>
      <c r="K301" s="12" t="s">
        <v>2571</v>
      </c>
    </row>
    <row r="302" spans="1:11" x14ac:dyDescent="0.3">
      <c r="A302" s="12" t="s">
        <v>965</v>
      </c>
      <c r="B302" s="12" t="s">
        <v>2550</v>
      </c>
      <c r="C302" s="12" t="s">
        <v>2551</v>
      </c>
      <c r="D302" s="12" t="s">
        <v>2572</v>
      </c>
      <c r="E302" s="12">
        <v>4</v>
      </c>
      <c r="F302" s="12" t="s">
        <v>2573</v>
      </c>
      <c r="G302" s="12">
        <v>4</v>
      </c>
      <c r="H302" s="12">
        <v>0</v>
      </c>
      <c r="I302" s="12"/>
      <c r="J302" s="12" t="s">
        <v>2574</v>
      </c>
      <c r="K302" s="12" t="s">
        <v>2575</v>
      </c>
    </row>
    <row r="303" spans="1:11" x14ac:dyDescent="0.3">
      <c r="A303" s="12" t="s">
        <v>965</v>
      </c>
      <c r="B303" s="12" t="s">
        <v>2550</v>
      </c>
      <c r="C303" s="12" t="s">
        <v>2551</v>
      </c>
      <c r="D303" s="12" t="s">
        <v>2576</v>
      </c>
      <c r="E303" s="12">
        <v>4</v>
      </c>
      <c r="F303" s="12" t="s">
        <v>2577</v>
      </c>
      <c r="G303" s="12">
        <v>39</v>
      </c>
      <c r="H303" s="12">
        <v>0</v>
      </c>
      <c r="I303" s="12"/>
      <c r="J303" s="12" t="s">
        <v>2578</v>
      </c>
      <c r="K303" s="12" t="s">
        <v>2579</v>
      </c>
    </row>
    <row r="304" spans="1:11" x14ac:dyDescent="0.3">
      <c r="A304" s="12" t="s">
        <v>965</v>
      </c>
      <c r="B304" s="12" t="s">
        <v>2550</v>
      </c>
      <c r="C304" s="12" t="s">
        <v>2551</v>
      </c>
      <c r="D304" s="12" t="s">
        <v>2580</v>
      </c>
      <c r="E304" s="12">
        <v>4</v>
      </c>
      <c r="F304" s="12" t="s">
        <v>2581</v>
      </c>
      <c r="G304" s="12">
        <v>42</v>
      </c>
      <c r="H304" s="12">
        <v>0</v>
      </c>
      <c r="I304" s="12"/>
      <c r="J304" s="12" t="s">
        <v>2582</v>
      </c>
      <c r="K304" s="12" t="s">
        <v>2583</v>
      </c>
    </row>
    <row r="305" spans="1:11" x14ac:dyDescent="0.3">
      <c r="A305" s="12" t="s">
        <v>965</v>
      </c>
      <c r="B305" s="12" t="s">
        <v>2550</v>
      </c>
      <c r="C305" s="12" t="s">
        <v>2551</v>
      </c>
      <c r="D305" s="12" t="s">
        <v>2584</v>
      </c>
      <c r="E305" s="12">
        <v>4</v>
      </c>
      <c r="F305" s="12" t="s">
        <v>2585</v>
      </c>
      <c r="G305" s="12">
        <v>27</v>
      </c>
      <c r="H305" s="12">
        <v>0</v>
      </c>
      <c r="I305" s="12"/>
      <c r="J305" s="12" t="s">
        <v>2586</v>
      </c>
      <c r="K305" s="12" t="s">
        <v>2587</v>
      </c>
    </row>
    <row r="306" spans="1:11" x14ac:dyDescent="0.3">
      <c r="A306" s="12" t="s">
        <v>965</v>
      </c>
      <c r="B306" s="12" t="s">
        <v>2550</v>
      </c>
      <c r="C306" s="12" t="s">
        <v>2551</v>
      </c>
      <c r="D306" s="12" t="s">
        <v>2588</v>
      </c>
      <c r="E306" s="12">
        <v>4</v>
      </c>
      <c r="F306" s="12" t="s">
        <v>2589</v>
      </c>
      <c r="G306" s="12">
        <v>17</v>
      </c>
      <c r="H306" s="12">
        <v>0</v>
      </c>
      <c r="I306" s="12"/>
      <c r="J306" s="12" t="s">
        <v>2590</v>
      </c>
      <c r="K306" s="12" t="s">
        <v>2591</v>
      </c>
    </row>
    <row r="307" spans="1:11" x14ac:dyDescent="0.3">
      <c r="A307" s="12" t="s">
        <v>965</v>
      </c>
      <c r="B307" s="12" t="s">
        <v>2550</v>
      </c>
      <c r="C307" s="12" t="s">
        <v>2551</v>
      </c>
      <c r="D307" s="12" t="s">
        <v>2592</v>
      </c>
      <c r="E307" s="12">
        <v>4</v>
      </c>
      <c r="F307" s="12" t="s">
        <v>2593</v>
      </c>
      <c r="G307" s="12">
        <v>27</v>
      </c>
      <c r="H307" s="12">
        <v>0</v>
      </c>
      <c r="I307" s="12"/>
      <c r="J307" s="12" t="s">
        <v>2594</v>
      </c>
      <c r="K307" s="12" t="s">
        <v>2595</v>
      </c>
    </row>
    <row r="308" spans="1:11" x14ac:dyDescent="0.3">
      <c r="A308" s="12" t="s">
        <v>965</v>
      </c>
      <c r="B308" s="12" t="s">
        <v>2550</v>
      </c>
      <c r="C308" s="12" t="s">
        <v>2596</v>
      </c>
      <c r="D308" s="12" t="s">
        <v>2597</v>
      </c>
      <c r="E308" s="12">
        <v>4</v>
      </c>
      <c r="F308" s="12" t="s">
        <v>2598</v>
      </c>
      <c r="G308" s="12">
        <v>13</v>
      </c>
      <c r="H308" s="12">
        <v>0</v>
      </c>
      <c r="I308" s="12"/>
      <c r="J308" s="12" t="s">
        <v>2599</v>
      </c>
      <c r="K308" s="12" t="s">
        <v>2600</v>
      </c>
    </row>
    <row r="309" spans="1:11" x14ac:dyDescent="0.3">
      <c r="A309" s="12" t="s">
        <v>965</v>
      </c>
      <c r="B309" s="12" t="s">
        <v>2550</v>
      </c>
      <c r="C309" s="12" t="s">
        <v>2596</v>
      </c>
      <c r="D309" s="12" t="s">
        <v>2601</v>
      </c>
      <c r="E309" s="12">
        <v>4</v>
      </c>
      <c r="F309" s="12" t="s">
        <v>2602</v>
      </c>
      <c r="G309" s="12">
        <v>25</v>
      </c>
      <c r="H309" s="12">
        <v>0</v>
      </c>
      <c r="I309" s="12"/>
      <c r="J309" s="12" t="s">
        <v>2603</v>
      </c>
      <c r="K309" s="12" t="s">
        <v>2604</v>
      </c>
    </row>
    <row r="310" spans="1:11" x14ac:dyDescent="0.3">
      <c r="A310" s="12" t="s">
        <v>965</v>
      </c>
      <c r="B310" s="12" t="s">
        <v>2550</v>
      </c>
      <c r="C310" s="12" t="s">
        <v>2596</v>
      </c>
      <c r="D310" s="12" t="s">
        <v>2605</v>
      </c>
      <c r="E310" s="12">
        <v>4</v>
      </c>
      <c r="F310" s="12" t="s">
        <v>2606</v>
      </c>
      <c r="G310" s="12">
        <v>7</v>
      </c>
      <c r="H310" s="12">
        <v>0</v>
      </c>
      <c r="I310" s="12"/>
      <c r="J310" s="12" t="s">
        <v>2607</v>
      </c>
      <c r="K310" s="12" t="s">
        <v>2608</v>
      </c>
    </row>
    <row r="311" spans="1:11" x14ac:dyDescent="0.3">
      <c r="A311" s="12" t="s">
        <v>965</v>
      </c>
      <c r="B311" s="12" t="s">
        <v>2550</v>
      </c>
      <c r="C311" s="12" t="s">
        <v>2596</v>
      </c>
      <c r="D311" s="12" t="s">
        <v>2609</v>
      </c>
      <c r="E311" s="12">
        <v>4</v>
      </c>
      <c r="F311" s="12" t="s">
        <v>2610</v>
      </c>
      <c r="G311" s="12">
        <v>1</v>
      </c>
      <c r="H311" s="12">
        <v>0</v>
      </c>
      <c r="I311" s="12"/>
      <c r="J311" s="12" t="s">
        <v>2611</v>
      </c>
      <c r="K311" s="12" t="s">
        <v>2612</v>
      </c>
    </row>
    <row r="312" spans="1:11" x14ac:dyDescent="0.3">
      <c r="A312" s="12" t="s">
        <v>965</v>
      </c>
      <c r="B312" s="12" t="s">
        <v>2550</v>
      </c>
      <c r="C312" s="12" t="s">
        <v>2596</v>
      </c>
      <c r="D312" s="12" t="s">
        <v>2613</v>
      </c>
      <c r="E312" s="12">
        <v>4</v>
      </c>
      <c r="F312" s="12" t="s">
        <v>2614</v>
      </c>
      <c r="G312" s="12">
        <v>41</v>
      </c>
      <c r="H312" s="12">
        <v>0</v>
      </c>
      <c r="I312" s="12"/>
      <c r="J312" s="12" t="s">
        <v>2615</v>
      </c>
      <c r="K312" s="12" t="s">
        <v>2616</v>
      </c>
    </row>
    <row r="313" spans="1:11" x14ac:dyDescent="0.3">
      <c r="A313" s="12" t="s">
        <v>965</v>
      </c>
      <c r="B313" s="12" t="s">
        <v>2550</v>
      </c>
      <c r="C313" s="12" t="s">
        <v>2617</v>
      </c>
      <c r="D313" s="12" t="s">
        <v>2618</v>
      </c>
      <c r="E313" s="12">
        <v>4</v>
      </c>
      <c r="F313" s="12" t="s">
        <v>2619</v>
      </c>
      <c r="G313" s="12">
        <v>10</v>
      </c>
      <c r="H313" s="12">
        <v>0</v>
      </c>
      <c r="I313" s="12"/>
      <c r="J313" s="12" t="s">
        <v>2620</v>
      </c>
      <c r="K313" s="12" t="s">
        <v>2621</v>
      </c>
    </row>
    <row r="314" spans="1:11" x14ac:dyDescent="0.3">
      <c r="A314" s="12" t="s">
        <v>965</v>
      </c>
      <c r="B314" s="12" t="s">
        <v>2550</v>
      </c>
      <c r="C314" s="12" t="s">
        <v>2617</v>
      </c>
      <c r="D314" s="12" t="s">
        <v>2622</v>
      </c>
      <c r="E314" s="12">
        <v>4</v>
      </c>
      <c r="F314" s="12" t="s">
        <v>2623</v>
      </c>
      <c r="G314" s="12">
        <v>17</v>
      </c>
      <c r="H314" s="12">
        <v>0</v>
      </c>
      <c r="I314" s="12"/>
      <c r="J314" s="12" t="s">
        <v>2624</v>
      </c>
      <c r="K314" s="12" t="s">
        <v>2625</v>
      </c>
    </row>
    <row r="315" spans="1:11" x14ac:dyDescent="0.3">
      <c r="A315" s="12" t="s">
        <v>965</v>
      </c>
      <c r="B315" s="12" t="s">
        <v>2550</v>
      </c>
      <c r="C315" s="12" t="s">
        <v>2617</v>
      </c>
      <c r="D315" s="12" t="s">
        <v>2626</v>
      </c>
      <c r="E315" s="12">
        <v>4</v>
      </c>
      <c r="F315" s="12" t="s">
        <v>2627</v>
      </c>
      <c r="G315" s="12">
        <v>1</v>
      </c>
      <c r="H315" s="12">
        <v>0</v>
      </c>
      <c r="I315" s="12"/>
      <c r="J315" s="12" t="s">
        <v>2628</v>
      </c>
      <c r="K315" s="12" t="s">
        <v>2629</v>
      </c>
    </row>
    <row r="316" spans="1:11" x14ac:dyDescent="0.3">
      <c r="A316" s="12" t="s">
        <v>965</v>
      </c>
      <c r="B316" s="12" t="s">
        <v>2550</v>
      </c>
      <c r="C316" s="12" t="s">
        <v>2617</v>
      </c>
      <c r="D316" s="12" t="s">
        <v>2630</v>
      </c>
      <c r="E316" s="12">
        <v>4</v>
      </c>
      <c r="F316" s="12" t="s">
        <v>2631</v>
      </c>
      <c r="G316" s="12">
        <v>9</v>
      </c>
      <c r="H316" s="12">
        <v>0</v>
      </c>
      <c r="I316" s="12"/>
      <c r="J316" s="12" t="s">
        <v>2632</v>
      </c>
      <c r="K316" s="12" t="s">
        <v>2633</v>
      </c>
    </row>
    <row r="317" spans="1:11" x14ac:dyDescent="0.3">
      <c r="A317" s="12" t="s">
        <v>965</v>
      </c>
      <c r="B317" s="12" t="s">
        <v>2550</v>
      </c>
      <c r="C317" s="12" t="s">
        <v>2617</v>
      </c>
      <c r="D317" s="12" t="s">
        <v>2634</v>
      </c>
      <c r="E317" s="12">
        <v>4</v>
      </c>
      <c r="F317" s="12" t="s">
        <v>2635</v>
      </c>
      <c r="G317" s="12">
        <v>1</v>
      </c>
      <c r="H317" s="12">
        <v>0</v>
      </c>
      <c r="I317" s="12"/>
      <c r="J317" s="12" t="s">
        <v>2636</v>
      </c>
      <c r="K317" s="12" t="s">
        <v>2637</v>
      </c>
    </row>
    <row r="318" spans="1:11" x14ac:dyDescent="0.3">
      <c r="A318" s="12" t="s">
        <v>965</v>
      </c>
      <c r="B318" s="12" t="s">
        <v>2550</v>
      </c>
      <c r="C318" s="12" t="s">
        <v>2638</v>
      </c>
      <c r="D318" s="12" t="s">
        <v>2639</v>
      </c>
      <c r="E318" s="12">
        <v>4</v>
      </c>
      <c r="F318" s="12" t="s">
        <v>2640</v>
      </c>
      <c r="G318" s="12">
        <v>22</v>
      </c>
      <c r="H318" s="12">
        <v>0</v>
      </c>
      <c r="I318" s="12"/>
      <c r="J318" s="12" t="s">
        <v>2641</v>
      </c>
      <c r="K318" s="12" t="s">
        <v>2642</v>
      </c>
    </row>
    <row r="319" spans="1:11" x14ac:dyDescent="0.3">
      <c r="A319" s="12" t="s">
        <v>965</v>
      </c>
      <c r="B319" s="12" t="s">
        <v>2550</v>
      </c>
      <c r="C319" s="12" t="s">
        <v>2638</v>
      </c>
      <c r="D319" s="12" t="s">
        <v>2643</v>
      </c>
      <c r="E319" s="12">
        <v>4</v>
      </c>
      <c r="F319" s="12" t="s">
        <v>2644</v>
      </c>
      <c r="G319" s="12">
        <v>10</v>
      </c>
      <c r="H319" s="12">
        <v>0</v>
      </c>
      <c r="I319" s="12"/>
      <c r="J319" s="12" t="s">
        <v>2645</v>
      </c>
      <c r="K319" s="12" t="s">
        <v>2646</v>
      </c>
    </row>
    <row r="320" spans="1:11" x14ac:dyDescent="0.3">
      <c r="A320" s="12" t="s">
        <v>965</v>
      </c>
      <c r="B320" s="12" t="s">
        <v>2550</v>
      </c>
      <c r="C320" s="12" t="s">
        <v>2638</v>
      </c>
      <c r="D320" s="12" t="s">
        <v>2647</v>
      </c>
      <c r="E320" s="12">
        <v>4</v>
      </c>
      <c r="F320" s="12" t="s">
        <v>2648</v>
      </c>
      <c r="G320" s="12">
        <v>4</v>
      </c>
      <c r="H320" s="12">
        <v>0</v>
      </c>
      <c r="I320" s="12"/>
      <c r="J320" s="12" t="s">
        <v>2649</v>
      </c>
      <c r="K320" s="12" t="s">
        <v>2650</v>
      </c>
    </row>
    <row r="321" spans="1:11" x14ac:dyDescent="0.3">
      <c r="A321" s="12" t="s">
        <v>965</v>
      </c>
      <c r="B321" s="12" t="s">
        <v>2651</v>
      </c>
      <c r="C321" s="12" t="s">
        <v>2652</v>
      </c>
      <c r="D321" s="12" t="s">
        <v>2653</v>
      </c>
      <c r="E321" s="12">
        <v>4</v>
      </c>
      <c r="F321" s="12" t="s">
        <v>2654</v>
      </c>
      <c r="G321" s="12">
        <v>162</v>
      </c>
      <c r="H321" s="12">
        <v>0</v>
      </c>
      <c r="I321" s="12"/>
      <c r="J321" s="12" t="s">
        <v>2655</v>
      </c>
      <c r="K321" s="12" t="s">
        <v>2656</v>
      </c>
    </row>
    <row r="322" spans="1:11" x14ac:dyDescent="0.3">
      <c r="A322" s="12" t="s">
        <v>965</v>
      </c>
      <c r="B322" s="12" t="s">
        <v>2651</v>
      </c>
      <c r="C322" s="12" t="s">
        <v>2657</v>
      </c>
      <c r="D322" s="12" t="s">
        <v>2658</v>
      </c>
      <c r="E322" s="12">
        <v>4</v>
      </c>
      <c r="F322" s="12" t="s">
        <v>2659</v>
      </c>
      <c r="G322" s="12">
        <v>1</v>
      </c>
      <c r="H322" s="12">
        <v>0</v>
      </c>
      <c r="I322" s="12"/>
      <c r="J322" s="12" t="s">
        <v>2660</v>
      </c>
      <c r="K322" s="12" t="s">
        <v>2661</v>
      </c>
    </row>
    <row r="323" spans="1:11" x14ac:dyDescent="0.3">
      <c r="A323" s="12" t="s">
        <v>965</v>
      </c>
      <c r="B323" s="12" t="s">
        <v>2651</v>
      </c>
      <c r="C323" s="12" t="s">
        <v>2657</v>
      </c>
      <c r="D323" s="12" t="s">
        <v>2662</v>
      </c>
      <c r="E323" s="12">
        <v>4</v>
      </c>
      <c r="F323" s="12" t="s">
        <v>2663</v>
      </c>
      <c r="G323" s="12">
        <v>1</v>
      </c>
      <c r="H323" s="12">
        <v>0</v>
      </c>
      <c r="I323" s="12"/>
      <c r="J323" s="12" t="s">
        <v>2664</v>
      </c>
      <c r="K323" s="12" t="s">
        <v>2665</v>
      </c>
    </row>
    <row r="324" spans="1:11" x14ac:dyDescent="0.3">
      <c r="A324" s="12" t="s">
        <v>965</v>
      </c>
      <c r="B324" s="12" t="s">
        <v>2651</v>
      </c>
      <c r="C324" s="12" t="s">
        <v>2657</v>
      </c>
      <c r="D324" s="12" t="s">
        <v>2666</v>
      </c>
      <c r="E324" s="12">
        <v>4</v>
      </c>
      <c r="F324" s="12" t="s">
        <v>2667</v>
      </c>
      <c r="G324" s="12">
        <v>11</v>
      </c>
      <c r="H324" s="12">
        <v>0</v>
      </c>
      <c r="I324" s="12"/>
      <c r="J324" s="12" t="s">
        <v>2668</v>
      </c>
      <c r="K324" s="12" t="s">
        <v>2669</v>
      </c>
    </row>
    <row r="325" spans="1:11" x14ac:dyDescent="0.3">
      <c r="A325" s="12" t="s">
        <v>965</v>
      </c>
      <c r="B325" s="12" t="s">
        <v>2651</v>
      </c>
      <c r="C325" s="12" t="s">
        <v>2670</v>
      </c>
      <c r="D325" s="12" t="s">
        <v>2671</v>
      </c>
      <c r="E325" s="12">
        <v>4</v>
      </c>
      <c r="F325" s="12" t="s">
        <v>2672</v>
      </c>
      <c r="G325" s="12">
        <v>6</v>
      </c>
      <c r="H325" s="12">
        <v>0</v>
      </c>
      <c r="I325" s="12"/>
      <c r="J325" s="12" t="s">
        <v>2673</v>
      </c>
      <c r="K325" s="12" t="s">
        <v>2674</v>
      </c>
    </row>
    <row r="326" spans="1:11" x14ac:dyDescent="0.3">
      <c r="A326" s="12" t="s">
        <v>965</v>
      </c>
      <c r="B326" s="12" t="s">
        <v>2651</v>
      </c>
      <c r="C326" s="12" t="s">
        <v>2670</v>
      </c>
      <c r="D326" s="12" t="s">
        <v>2675</v>
      </c>
      <c r="E326" s="12">
        <v>4</v>
      </c>
      <c r="F326" s="12" t="s">
        <v>2676</v>
      </c>
      <c r="G326" s="12">
        <v>3</v>
      </c>
      <c r="H326" s="12">
        <v>0</v>
      </c>
      <c r="I326" s="12"/>
      <c r="J326" s="12" t="s">
        <v>2677</v>
      </c>
      <c r="K326" s="12" t="s">
        <v>2678</v>
      </c>
    </row>
    <row r="327" spans="1:11" x14ac:dyDescent="0.3">
      <c r="A327" s="12" t="s">
        <v>965</v>
      </c>
      <c r="B327" s="12" t="s">
        <v>2651</v>
      </c>
      <c r="C327" s="12" t="s">
        <v>2670</v>
      </c>
      <c r="D327" s="12" t="s">
        <v>2679</v>
      </c>
      <c r="E327" s="12">
        <v>4</v>
      </c>
      <c r="F327" s="12" t="s">
        <v>2680</v>
      </c>
      <c r="G327" s="12">
        <v>23</v>
      </c>
      <c r="H327" s="12">
        <v>0</v>
      </c>
      <c r="I327" s="12"/>
      <c r="J327" s="12" t="s">
        <v>2681</v>
      </c>
      <c r="K327" s="12" t="s">
        <v>2682</v>
      </c>
    </row>
    <row r="328" spans="1:11" x14ac:dyDescent="0.3">
      <c r="A328" s="12" t="s">
        <v>965</v>
      </c>
      <c r="B328" s="12" t="s">
        <v>2651</v>
      </c>
      <c r="C328" s="12" t="s">
        <v>2670</v>
      </c>
      <c r="D328" s="12" t="s">
        <v>2683</v>
      </c>
      <c r="E328" s="12">
        <v>4</v>
      </c>
      <c r="F328" s="12" t="s">
        <v>2684</v>
      </c>
      <c r="G328" s="12">
        <v>4</v>
      </c>
      <c r="H328" s="12">
        <v>0</v>
      </c>
      <c r="I328" s="12"/>
      <c r="J328" s="12" t="s">
        <v>2685</v>
      </c>
      <c r="K328" s="12" t="s">
        <v>2686</v>
      </c>
    </row>
    <row r="329" spans="1:11" x14ac:dyDescent="0.3">
      <c r="A329" s="12" t="s">
        <v>965</v>
      </c>
      <c r="B329" s="12" t="s">
        <v>2651</v>
      </c>
      <c r="C329" s="12" t="s">
        <v>2687</v>
      </c>
      <c r="D329" s="12"/>
      <c r="E329" s="12">
        <v>3</v>
      </c>
      <c r="F329" s="12" t="s">
        <v>2688</v>
      </c>
      <c r="G329" s="12">
        <v>1</v>
      </c>
      <c r="H329" s="12">
        <v>0</v>
      </c>
      <c r="I329" s="12"/>
      <c r="J329" s="12" t="s">
        <v>2689</v>
      </c>
      <c r="K329" s="12" t="s">
        <v>2690</v>
      </c>
    </row>
    <row r="330" spans="1:11" x14ac:dyDescent="0.3">
      <c r="A330" s="12" t="s">
        <v>965</v>
      </c>
      <c r="B330" s="12" t="s">
        <v>2691</v>
      </c>
      <c r="C330" s="12" t="s">
        <v>2692</v>
      </c>
      <c r="D330" s="12"/>
      <c r="E330" s="12">
        <v>3</v>
      </c>
      <c r="F330" s="12" t="s">
        <v>2693</v>
      </c>
      <c r="G330" s="12">
        <v>224</v>
      </c>
      <c r="H330" s="12">
        <v>0</v>
      </c>
      <c r="I330" s="12"/>
      <c r="J330" s="12" t="s">
        <v>2694</v>
      </c>
      <c r="K330" s="12" t="s">
        <v>2695</v>
      </c>
    </row>
    <row r="331" spans="1:11" x14ac:dyDescent="0.3">
      <c r="A331" s="12" t="s">
        <v>965</v>
      </c>
      <c r="B331" s="12" t="s">
        <v>2691</v>
      </c>
      <c r="C331" s="12" t="s">
        <v>2696</v>
      </c>
      <c r="D331" s="12"/>
      <c r="E331" s="12">
        <v>3</v>
      </c>
      <c r="F331" s="12" t="s">
        <v>2697</v>
      </c>
      <c r="G331" s="12">
        <v>24</v>
      </c>
      <c r="H331" s="12">
        <v>0</v>
      </c>
      <c r="I331" s="12"/>
      <c r="J331" s="12" t="s">
        <v>2698</v>
      </c>
      <c r="K331" s="12" t="s">
        <v>2699</v>
      </c>
    </row>
    <row r="332" spans="1:11" x14ac:dyDescent="0.3">
      <c r="A332" s="12" t="s">
        <v>965</v>
      </c>
      <c r="B332" s="12" t="s">
        <v>2691</v>
      </c>
      <c r="C332" s="12" t="s">
        <v>2700</v>
      </c>
      <c r="D332" s="12"/>
      <c r="E332" s="12">
        <v>3</v>
      </c>
      <c r="F332" s="12" t="s">
        <v>2701</v>
      </c>
      <c r="G332" s="12">
        <v>155</v>
      </c>
      <c r="H332" s="12">
        <v>0</v>
      </c>
      <c r="I332" s="12"/>
      <c r="J332" s="12" t="s">
        <v>2702</v>
      </c>
      <c r="K332" s="12" t="s">
        <v>2703</v>
      </c>
    </row>
    <row r="333" spans="1:11" x14ac:dyDescent="0.3">
      <c r="A333" s="12" t="s">
        <v>965</v>
      </c>
      <c r="B333" s="12" t="s">
        <v>2691</v>
      </c>
      <c r="C333" s="12" t="s">
        <v>2704</v>
      </c>
      <c r="D333" s="12"/>
      <c r="E333" s="12">
        <v>3</v>
      </c>
      <c r="F333" s="12" t="s">
        <v>2705</v>
      </c>
      <c r="G333" s="12">
        <v>137</v>
      </c>
      <c r="H333" s="12">
        <v>0</v>
      </c>
      <c r="I333" s="12"/>
      <c r="J333" s="12" t="s">
        <v>2706</v>
      </c>
      <c r="K333" s="12" t="s">
        <v>2707</v>
      </c>
    </row>
    <row r="334" spans="1:11" x14ac:dyDescent="0.3">
      <c r="A334" s="12" t="s">
        <v>965</v>
      </c>
      <c r="B334" s="12" t="s">
        <v>2691</v>
      </c>
      <c r="C334" s="12" t="s">
        <v>2708</v>
      </c>
      <c r="D334" s="12"/>
      <c r="E334" s="12">
        <v>3</v>
      </c>
      <c r="F334" s="12" t="s">
        <v>2709</v>
      </c>
      <c r="G334" s="12">
        <v>41</v>
      </c>
      <c r="H334" s="12">
        <v>0</v>
      </c>
      <c r="I334" s="12"/>
      <c r="J334" s="12" t="s">
        <v>2710</v>
      </c>
      <c r="K334" s="12" t="s">
        <v>2711</v>
      </c>
    </row>
    <row r="335" spans="1:11" x14ac:dyDescent="0.3">
      <c r="A335" s="12" t="s">
        <v>965</v>
      </c>
      <c r="B335" s="12" t="s">
        <v>2691</v>
      </c>
      <c r="C335" s="12" t="s">
        <v>2712</v>
      </c>
      <c r="D335" s="12"/>
      <c r="E335" s="12">
        <v>3</v>
      </c>
      <c r="F335" s="12" t="s">
        <v>2713</v>
      </c>
      <c r="G335" s="12">
        <v>1</v>
      </c>
      <c r="H335" s="12">
        <v>0</v>
      </c>
      <c r="I335" s="12"/>
      <c r="J335" s="12" t="s">
        <v>2714</v>
      </c>
      <c r="K335" s="12" t="s">
        <v>2715</v>
      </c>
    </row>
    <row r="336" spans="1:11" x14ac:dyDescent="0.3">
      <c r="A336" s="12" t="s">
        <v>965</v>
      </c>
      <c r="B336" s="12" t="s">
        <v>2716</v>
      </c>
      <c r="C336" s="12"/>
      <c r="D336" s="12"/>
      <c r="E336" s="12">
        <v>2</v>
      </c>
      <c r="F336" s="12" t="s">
        <v>2717</v>
      </c>
      <c r="G336" s="12">
        <v>96</v>
      </c>
      <c r="H336" s="12">
        <v>0</v>
      </c>
      <c r="I336" s="12"/>
      <c r="J336" s="12" t="s">
        <v>2718</v>
      </c>
      <c r="K336" s="12" t="s">
        <v>2719</v>
      </c>
    </row>
    <row r="337" spans="1:11" x14ac:dyDescent="0.3">
      <c r="A337" s="12" t="s">
        <v>965</v>
      </c>
      <c r="B337" s="12" t="s">
        <v>2720</v>
      </c>
      <c r="C337" s="12" t="s">
        <v>2721</v>
      </c>
      <c r="D337" s="12"/>
      <c r="E337" s="12">
        <v>3</v>
      </c>
      <c r="F337" s="12" t="s">
        <v>2722</v>
      </c>
      <c r="G337" s="12">
        <v>79</v>
      </c>
      <c r="H337" s="12">
        <v>0</v>
      </c>
      <c r="I337" s="12"/>
      <c r="J337" s="12" t="s">
        <v>2723</v>
      </c>
      <c r="K337" s="12" t="s">
        <v>2724</v>
      </c>
    </row>
    <row r="338" spans="1:11" x14ac:dyDescent="0.3">
      <c r="A338" s="12" t="s">
        <v>965</v>
      </c>
      <c r="B338" s="12" t="s">
        <v>2720</v>
      </c>
      <c r="C338" s="12" t="s">
        <v>2725</v>
      </c>
      <c r="D338" s="12"/>
      <c r="E338" s="12">
        <v>3</v>
      </c>
      <c r="F338" s="12" t="s">
        <v>2726</v>
      </c>
      <c r="G338" s="12">
        <v>6</v>
      </c>
      <c r="H338" s="12">
        <v>0</v>
      </c>
      <c r="I338" s="12"/>
      <c r="J338" s="12" t="s">
        <v>2727</v>
      </c>
      <c r="K338" s="12" t="s">
        <v>2728</v>
      </c>
    </row>
    <row r="339" spans="1:11" x14ac:dyDescent="0.3">
      <c r="A339" s="12" t="s">
        <v>965</v>
      </c>
      <c r="B339" s="12" t="s">
        <v>2720</v>
      </c>
      <c r="C339" s="12" t="s">
        <v>2729</v>
      </c>
      <c r="D339" s="12"/>
      <c r="E339" s="12">
        <v>3</v>
      </c>
      <c r="F339" s="12" t="s">
        <v>2730</v>
      </c>
      <c r="G339" s="12">
        <v>34</v>
      </c>
      <c r="H339" s="12">
        <v>0</v>
      </c>
      <c r="I339" s="12"/>
      <c r="J339" s="12" t="s">
        <v>2731</v>
      </c>
      <c r="K339" s="12" t="s">
        <v>2732</v>
      </c>
    </row>
    <row r="340" spans="1:11" x14ac:dyDescent="0.3">
      <c r="A340" s="12" t="s">
        <v>965</v>
      </c>
      <c r="B340" s="12" t="s">
        <v>2720</v>
      </c>
      <c r="C340" s="12" t="s">
        <v>2733</v>
      </c>
      <c r="D340" s="12"/>
      <c r="E340" s="12">
        <v>3</v>
      </c>
      <c r="F340" s="12" t="s">
        <v>2734</v>
      </c>
      <c r="G340" s="12">
        <v>30</v>
      </c>
      <c r="H340" s="12">
        <v>0</v>
      </c>
      <c r="I340" s="12"/>
      <c r="J340" s="12" t="s">
        <v>2735</v>
      </c>
      <c r="K340" s="12" t="s">
        <v>2736</v>
      </c>
    </row>
    <row r="341" spans="1:11" x14ac:dyDescent="0.3">
      <c r="A341" s="12" t="s">
        <v>965</v>
      </c>
      <c r="B341" s="12" t="s">
        <v>2737</v>
      </c>
      <c r="C341" s="12" t="s">
        <v>2738</v>
      </c>
      <c r="D341" s="12"/>
      <c r="E341" s="12">
        <v>3</v>
      </c>
      <c r="F341" s="12" t="s">
        <v>2739</v>
      </c>
      <c r="G341" s="12">
        <v>101</v>
      </c>
      <c r="H341" s="12">
        <v>0</v>
      </c>
      <c r="I341" s="12"/>
      <c r="J341" s="12" t="s">
        <v>2740</v>
      </c>
      <c r="K341" s="12" t="s">
        <v>2741</v>
      </c>
    </row>
    <row r="342" spans="1:11" x14ac:dyDescent="0.3">
      <c r="A342" s="12" t="s">
        <v>965</v>
      </c>
      <c r="B342" s="12" t="s">
        <v>2742</v>
      </c>
      <c r="C342" s="12" t="s">
        <v>1613</v>
      </c>
      <c r="D342" s="12" t="s">
        <v>2743</v>
      </c>
      <c r="E342" s="12">
        <v>4</v>
      </c>
      <c r="F342" s="12" t="s">
        <v>2744</v>
      </c>
      <c r="G342" s="12">
        <v>1</v>
      </c>
      <c r="H342" s="12">
        <v>0</v>
      </c>
      <c r="I342" s="12"/>
      <c r="J342" s="12" t="s">
        <v>2745</v>
      </c>
      <c r="K342" s="12" t="s">
        <v>2746</v>
      </c>
    </row>
    <row r="343" spans="1:11" x14ac:dyDescent="0.3">
      <c r="A343" s="12" t="s">
        <v>965</v>
      </c>
      <c r="B343" s="12" t="s">
        <v>2742</v>
      </c>
      <c r="C343" s="12" t="s">
        <v>1613</v>
      </c>
      <c r="D343" s="12" t="s">
        <v>2747</v>
      </c>
      <c r="E343" s="12">
        <v>4</v>
      </c>
      <c r="F343" s="12" t="s">
        <v>2748</v>
      </c>
      <c r="G343" s="12">
        <v>22</v>
      </c>
      <c r="H343" s="12">
        <v>0</v>
      </c>
      <c r="I343" s="12"/>
      <c r="J343" s="12" t="s">
        <v>2749</v>
      </c>
      <c r="K343" s="12" t="s">
        <v>2750</v>
      </c>
    </row>
    <row r="344" spans="1:11" x14ac:dyDescent="0.3">
      <c r="A344" s="12" t="s">
        <v>965</v>
      </c>
      <c r="B344" s="12" t="s">
        <v>2742</v>
      </c>
      <c r="C344" s="12" t="s">
        <v>2751</v>
      </c>
      <c r="D344" s="12" t="s">
        <v>2752</v>
      </c>
      <c r="E344" s="12">
        <v>4</v>
      </c>
      <c r="F344" s="12" t="s">
        <v>2753</v>
      </c>
      <c r="G344" s="12">
        <v>5</v>
      </c>
      <c r="H344" s="12">
        <v>0</v>
      </c>
      <c r="I344" s="12"/>
      <c r="J344" s="12" t="s">
        <v>2754</v>
      </c>
      <c r="K344" s="12" t="s">
        <v>2755</v>
      </c>
    </row>
    <row r="345" spans="1:11" x14ac:dyDescent="0.3">
      <c r="A345" s="12" t="s">
        <v>965</v>
      </c>
      <c r="B345" s="12" t="s">
        <v>2742</v>
      </c>
      <c r="C345" s="12" t="s">
        <v>2751</v>
      </c>
      <c r="D345" s="12" t="s">
        <v>2373</v>
      </c>
      <c r="E345" s="12">
        <v>4</v>
      </c>
      <c r="F345" s="12" t="s">
        <v>2756</v>
      </c>
      <c r="G345" s="12">
        <v>26</v>
      </c>
      <c r="H345" s="12">
        <v>0</v>
      </c>
      <c r="I345" s="12"/>
      <c r="J345" s="12" t="s">
        <v>2757</v>
      </c>
      <c r="K345" s="12" t="s">
        <v>2758</v>
      </c>
    </row>
    <row r="346" spans="1:11" x14ac:dyDescent="0.3">
      <c r="A346" s="12" t="s">
        <v>965</v>
      </c>
      <c r="B346" s="12" t="s">
        <v>2742</v>
      </c>
      <c r="C346" s="12" t="s">
        <v>2751</v>
      </c>
      <c r="D346" s="12" t="s">
        <v>2759</v>
      </c>
      <c r="E346" s="12">
        <v>4</v>
      </c>
      <c r="F346" s="12" t="s">
        <v>2760</v>
      </c>
      <c r="G346" s="12">
        <v>3</v>
      </c>
      <c r="H346" s="12">
        <v>0</v>
      </c>
      <c r="I346" s="12"/>
      <c r="J346" s="12" t="s">
        <v>2761</v>
      </c>
      <c r="K346" s="12" t="s">
        <v>2762</v>
      </c>
    </row>
    <row r="347" spans="1:11" x14ac:dyDescent="0.3">
      <c r="A347" s="12" t="s">
        <v>965</v>
      </c>
      <c r="B347" s="12" t="s">
        <v>2742</v>
      </c>
      <c r="C347" s="12" t="s">
        <v>2751</v>
      </c>
      <c r="D347" s="12" t="s">
        <v>2763</v>
      </c>
      <c r="E347" s="12">
        <v>4</v>
      </c>
      <c r="F347" s="12" t="s">
        <v>2764</v>
      </c>
      <c r="G347" s="12">
        <v>2</v>
      </c>
      <c r="H347" s="12">
        <v>0</v>
      </c>
      <c r="I347" s="12"/>
      <c r="J347" s="12" t="s">
        <v>2765</v>
      </c>
      <c r="K347" s="12" t="s">
        <v>2766</v>
      </c>
    </row>
    <row r="348" spans="1:11" x14ac:dyDescent="0.3">
      <c r="A348" s="12" t="s">
        <v>965</v>
      </c>
      <c r="B348" s="12" t="s">
        <v>2742</v>
      </c>
      <c r="C348" s="12" t="s">
        <v>2751</v>
      </c>
      <c r="D348" s="12" t="s">
        <v>2767</v>
      </c>
      <c r="E348" s="12">
        <v>4</v>
      </c>
      <c r="F348" s="12" t="s">
        <v>2768</v>
      </c>
      <c r="G348" s="12">
        <v>7</v>
      </c>
      <c r="H348" s="12">
        <v>0</v>
      </c>
      <c r="I348" s="12"/>
      <c r="J348" s="12" t="s">
        <v>2769</v>
      </c>
      <c r="K348" s="12" t="s">
        <v>2770</v>
      </c>
    </row>
    <row r="349" spans="1:11" x14ac:dyDescent="0.3">
      <c r="A349" s="12" t="s">
        <v>965</v>
      </c>
      <c r="B349" s="12" t="s">
        <v>2771</v>
      </c>
      <c r="C349" s="12" t="s">
        <v>2772</v>
      </c>
      <c r="D349" s="12" t="s">
        <v>2773</v>
      </c>
      <c r="E349" s="12">
        <v>4</v>
      </c>
      <c r="F349" s="12" t="s">
        <v>2774</v>
      </c>
      <c r="G349" s="12">
        <v>46</v>
      </c>
      <c r="H349" s="12">
        <v>0</v>
      </c>
      <c r="I349" s="12"/>
      <c r="J349" s="12" t="s">
        <v>2775</v>
      </c>
      <c r="K349" s="12" t="s">
        <v>2776</v>
      </c>
    </row>
    <row r="350" spans="1:11" x14ac:dyDescent="0.3">
      <c r="A350" s="12" t="s">
        <v>965</v>
      </c>
      <c r="B350" s="12" t="s">
        <v>2771</v>
      </c>
      <c r="C350" s="12" t="s">
        <v>2772</v>
      </c>
      <c r="D350" s="12" t="s">
        <v>2777</v>
      </c>
      <c r="E350" s="12">
        <v>4</v>
      </c>
      <c r="F350" s="12" t="s">
        <v>2778</v>
      </c>
      <c r="G350" s="12">
        <v>14</v>
      </c>
      <c r="H350" s="12">
        <v>0</v>
      </c>
      <c r="I350" s="12"/>
      <c r="J350" s="12" t="s">
        <v>2779</v>
      </c>
      <c r="K350" s="12" t="s">
        <v>2780</v>
      </c>
    </row>
    <row r="351" spans="1:11" x14ac:dyDescent="0.3">
      <c r="A351" s="12" t="s">
        <v>965</v>
      </c>
      <c r="B351" s="12" t="s">
        <v>2771</v>
      </c>
      <c r="C351" s="12" t="s">
        <v>2781</v>
      </c>
      <c r="D351" s="12"/>
      <c r="E351" s="12">
        <v>3</v>
      </c>
      <c r="F351" s="12" t="s">
        <v>2782</v>
      </c>
      <c r="G351" s="12">
        <v>39</v>
      </c>
      <c r="H351" s="12">
        <v>0</v>
      </c>
      <c r="I351" s="12"/>
      <c r="J351" s="12" t="s">
        <v>2783</v>
      </c>
      <c r="K351" s="12" t="s">
        <v>2784</v>
      </c>
    </row>
    <row r="352" spans="1:11" x14ac:dyDescent="0.3">
      <c r="A352" s="12" t="s">
        <v>965</v>
      </c>
      <c r="B352" s="12" t="s">
        <v>2771</v>
      </c>
      <c r="C352" s="12" t="s">
        <v>2785</v>
      </c>
      <c r="D352" s="12"/>
      <c r="E352" s="12">
        <v>3</v>
      </c>
      <c r="F352" s="12" t="s">
        <v>2786</v>
      </c>
      <c r="G352" s="12">
        <v>87</v>
      </c>
      <c r="H352" s="12">
        <v>0</v>
      </c>
      <c r="I352" s="12"/>
      <c r="J352" s="12" t="s">
        <v>2787</v>
      </c>
      <c r="K352" s="12" t="s">
        <v>2788</v>
      </c>
    </row>
    <row r="353" spans="1:11" x14ac:dyDescent="0.3">
      <c r="A353" s="12" t="s">
        <v>965</v>
      </c>
      <c r="B353" s="12" t="s">
        <v>2771</v>
      </c>
      <c r="C353" s="12" t="s">
        <v>2789</v>
      </c>
      <c r="D353" s="12"/>
      <c r="E353" s="12">
        <v>3</v>
      </c>
      <c r="F353" s="12" t="s">
        <v>2790</v>
      </c>
      <c r="G353" s="12">
        <v>23</v>
      </c>
      <c r="H353" s="12">
        <v>0</v>
      </c>
      <c r="I353" s="12"/>
      <c r="J353" s="12" t="s">
        <v>2791</v>
      </c>
      <c r="K353" s="12" t="s">
        <v>2792</v>
      </c>
    </row>
    <row r="354" spans="1:11" x14ac:dyDescent="0.3">
      <c r="A354" s="12" t="s">
        <v>965</v>
      </c>
      <c r="B354" s="12" t="s">
        <v>2771</v>
      </c>
      <c r="C354" s="12" t="s">
        <v>2793</v>
      </c>
      <c r="D354" s="12"/>
      <c r="E354" s="12">
        <v>3</v>
      </c>
      <c r="F354" s="12" t="s">
        <v>2794</v>
      </c>
      <c r="G354" s="12">
        <v>67</v>
      </c>
      <c r="H354" s="12">
        <v>0</v>
      </c>
      <c r="I354" s="12"/>
      <c r="J354" s="12" t="s">
        <v>2795</v>
      </c>
      <c r="K354" s="12" t="s">
        <v>2796</v>
      </c>
    </row>
    <row r="355" spans="1:11" x14ac:dyDescent="0.3">
      <c r="A355" s="12" t="s">
        <v>965</v>
      </c>
      <c r="B355" s="12" t="s">
        <v>2771</v>
      </c>
      <c r="C355" s="12" t="s">
        <v>2797</v>
      </c>
      <c r="D355" s="12"/>
      <c r="E355" s="12">
        <v>3</v>
      </c>
      <c r="F355" s="12" t="s">
        <v>2798</v>
      </c>
      <c r="G355" s="12">
        <v>12</v>
      </c>
      <c r="H355" s="12">
        <v>0</v>
      </c>
      <c r="I355" s="12"/>
      <c r="J355" s="12" t="s">
        <v>2799</v>
      </c>
      <c r="K355" s="12" t="s">
        <v>2800</v>
      </c>
    </row>
    <row r="356" spans="1:11" x14ac:dyDescent="0.3">
      <c r="A356" s="12" t="s">
        <v>965</v>
      </c>
      <c r="B356" s="12" t="s">
        <v>2771</v>
      </c>
      <c r="C356" s="12" t="s">
        <v>2801</v>
      </c>
      <c r="D356" s="12"/>
      <c r="E356" s="12">
        <v>3</v>
      </c>
      <c r="F356" s="12" t="s">
        <v>2802</v>
      </c>
      <c r="G356" s="12">
        <v>89</v>
      </c>
      <c r="H356" s="12">
        <v>0</v>
      </c>
      <c r="I356" s="12"/>
      <c r="J356" s="12" t="s">
        <v>2803</v>
      </c>
      <c r="K356" s="12" t="s">
        <v>2804</v>
      </c>
    </row>
    <row r="357" spans="1:11" x14ac:dyDescent="0.3">
      <c r="A357" s="12" t="s">
        <v>965</v>
      </c>
      <c r="B357" s="12" t="s">
        <v>2771</v>
      </c>
      <c r="C357" s="12" t="s">
        <v>2805</v>
      </c>
      <c r="D357" s="12" t="s">
        <v>2806</v>
      </c>
      <c r="E357" s="12">
        <v>4</v>
      </c>
      <c r="F357" s="12" t="s">
        <v>2807</v>
      </c>
      <c r="G357" s="12">
        <v>42</v>
      </c>
      <c r="H357" s="12">
        <v>0</v>
      </c>
      <c r="I357" s="12"/>
      <c r="J357" s="12" t="s">
        <v>2808</v>
      </c>
      <c r="K357" s="12" t="s">
        <v>2809</v>
      </c>
    </row>
    <row r="358" spans="1:11" x14ac:dyDescent="0.3">
      <c r="A358" s="12" t="s">
        <v>965</v>
      </c>
      <c r="B358" s="12" t="s">
        <v>2771</v>
      </c>
      <c r="C358" s="12" t="s">
        <v>2805</v>
      </c>
      <c r="D358" s="12" t="s">
        <v>2810</v>
      </c>
      <c r="E358" s="12">
        <v>4</v>
      </c>
      <c r="F358" s="12" t="s">
        <v>2811</v>
      </c>
      <c r="G358" s="12">
        <v>60</v>
      </c>
      <c r="H358" s="12">
        <v>0</v>
      </c>
      <c r="I358" s="12"/>
      <c r="J358" s="12" t="s">
        <v>2812</v>
      </c>
      <c r="K358" s="12" t="s">
        <v>2813</v>
      </c>
    </row>
    <row r="359" spans="1:11" x14ac:dyDescent="0.3">
      <c r="A359" s="12" t="s">
        <v>965</v>
      </c>
      <c r="B359" s="12" t="s">
        <v>2771</v>
      </c>
      <c r="C359" s="12" t="s">
        <v>2805</v>
      </c>
      <c r="D359" s="12" t="s">
        <v>2814</v>
      </c>
      <c r="E359" s="12">
        <v>4</v>
      </c>
      <c r="F359" s="12" t="s">
        <v>2815</v>
      </c>
      <c r="G359" s="12">
        <v>15</v>
      </c>
      <c r="H359" s="12">
        <v>0</v>
      </c>
      <c r="I359" s="12"/>
      <c r="J359" s="12" t="s">
        <v>2816</v>
      </c>
      <c r="K359" s="12" t="s">
        <v>2817</v>
      </c>
    </row>
    <row r="360" spans="1:11" x14ac:dyDescent="0.3">
      <c r="A360" s="12" t="s">
        <v>965</v>
      </c>
      <c r="B360" s="12" t="s">
        <v>2771</v>
      </c>
      <c r="C360" s="12" t="s">
        <v>2805</v>
      </c>
      <c r="D360" s="12" t="s">
        <v>2818</v>
      </c>
      <c r="E360" s="12">
        <v>4</v>
      </c>
      <c r="F360" s="12" t="s">
        <v>2819</v>
      </c>
      <c r="G360" s="12">
        <v>75</v>
      </c>
      <c r="H360" s="12">
        <v>0</v>
      </c>
      <c r="I360" s="12"/>
      <c r="J360" s="12" t="s">
        <v>2820</v>
      </c>
      <c r="K360" s="12" t="s">
        <v>2821</v>
      </c>
    </row>
    <row r="361" spans="1:11" x14ac:dyDescent="0.3">
      <c r="A361" s="12" t="s">
        <v>965</v>
      </c>
      <c r="B361" s="12" t="s">
        <v>2771</v>
      </c>
      <c r="C361" s="12" t="s">
        <v>2805</v>
      </c>
      <c r="D361" s="12" t="s">
        <v>2822</v>
      </c>
      <c r="E361" s="12">
        <v>4</v>
      </c>
      <c r="F361" s="12" t="s">
        <v>2823</v>
      </c>
      <c r="G361" s="12">
        <v>10</v>
      </c>
      <c r="H361" s="12">
        <v>0</v>
      </c>
      <c r="I361" s="12"/>
      <c r="J361" s="12" t="s">
        <v>2824</v>
      </c>
      <c r="K361" s="12" t="s">
        <v>2825</v>
      </c>
    </row>
    <row r="362" spans="1:11" x14ac:dyDescent="0.3">
      <c r="A362" s="12" t="s">
        <v>965</v>
      </c>
      <c r="B362" s="12" t="s">
        <v>2771</v>
      </c>
      <c r="C362" s="12" t="s">
        <v>2826</v>
      </c>
      <c r="D362" s="12" t="s">
        <v>2827</v>
      </c>
      <c r="E362" s="12">
        <v>4</v>
      </c>
      <c r="F362" s="12" t="s">
        <v>2828</v>
      </c>
      <c r="G362" s="12">
        <v>1</v>
      </c>
      <c r="H362" s="12">
        <v>0</v>
      </c>
      <c r="I362" s="12"/>
      <c r="J362" s="12" t="s">
        <v>2829</v>
      </c>
      <c r="K362" s="12" t="s">
        <v>2830</v>
      </c>
    </row>
    <row r="363" spans="1:11" x14ac:dyDescent="0.3">
      <c r="A363" s="12" t="s">
        <v>965</v>
      </c>
      <c r="B363" s="12" t="s">
        <v>2771</v>
      </c>
      <c r="C363" s="12" t="s">
        <v>2826</v>
      </c>
      <c r="D363" s="12" t="s">
        <v>2831</v>
      </c>
      <c r="E363" s="12">
        <v>4</v>
      </c>
      <c r="F363" s="12" t="s">
        <v>2832</v>
      </c>
      <c r="G363" s="12">
        <v>4</v>
      </c>
      <c r="H363" s="12">
        <v>0</v>
      </c>
      <c r="I363" s="12"/>
      <c r="J363" s="12" t="s">
        <v>2833</v>
      </c>
      <c r="K363" s="12" t="s">
        <v>2834</v>
      </c>
    </row>
    <row r="364" spans="1:11" x14ac:dyDescent="0.3">
      <c r="A364" s="12" t="s">
        <v>965</v>
      </c>
      <c r="B364" s="12" t="s">
        <v>2835</v>
      </c>
      <c r="C364" s="12"/>
      <c r="D364" s="12"/>
      <c r="E364" s="12">
        <v>2</v>
      </c>
      <c r="F364" s="12" t="s">
        <v>2836</v>
      </c>
      <c r="G364" s="12">
        <v>158</v>
      </c>
      <c r="H364" s="12">
        <v>0</v>
      </c>
      <c r="I364" s="12"/>
      <c r="J364" s="12" t="s">
        <v>2837</v>
      </c>
      <c r="K364" s="12" t="s">
        <v>2838</v>
      </c>
    </row>
    <row r="365" spans="1:11" x14ac:dyDescent="0.3">
      <c r="A365" s="12" t="s">
        <v>965</v>
      </c>
      <c r="B365" s="12" t="s">
        <v>2839</v>
      </c>
      <c r="C365" s="12"/>
      <c r="D365" s="12"/>
      <c r="E365" s="12">
        <v>2</v>
      </c>
      <c r="F365" s="12" t="s">
        <v>2840</v>
      </c>
      <c r="G365" s="12">
        <v>48</v>
      </c>
      <c r="H365" s="12">
        <v>0</v>
      </c>
      <c r="I365" s="12"/>
      <c r="J365" s="12" t="s">
        <v>2841</v>
      </c>
      <c r="K365" s="12" t="s">
        <v>2842</v>
      </c>
    </row>
    <row r="366" spans="1:11" x14ac:dyDescent="0.3">
      <c r="A366" s="12" t="s">
        <v>965</v>
      </c>
      <c r="B366" s="12" t="s">
        <v>2843</v>
      </c>
      <c r="C366" s="12"/>
      <c r="D366" s="12"/>
      <c r="E366" s="12">
        <v>2</v>
      </c>
      <c r="F366" s="12" t="s">
        <v>2844</v>
      </c>
      <c r="G366" s="12">
        <v>15</v>
      </c>
      <c r="H366" s="12">
        <v>0</v>
      </c>
      <c r="I366" s="12"/>
      <c r="J366" s="12" t="s">
        <v>2845</v>
      </c>
      <c r="K366" s="12" t="s">
        <v>2846</v>
      </c>
    </row>
    <row r="367" spans="1:11" x14ac:dyDescent="0.3">
      <c r="A367" s="12" t="s">
        <v>929</v>
      </c>
      <c r="B367" s="12" t="s">
        <v>137</v>
      </c>
      <c r="C367" s="12" t="s">
        <v>930</v>
      </c>
      <c r="D367" s="12" t="s">
        <v>930</v>
      </c>
      <c r="E367" s="12">
        <v>4</v>
      </c>
      <c r="F367" s="12" t="s">
        <v>233</v>
      </c>
      <c r="G367" s="12">
        <v>43</v>
      </c>
      <c r="H367" s="12">
        <v>40</v>
      </c>
      <c r="I367" s="3" t="s">
        <v>231</v>
      </c>
      <c r="J367" s="12" t="s">
        <v>232</v>
      </c>
      <c r="K367" s="12" t="s">
        <v>2847</v>
      </c>
    </row>
    <row r="368" spans="1:11" x14ac:dyDescent="0.3">
      <c r="A368" s="12" t="s">
        <v>775</v>
      </c>
      <c r="B368" s="12" t="s">
        <v>834</v>
      </c>
      <c r="C368" s="12" t="s">
        <v>2848</v>
      </c>
      <c r="D368" s="12"/>
      <c r="E368" s="12">
        <v>3</v>
      </c>
      <c r="F368" s="12" t="s">
        <v>2849</v>
      </c>
      <c r="G368" s="12">
        <v>186</v>
      </c>
      <c r="H368" s="12">
        <v>0</v>
      </c>
      <c r="I368" s="12"/>
      <c r="J368" s="12" t="s">
        <v>2850</v>
      </c>
      <c r="K368" s="12" t="s">
        <v>2851</v>
      </c>
    </row>
    <row r="369" spans="1:11" x14ac:dyDescent="0.3">
      <c r="A369" s="12" t="s">
        <v>775</v>
      </c>
      <c r="B369" s="12" t="s">
        <v>834</v>
      </c>
      <c r="C369" s="12" t="s">
        <v>835</v>
      </c>
      <c r="D369" s="12"/>
      <c r="E369" s="12">
        <v>3</v>
      </c>
      <c r="F369" s="12" t="s">
        <v>422</v>
      </c>
      <c r="G369" s="12">
        <v>284</v>
      </c>
      <c r="H369" s="12">
        <v>0</v>
      </c>
      <c r="I369" s="3" t="s">
        <v>833</v>
      </c>
      <c r="J369" s="12" t="s">
        <v>421</v>
      </c>
      <c r="K369" s="12" t="s">
        <v>429</v>
      </c>
    </row>
    <row r="370" spans="1:11" x14ac:dyDescent="0.3">
      <c r="A370" s="12" t="s">
        <v>775</v>
      </c>
      <c r="B370" s="12" t="s">
        <v>834</v>
      </c>
      <c r="C370" s="12" t="s">
        <v>885</v>
      </c>
      <c r="D370" s="12"/>
      <c r="E370" s="12">
        <v>3</v>
      </c>
      <c r="F370" s="12" t="s">
        <v>290</v>
      </c>
      <c r="G370" s="12">
        <v>63</v>
      </c>
      <c r="H370" s="12">
        <v>0</v>
      </c>
      <c r="I370" s="3" t="s">
        <v>288</v>
      </c>
      <c r="J370" s="12" t="s">
        <v>289</v>
      </c>
      <c r="K370" s="12" t="s">
        <v>530</v>
      </c>
    </row>
    <row r="371" spans="1:11" x14ac:dyDescent="0.3">
      <c r="A371" s="12" t="s">
        <v>775</v>
      </c>
      <c r="B371" s="12" t="s">
        <v>834</v>
      </c>
      <c r="C371" s="12" t="s">
        <v>2852</v>
      </c>
      <c r="D371" s="12"/>
      <c r="E371" s="12">
        <v>3</v>
      </c>
      <c r="F371" s="12" t="s">
        <v>2853</v>
      </c>
      <c r="G371" s="12">
        <v>64</v>
      </c>
      <c r="H371" s="12">
        <v>0</v>
      </c>
      <c r="I371" s="12"/>
      <c r="J371" s="12" t="s">
        <v>2854</v>
      </c>
      <c r="K371" s="12" t="s">
        <v>2855</v>
      </c>
    </row>
    <row r="372" spans="1:11" x14ac:dyDescent="0.3">
      <c r="A372" s="12" t="s">
        <v>775</v>
      </c>
      <c r="B372" s="12" t="s">
        <v>834</v>
      </c>
      <c r="C372" s="12" t="s">
        <v>977</v>
      </c>
      <c r="D372" s="12"/>
      <c r="E372" s="12">
        <v>3</v>
      </c>
      <c r="F372" s="12" t="s">
        <v>978</v>
      </c>
      <c r="G372" s="12">
        <v>745</v>
      </c>
      <c r="H372" s="12">
        <v>0</v>
      </c>
      <c r="I372" s="3" t="s">
        <v>975</v>
      </c>
      <c r="J372" s="12" t="s">
        <v>976</v>
      </c>
      <c r="K372" s="12" t="s">
        <v>2856</v>
      </c>
    </row>
    <row r="373" spans="1:11" x14ac:dyDescent="0.3">
      <c r="A373" s="12" t="s">
        <v>775</v>
      </c>
      <c r="B373" s="12" t="s">
        <v>834</v>
      </c>
      <c r="C373" s="12" t="s">
        <v>2857</v>
      </c>
      <c r="D373" s="12"/>
      <c r="E373" s="12">
        <v>3</v>
      </c>
      <c r="F373" s="12" t="s">
        <v>2858</v>
      </c>
      <c r="G373" s="12">
        <v>38</v>
      </c>
      <c r="H373" s="12">
        <v>0</v>
      </c>
      <c r="I373" s="12"/>
      <c r="J373" s="12" t="s">
        <v>2859</v>
      </c>
      <c r="K373" s="12" t="s">
        <v>2860</v>
      </c>
    </row>
    <row r="374" spans="1:11" x14ac:dyDescent="0.3">
      <c r="A374" s="12" t="s">
        <v>775</v>
      </c>
      <c r="B374" s="12" t="s">
        <v>2861</v>
      </c>
      <c r="C374" s="12"/>
      <c r="D374" s="12"/>
      <c r="E374" s="12">
        <v>2</v>
      </c>
      <c r="F374" s="12" t="s">
        <v>2862</v>
      </c>
      <c r="G374" s="12">
        <v>384</v>
      </c>
      <c r="H374" s="12">
        <v>0</v>
      </c>
      <c r="I374" s="12"/>
      <c r="J374" s="12" t="s">
        <v>2863</v>
      </c>
      <c r="K374" s="12" t="s">
        <v>2864</v>
      </c>
    </row>
    <row r="375" spans="1:11" x14ac:dyDescent="0.3">
      <c r="A375" s="12" t="s">
        <v>775</v>
      </c>
      <c r="B375" s="12" t="s">
        <v>2865</v>
      </c>
      <c r="C375" s="12" t="s">
        <v>2865</v>
      </c>
      <c r="D375" s="12"/>
      <c r="E375" s="12">
        <v>3</v>
      </c>
      <c r="F375" s="12" t="s">
        <v>2866</v>
      </c>
      <c r="G375" s="12">
        <v>387</v>
      </c>
      <c r="H375" s="12">
        <v>0</v>
      </c>
      <c r="I375" s="12"/>
      <c r="J375" s="12" t="s">
        <v>2867</v>
      </c>
      <c r="K375" s="12" t="s">
        <v>2868</v>
      </c>
    </row>
    <row r="376" spans="1:11" x14ac:dyDescent="0.3">
      <c r="A376" s="12" t="s">
        <v>775</v>
      </c>
      <c r="B376" s="12" t="s">
        <v>2865</v>
      </c>
      <c r="C376" s="12" t="s">
        <v>2869</v>
      </c>
      <c r="D376" s="12"/>
      <c r="E376" s="12">
        <v>3</v>
      </c>
      <c r="F376" s="12" t="s">
        <v>2870</v>
      </c>
      <c r="G376" s="12">
        <v>62</v>
      </c>
      <c r="H376" s="12">
        <v>0</v>
      </c>
      <c r="I376" s="12"/>
      <c r="J376" s="12" t="s">
        <v>2871</v>
      </c>
      <c r="K376" s="12" t="s">
        <v>2872</v>
      </c>
    </row>
    <row r="377" spans="1:11" x14ac:dyDescent="0.3">
      <c r="A377" s="12" t="s">
        <v>775</v>
      </c>
      <c r="B377" s="12" t="s">
        <v>997</v>
      </c>
      <c r="C377" s="12"/>
      <c r="D377" s="12"/>
      <c r="E377" s="12">
        <v>2</v>
      </c>
      <c r="F377" s="12" t="s">
        <v>998</v>
      </c>
      <c r="G377" s="12">
        <v>308</v>
      </c>
      <c r="H377" s="12">
        <v>0</v>
      </c>
      <c r="I377" s="3" t="s">
        <v>995</v>
      </c>
      <c r="J377" s="12" t="s">
        <v>996</v>
      </c>
      <c r="K377" s="12" t="s">
        <v>2873</v>
      </c>
    </row>
    <row r="378" spans="1:11" x14ac:dyDescent="0.3">
      <c r="A378" s="12" t="s">
        <v>775</v>
      </c>
      <c r="B378" s="12" t="s">
        <v>109</v>
      </c>
      <c r="C378" s="12" t="s">
        <v>776</v>
      </c>
      <c r="D378" s="12"/>
      <c r="E378" s="12">
        <v>3</v>
      </c>
      <c r="F378" s="12" t="s">
        <v>184</v>
      </c>
      <c r="G378" s="12">
        <v>229</v>
      </c>
      <c r="H378" s="12">
        <v>199</v>
      </c>
      <c r="I378" s="3" t="s">
        <v>183</v>
      </c>
      <c r="J378" s="12" t="s">
        <v>30</v>
      </c>
      <c r="K378" s="12" t="s">
        <v>327</v>
      </c>
    </row>
    <row r="379" spans="1:11" x14ac:dyDescent="0.3">
      <c r="A379" s="12" t="s">
        <v>775</v>
      </c>
      <c r="B379" s="12" t="s">
        <v>109</v>
      </c>
      <c r="C379" s="12" t="s">
        <v>2874</v>
      </c>
      <c r="D379" s="12"/>
      <c r="E379" s="12">
        <v>3</v>
      </c>
      <c r="F379" s="12" t="s">
        <v>2875</v>
      </c>
      <c r="G379" s="12">
        <v>79</v>
      </c>
      <c r="H379" s="12">
        <v>39</v>
      </c>
      <c r="I379" s="12"/>
      <c r="J379" s="12" t="s">
        <v>2876</v>
      </c>
      <c r="K379" s="12" t="s">
        <v>2877</v>
      </c>
    </row>
    <row r="380" spans="1:11" x14ac:dyDescent="0.3">
      <c r="A380" s="12" t="s">
        <v>775</v>
      </c>
      <c r="B380" s="12" t="s">
        <v>109</v>
      </c>
      <c r="C380" s="12" t="s">
        <v>867</v>
      </c>
      <c r="D380" s="12"/>
      <c r="E380" s="12">
        <v>3</v>
      </c>
      <c r="F380" s="12" t="s">
        <v>195</v>
      </c>
      <c r="G380" s="12">
        <v>75</v>
      </c>
      <c r="H380" s="12">
        <v>40</v>
      </c>
      <c r="I380" s="3" t="s">
        <v>193</v>
      </c>
      <c r="J380" s="12" t="s">
        <v>194</v>
      </c>
      <c r="K380" s="12" t="s">
        <v>483</v>
      </c>
    </row>
    <row r="381" spans="1:11" x14ac:dyDescent="0.3">
      <c r="A381" s="12" t="s">
        <v>775</v>
      </c>
      <c r="B381" s="12" t="s">
        <v>109</v>
      </c>
      <c r="C381" s="12" t="s">
        <v>2878</v>
      </c>
      <c r="D381" s="12"/>
      <c r="E381" s="12">
        <v>3</v>
      </c>
      <c r="F381" s="12" t="s">
        <v>2879</v>
      </c>
      <c r="G381" s="12">
        <v>168</v>
      </c>
      <c r="H381" s="12">
        <v>154</v>
      </c>
      <c r="I381" s="12"/>
      <c r="J381" s="12" t="s">
        <v>2880</v>
      </c>
      <c r="K381" s="12" t="s">
        <v>2881</v>
      </c>
    </row>
    <row r="382" spans="1:11" x14ac:dyDescent="0.3">
      <c r="A382" s="12" t="s">
        <v>775</v>
      </c>
      <c r="B382" s="12" t="s">
        <v>109</v>
      </c>
      <c r="C382" s="12" t="s">
        <v>991</v>
      </c>
      <c r="D382" s="12"/>
      <c r="E382" s="12">
        <v>3</v>
      </c>
      <c r="F382" s="12" t="s">
        <v>209</v>
      </c>
      <c r="G382" s="12">
        <v>87</v>
      </c>
      <c r="H382" s="12">
        <v>40</v>
      </c>
      <c r="I382" s="3" t="s">
        <v>207</v>
      </c>
      <c r="J382" s="12" t="s">
        <v>208</v>
      </c>
      <c r="K382" s="12" t="s">
        <v>2882</v>
      </c>
    </row>
    <row r="383" spans="1:11" x14ac:dyDescent="0.3">
      <c r="A383" s="12" t="s">
        <v>775</v>
      </c>
      <c r="B383" s="12" t="s">
        <v>109</v>
      </c>
      <c r="C383" s="12" t="s">
        <v>980</v>
      </c>
      <c r="D383" s="12"/>
      <c r="E383" s="12">
        <v>3</v>
      </c>
      <c r="F383" s="12" t="s">
        <v>206</v>
      </c>
      <c r="G383" s="12">
        <v>147</v>
      </c>
      <c r="H383" s="12">
        <v>120</v>
      </c>
      <c r="I383" s="3" t="s">
        <v>204</v>
      </c>
      <c r="J383" s="12" t="s">
        <v>205</v>
      </c>
      <c r="K383" s="12" t="s">
        <v>2883</v>
      </c>
    </row>
    <row r="384" spans="1:11" x14ac:dyDescent="0.3">
      <c r="A384" s="12" t="s">
        <v>775</v>
      </c>
      <c r="B384" s="12" t="s">
        <v>109</v>
      </c>
      <c r="C384" s="12" t="s">
        <v>946</v>
      </c>
      <c r="D384" s="12"/>
      <c r="E384" s="12">
        <v>3</v>
      </c>
      <c r="F384" s="12" t="s">
        <v>202</v>
      </c>
      <c r="G384" s="12">
        <v>1008</v>
      </c>
      <c r="H384" s="12">
        <v>897</v>
      </c>
      <c r="I384" s="3" t="s">
        <v>200</v>
      </c>
      <c r="J384" s="12" t="s">
        <v>201</v>
      </c>
      <c r="K384" s="12" t="s">
        <v>2884</v>
      </c>
    </row>
    <row r="385" spans="1:11" x14ac:dyDescent="0.3">
      <c r="A385" s="12" t="s">
        <v>775</v>
      </c>
      <c r="B385" s="12" t="s">
        <v>109</v>
      </c>
      <c r="C385" s="12" t="s">
        <v>2885</v>
      </c>
      <c r="D385" s="12"/>
      <c r="E385" s="12">
        <v>3</v>
      </c>
      <c r="F385" s="12" t="s">
        <v>2886</v>
      </c>
      <c r="G385" s="12">
        <v>14</v>
      </c>
      <c r="H385" s="12">
        <v>14</v>
      </c>
      <c r="I385" s="12"/>
      <c r="J385" s="12" t="s">
        <v>2887</v>
      </c>
      <c r="K385" s="12" t="s">
        <v>2888</v>
      </c>
    </row>
    <row r="386" spans="1:11" x14ac:dyDescent="0.3">
      <c r="A386" s="12" t="s">
        <v>775</v>
      </c>
      <c r="B386" s="12" t="s">
        <v>109</v>
      </c>
      <c r="C386" s="12" t="s">
        <v>859</v>
      </c>
      <c r="D386" s="12" t="s">
        <v>860</v>
      </c>
      <c r="E386" s="12">
        <v>4</v>
      </c>
      <c r="F386" s="12" t="s">
        <v>188</v>
      </c>
      <c r="G386" s="12">
        <v>49</v>
      </c>
      <c r="H386" s="12">
        <v>40</v>
      </c>
      <c r="I386" s="3" t="s">
        <v>186</v>
      </c>
      <c r="J386" s="12" t="s">
        <v>187</v>
      </c>
      <c r="K386" s="12" t="s">
        <v>460</v>
      </c>
    </row>
    <row r="387" spans="1:11" x14ac:dyDescent="0.3">
      <c r="A387" s="12" t="s">
        <v>775</v>
      </c>
      <c r="B387" s="12" t="s">
        <v>109</v>
      </c>
      <c r="C387" s="12" t="s">
        <v>859</v>
      </c>
      <c r="D387" s="12" t="s">
        <v>2889</v>
      </c>
      <c r="E387" s="12">
        <v>4</v>
      </c>
      <c r="F387" s="12" t="s">
        <v>2890</v>
      </c>
      <c r="G387" s="12">
        <v>64</v>
      </c>
      <c r="H387" s="12">
        <v>38</v>
      </c>
      <c r="I387" s="12"/>
      <c r="J387" s="12" t="s">
        <v>2891</v>
      </c>
      <c r="K387" s="12" t="s">
        <v>2892</v>
      </c>
    </row>
    <row r="388" spans="1:11" x14ac:dyDescent="0.3">
      <c r="A388" s="12" t="s">
        <v>775</v>
      </c>
      <c r="B388" s="12" t="s">
        <v>109</v>
      </c>
      <c r="C388" s="12" t="s">
        <v>2893</v>
      </c>
      <c r="D388" s="12"/>
      <c r="E388" s="12">
        <v>3</v>
      </c>
      <c r="F388" s="12" t="s">
        <v>2894</v>
      </c>
      <c r="G388" s="12">
        <v>468</v>
      </c>
      <c r="H388" s="12">
        <v>440</v>
      </c>
      <c r="I388" s="12"/>
      <c r="J388" s="12" t="s">
        <v>2895</v>
      </c>
      <c r="K388" s="12" t="s">
        <v>2896</v>
      </c>
    </row>
    <row r="389" spans="1:11" x14ac:dyDescent="0.3">
      <c r="A389" s="12" t="s">
        <v>775</v>
      </c>
      <c r="B389" s="12" t="s">
        <v>109</v>
      </c>
      <c r="C389" s="12" t="s">
        <v>871</v>
      </c>
      <c r="D389" s="12" t="s">
        <v>872</v>
      </c>
      <c r="E389" s="12">
        <v>4</v>
      </c>
      <c r="F389" s="12" t="s">
        <v>192</v>
      </c>
      <c r="G389" s="12">
        <v>617</v>
      </c>
      <c r="H389" s="12">
        <v>601</v>
      </c>
      <c r="I389" s="3" t="s">
        <v>190</v>
      </c>
      <c r="J389" s="12" t="s">
        <v>191</v>
      </c>
      <c r="K389" s="12" t="s">
        <v>496</v>
      </c>
    </row>
    <row r="390" spans="1:11" x14ac:dyDescent="0.3">
      <c r="A390" s="12" t="s">
        <v>775</v>
      </c>
      <c r="B390" s="12" t="s">
        <v>109</v>
      </c>
      <c r="C390" s="12" t="s">
        <v>871</v>
      </c>
      <c r="D390" s="12" t="s">
        <v>2897</v>
      </c>
      <c r="E390" s="12">
        <v>4</v>
      </c>
      <c r="F390" s="12" t="s">
        <v>2898</v>
      </c>
      <c r="G390" s="12">
        <v>175</v>
      </c>
      <c r="H390" s="12">
        <v>155</v>
      </c>
      <c r="I390" s="12"/>
      <c r="J390" s="12" t="s">
        <v>2899</v>
      </c>
      <c r="K390" s="12" t="s">
        <v>2900</v>
      </c>
    </row>
    <row r="391" spans="1:11" x14ac:dyDescent="0.3">
      <c r="A391" s="12" t="s">
        <v>775</v>
      </c>
      <c r="B391" s="12" t="s">
        <v>109</v>
      </c>
      <c r="C391" s="12" t="s">
        <v>871</v>
      </c>
      <c r="D391" s="12" t="s">
        <v>2901</v>
      </c>
      <c r="E391" s="12">
        <v>4</v>
      </c>
      <c r="F391" s="12" t="s">
        <v>2902</v>
      </c>
      <c r="G391" s="12">
        <v>56</v>
      </c>
      <c r="H391" s="12">
        <v>35</v>
      </c>
      <c r="I391" s="12"/>
      <c r="J391" s="12" t="s">
        <v>2903</v>
      </c>
      <c r="K391" s="12" t="s">
        <v>2904</v>
      </c>
    </row>
    <row r="392" spans="1:11" x14ac:dyDescent="0.3">
      <c r="A392" s="12" t="s">
        <v>775</v>
      </c>
      <c r="B392" s="12" t="s">
        <v>109</v>
      </c>
      <c r="C392" s="12" t="s">
        <v>871</v>
      </c>
      <c r="D392" s="12" t="s">
        <v>887</v>
      </c>
      <c r="E392" s="12">
        <v>4</v>
      </c>
      <c r="F392" s="12" t="s">
        <v>198</v>
      </c>
      <c r="G392" s="12">
        <v>64</v>
      </c>
      <c r="H392" s="12">
        <v>39</v>
      </c>
      <c r="I392" s="3" t="s">
        <v>196</v>
      </c>
      <c r="J392" s="12" t="s">
        <v>197</v>
      </c>
      <c r="K392" s="12" t="s">
        <v>2905</v>
      </c>
    </row>
    <row r="393" spans="1:11" x14ac:dyDescent="0.3">
      <c r="A393" s="12" t="s">
        <v>775</v>
      </c>
      <c r="B393" s="12" t="s">
        <v>891</v>
      </c>
      <c r="C393" s="12" t="s">
        <v>2906</v>
      </c>
      <c r="D393" s="12"/>
      <c r="E393" s="12">
        <v>3</v>
      </c>
      <c r="F393" s="12" t="s">
        <v>2907</v>
      </c>
      <c r="G393" s="12">
        <v>142</v>
      </c>
      <c r="H393" s="12">
        <v>0</v>
      </c>
      <c r="I393" s="12"/>
      <c r="J393" s="12" t="s">
        <v>2908</v>
      </c>
      <c r="K393" s="12" t="s">
        <v>2909</v>
      </c>
    </row>
    <row r="394" spans="1:11" x14ac:dyDescent="0.3">
      <c r="A394" s="12" t="s">
        <v>775</v>
      </c>
      <c r="B394" s="12" t="s">
        <v>891</v>
      </c>
      <c r="C394" s="12" t="s">
        <v>2910</v>
      </c>
      <c r="D394" s="12"/>
      <c r="E394" s="12">
        <v>3</v>
      </c>
      <c r="F394" s="12" t="s">
        <v>2911</v>
      </c>
      <c r="G394" s="12">
        <v>35</v>
      </c>
      <c r="H394" s="12">
        <v>0</v>
      </c>
      <c r="I394" s="12"/>
      <c r="J394" s="12" t="s">
        <v>2912</v>
      </c>
      <c r="K394" s="12" t="s">
        <v>2913</v>
      </c>
    </row>
    <row r="395" spans="1:11" x14ac:dyDescent="0.3">
      <c r="A395" s="12" t="s">
        <v>775</v>
      </c>
      <c r="B395" s="12" t="s">
        <v>891</v>
      </c>
      <c r="C395" s="12" t="s">
        <v>892</v>
      </c>
      <c r="D395" s="12"/>
      <c r="E395" s="12">
        <v>3</v>
      </c>
      <c r="F395" s="12" t="s">
        <v>893</v>
      </c>
      <c r="G395" s="12">
        <v>136</v>
      </c>
      <c r="H395" s="12">
        <v>0</v>
      </c>
      <c r="I395" s="3" t="s">
        <v>889</v>
      </c>
      <c r="J395" s="12" t="s">
        <v>890</v>
      </c>
      <c r="K395" s="12" t="s">
        <v>2914</v>
      </c>
    </row>
    <row r="396" spans="1:11" x14ac:dyDescent="0.3">
      <c r="A396" s="12" t="s">
        <v>775</v>
      </c>
      <c r="B396" s="12" t="s">
        <v>891</v>
      </c>
      <c r="C396" s="12" t="s">
        <v>914</v>
      </c>
      <c r="D396" s="12"/>
      <c r="E396" s="12">
        <v>3</v>
      </c>
      <c r="F396" s="12" t="s">
        <v>915</v>
      </c>
      <c r="G396" s="12">
        <v>152</v>
      </c>
      <c r="H396" s="12">
        <v>0</v>
      </c>
      <c r="I396" s="3" t="s">
        <v>912</v>
      </c>
      <c r="J396" s="12" t="s">
        <v>913</v>
      </c>
      <c r="K396" s="12" t="s">
        <v>2915</v>
      </c>
    </row>
    <row r="397" spans="1:11" x14ac:dyDescent="0.3">
      <c r="A397" s="12" t="s">
        <v>775</v>
      </c>
      <c r="B397" s="12" t="s">
        <v>891</v>
      </c>
      <c r="C397" s="12" t="s">
        <v>2916</v>
      </c>
      <c r="D397" s="12"/>
      <c r="E397" s="12">
        <v>3</v>
      </c>
      <c r="F397" s="12" t="s">
        <v>2917</v>
      </c>
      <c r="G397" s="12">
        <v>21</v>
      </c>
      <c r="H397" s="12">
        <v>0</v>
      </c>
      <c r="I397" s="12"/>
      <c r="J397" s="12" t="s">
        <v>2918</v>
      </c>
      <c r="K397" s="12" t="s">
        <v>2919</v>
      </c>
    </row>
    <row r="398" spans="1:11" x14ac:dyDescent="0.3">
      <c r="A398" s="12" t="s">
        <v>775</v>
      </c>
      <c r="B398" s="12" t="s">
        <v>2920</v>
      </c>
      <c r="C398" s="12" t="s">
        <v>2921</v>
      </c>
      <c r="D398" s="12"/>
      <c r="E398" s="12">
        <v>3</v>
      </c>
      <c r="F398" s="12" t="s">
        <v>2922</v>
      </c>
      <c r="G398" s="12">
        <v>80</v>
      </c>
      <c r="H398" s="12">
        <v>0</v>
      </c>
      <c r="I398" s="12"/>
      <c r="J398" s="12" t="s">
        <v>2923</v>
      </c>
      <c r="K398" s="12" t="s">
        <v>2924</v>
      </c>
    </row>
    <row r="399" spans="1:11" x14ac:dyDescent="0.3">
      <c r="A399" s="12" t="s">
        <v>775</v>
      </c>
      <c r="B399" s="12" t="s">
        <v>2920</v>
      </c>
      <c r="C399" s="12" t="s">
        <v>2925</v>
      </c>
      <c r="D399" s="12"/>
      <c r="E399" s="12">
        <v>3</v>
      </c>
      <c r="F399" s="12" t="s">
        <v>2926</v>
      </c>
      <c r="G399" s="12">
        <v>11</v>
      </c>
      <c r="H399" s="12">
        <v>0</v>
      </c>
      <c r="I399" s="12"/>
      <c r="J399" s="12" t="s">
        <v>2927</v>
      </c>
      <c r="K399" s="12" t="s">
        <v>2928</v>
      </c>
    </row>
    <row r="400" spans="1:11" x14ac:dyDescent="0.3">
      <c r="A400" s="12" t="s">
        <v>775</v>
      </c>
      <c r="B400" s="12" t="s">
        <v>2920</v>
      </c>
      <c r="C400" s="12" t="s">
        <v>2929</v>
      </c>
      <c r="D400" s="12"/>
      <c r="E400" s="12">
        <v>3</v>
      </c>
      <c r="F400" s="12" t="s">
        <v>2930</v>
      </c>
      <c r="G400" s="12">
        <v>21</v>
      </c>
      <c r="H400" s="12">
        <v>0</v>
      </c>
      <c r="I400" s="12"/>
      <c r="J400" s="12" t="s">
        <v>2931</v>
      </c>
      <c r="K400" s="12" t="s">
        <v>2932</v>
      </c>
    </row>
    <row r="401" spans="1:11" x14ac:dyDescent="0.3">
      <c r="A401" s="12" t="s">
        <v>775</v>
      </c>
      <c r="B401" s="12" t="s">
        <v>816</v>
      </c>
      <c r="C401" s="12" t="s">
        <v>817</v>
      </c>
      <c r="D401" s="12" t="s">
        <v>2933</v>
      </c>
      <c r="E401" s="12">
        <v>4</v>
      </c>
      <c r="F401" s="12" t="s">
        <v>2934</v>
      </c>
      <c r="G401" s="12">
        <v>90</v>
      </c>
      <c r="H401" s="12">
        <v>0</v>
      </c>
      <c r="I401" s="12"/>
      <c r="J401" s="12" t="s">
        <v>2935</v>
      </c>
      <c r="K401" s="12" t="s">
        <v>2936</v>
      </c>
    </row>
    <row r="402" spans="1:11" x14ac:dyDescent="0.3">
      <c r="A402" s="12" t="s">
        <v>775</v>
      </c>
      <c r="B402" s="12" t="s">
        <v>816</v>
      </c>
      <c r="C402" s="12" t="s">
        <v>817</v>
      </c>
      <c r="D402" s="12" t="s">
        <v>2937</v>
      </c>
      <c r="E402" s="12">
        <v>4</v>
      </c>
      <c r="F402" s="12" t="s">
        <v>2938</v>
      </c>
      <c r="G402" s="12">
        <v>47</v>
      </c>
      <c r="H402" s="12">
        <v>0</v>
      </c>
      <c r="I402" s="12"/>
      <c r="J402" s="12" t="s">
        <v>2939</v>
      </c>
      <c r="K402" s="12" t="s">
        <v>2940</v>
      </c>
    </row>
    <row r="403" spans="1:11" x14ac:dyDescent="0.3">
      <c r="A403" s="12" t="s">
        <v>775</v>
      </c>
      <c r="B403" s="12" t="s">
        <v>816</v>
      </c>
      <c r="C403" s="12" t="s">
        <v>817</v>
      </c>
      <c r="D403" s="12" t="s">
        <v>818</v>
      </c>
      <c r="E403" s="12">
        <v>4</v>
      </c>
      <c r="F403" s="12" t="s">
        <v>390</v>
      </c>
      <c r="G403" s="12">
        <v>203</v>
      </c>
      <c r="H403" s="12">
        <v>0</v>
      </c>
      <c r="I403" s="3" t="s">
        <v>815</v>
      </c>
      <c r="J403" s="12" t="s">
        <v>389</v>
      </c>
      <c r="K403" s="12" t="s">
        <v>397</v>
      </c>
    </row>
    <row r="404" spans="1:11" x14ac:dyDescent="0.3">
      <c r="A404" s="12" t="s">
        <v>775</v>
      </c>
      <c r="B404" s="12" t="s">
        <v>816</v>
      </c>
      <c r="C404" s="12" t="s">
        <v>817</v>
      </c>
      <c r="D404" s="12" t="s">
        <v>2941</v>
      </c>
      <c r="E404" s="12">
        <v>4</v>
      </c>
      <c r="F404" s="12" t="s">
        <v>2942</v>
      </c>
      <c r="G404" s="12">
        <v>255</v>
      </c>
      <c r="H404" s="12">
        <v>0</v>
      </c>
      <c r="I404" s="12"/>
      <c r="J404" s="12" t="s">
        <v>2943</v>
      </c>
      <c r="K404" s="12" t="s">
        <v>2944</v>
      </c>
    </row>
    <row r="405" spans="1:11" x14ac:dyDescent="0.3">
      <c r="A405" s="12" t="s">
        <v>775</v>
      </c>
      <c r="B405" s="12" t="s">
        <v>816</v>
      </c>
      <c r="C405" s="12" t="s">
        <v>817</v>
      </c>
      <c r="D405" s="12" t="s">
        <v>2945</v>
      </c>
      <c r="E405" s="12">
        <v>4</v>
      </c>
      <c r="F405" s="12" t="s">
        <v>2946</v>
      </c>
      <c r="G405" s="12">
        <v>76</v>
      </c>
      <c r="H405" s="12">
        <v>0</v>
      </c>
      <c r="I405" s="12"/>
      <c r="J405" s="12" t="s">
        <v>2947</v>
      </c>
      <c r="K405" s="12" t="s">
        <v>2948</v>
      </c>
    </row>
    <row r="406" spans="1:11" x14ac:dyDescent="0.3">
      <c r="A406" s="12" t="s">
        <v>775</v>
      </c>
      <c r="B406" s="12" t="s">
        <v>816</v>
      </c>
      <c r="C406" s="12" t="s">
        <v>2949</v>
      </c>
      <c r="D406" s="12"/>
      <c r="E406" s="12">
        <v>3</v>
      </c>
      <c r="F406" s="12" t="s">
        <v>2950</v>
      </c>
      <c r="G406" s="12">
        <v>8</v>
      </c>
      <c r="H406" s="12">
        <v>0</v>
      </c>
      <c r="I406" s="12"/>
      <c r="J406" s="12" t="s">
        <v>2951</v>
      </c>
      <c r="K406" s="12" t="s">
        <v>2952</v>
      </c>
    </row>
    <row r="407" spans="1:11" x14ac:dyDescent="0.3">
      <c r="A407" s="12" t="s">
        <v>775</v>
      </c>
      <c r="B407" s="12" t="s">
        <v>816</v>
      </c>
      <c r="C407" s="12" t="s">
        <v>2953</v>
      </c>
      <c r="D407" s="12"/>
      <c r="E407" s="12">
        <v>3</v>
      </c>
      <c r="F407" s="12" t="s">
        <v>2954</v>
      </c>
      <c r="G407" s="12">
        <v>3</v>
      </c>
      <c r="H407" s="12">
        <v>0</v>
      </c>
      <c r="I407" s="12"/>
      <c r="J407" s="12" t="s">
        <v>2955</v>
      </c>
      <c r="K407" s="12" t="s">
        <v>2956</v>
      </c>
    </row>
    <row r="408" spans="1:11" x14ac:dyDescent="0.3">
      <c r="A408" s="12" t="s">
        <v>775</v>
      </c>
      <c r="B408" s="12" t="s">
        <v>816</v>
      </c>
      <c r="C408" s="12" t="s">
        <v>2957</v>
      </c>
      <c r="D408" s="12" t="s">
        <v>2958</v>
      </c>
      <c r="E408" s="12">
        <v>4</v>
      </c>
      <c r="F408" s="12" t="s">
        <v>2959</v>
      </c>
      <c r="G408" s="12">
        <v>3</v>
      </c>
      <c r="H408" s="12">
        <v>0</v>
      </c>
      <c r="I408" s="12"/>
      <c r="J408" s="12" t="s">
        <v>2960</v>
      </c>
      <c r="K408" s="12" t="s">
        <v>2961</v>
      </c>
    </row>
    <row r="409" spans="1:11" x14ac:dyDescent="0.3">
      <c r="A409" s="12" t="s">
        <v>775</v>
      </c>
      <c r="B409" s="12" t="s">
        <v>816</v>
      </c>
      <c r="C409" s="12" t="s">
        <v>2957</v>
      </c>
      <c r="D409" s="12" t="s">
        <v>2962</v>
      </c>
      <c r="E409" s="12">
        <v>4</v>
      </c>
      <c r="F409" s="12" t="s">
        <v>2963</v>
      </c>
      <c r="G409" s="12">
        <v>169</v>
      </c>
      <c r="H409" s="12">
        <v>0</v>
      </c>
      <c r="I409" s="12"/>
      <c r="J409" s="12" t="s">
        <v>2964</v>
      </c>
      <c r="K409" s="12" t="s">
        <v>2965</v>
      </c>
    </row>
    <row r="410" spans="1:11" x14ac:dyDescent="0.3">
      <c r="A410" s="12" t="s">
        <v>775</v>
      </c>
      <c r="B410" s="12" t="s">
        <v>816</v>
      </c>
      <c r="C410" s="12" t="s">
        <v>2957</v>
      </c>
      <c r="D410" s="12" t="s">
        <v>2966</v>
      </c>
      <c r="E410" s="12">
        <v>4</v>
      </c>
      <c r="F410" s="12" t="s">
        <v>2967</v>
      </c>
      <c r="G410" s="12">
        <v>52</v>
      </c>
      <c r="H410" s="12">
        <v>0</v>
      </c>
      <c r="I410" s="12"/>
      <c r="J410" s="12" t="s">
        <v>2968</v>
      </c>
      <c r="K410" s="12" t="s">
        <v>2969</v>
      </c>
    </row>
    <row r="411" spans="1:11" x14ac:dyDescent="0.3">
      <c r="A411" s="12" t="s">
        <v>775</v>
      </c>
      <c r="B411" s="12" t="s">
        <v>816</v>
      </c>
      <c r="C411" s="12" t="s">
        <v>2957</v>
      </c>
      <c r="D411" s="12" t="s">
        <v>2970</v>
      </c>
      <c r="E411" s="12">
        <v>4</v>
      </c>
      <c r="F411" s="12" t="s">
        <v>2971</v>
      </c>
      <c r="G411" s="12">
        <v>15</v>
      </c>
      <c r="H411" s="12">
        <v>0</v>
      </c>
      <c r="I411" s="12"/>
      <c r="J411" s="12" t="s">
        <v>2972</v>
      </c>
      <c r="K411" s="12" t="s">
        <v>2973</v>
      </c>
    </row>
    <row r="412" spans="1:11" x14ac:dyDescent="0.3">
      <c r="A412" s="12" t="s">
        <v>775</v>
      </c>
      <c r="B412" s="12" t="s">
        <v>816</v>
      </c>
      <c r="C412" s="12" t="s">
        <v>2957</v>
      </c>
      <c r="D412" s="12" t="s">
        <v>2974</v>
      </c>
      <c r="E412" s="12">
        <v>4</v>
      </c>
      <c r="F412" s="12" t="s">
        <v>2975</v>
      </c>
      <c r="G412" s="12">
        <v>10</v>
      </c>
      <c r="H412" s="12">
        <v>0</v>
      </c>
      <c r="I412" s="12"/>
      <c r="J412" s="12" t="s">
        <v>2976</v>
      </c>
      <c r="K412" s="12" t="s">
        <v>2977</v>
      </c>
    </row>
    <row r="413" spans="1:11" x14ac:dyDescent="0.3">
      <c r="A413" s="12" t="s">
        <v>775</v>
      </c>
      <c r="B413" s="12" t="s">
        <v>816</v>
      </c>
      <c r="C413" s="12" t="s">
        <v>2957</v>
      </c>
      <c r="D413" s="12" t="s">
        <v>2978</v>
      </c>
      <c r="E413" s="12">
        <v>4</v>
      </c>
      <c r="F413" s="12" t="s">
        <v>2979</v>
      </c>
      <c r="G413" s="12">
        <v>50</v>
      </c>
      <c r="H413" s="12">
        <v>0</v>
      </c>
      <c r="I413" s="12"/>
      <c r="J413" s="12" t="s">
        <v>2980</v>
      </c>
      <c r="K413" s="12" t="s">
        <v>2981</v>
      </c>
    </row>
    <row r="414" spans="1:11" x14ac:dyDescent="0.3">
      <c r="A414" s="12" t="s">
        <v>775</v>
      </c>
      <c r="B414" s="12" t="s">
        <v>816</v>
      </c>
      <c r="C414" s="12" t="s">
        <v>2982</v>
      </c>
      <c r="D414" s="12"/>
      <c r="E414" s="12">
        <v>3</v>
      </c>
      <c r="F414" s="12" t="s">
        <v>2983</v>
      </c>
      <c r="G414" s="12">
        <v>25</v>
      </c>
      <c r="H414" s="12">
        <v>0</v>
      </c>
      <c r="I414" s="12"/>
      <c r="J414" s="12" t="s">
        <v>2984</v>
      </c>
      <c r="K414" s="12" t="s">
        <v>2985</v>
      </c>
    </row>
    <row r="415" spans="1:11" x14ac:dyDescent="0.3">
      <c r="A415" s="12" t="s">
        <v>775</v>
      </c>
      <c r="B415" s="12" t="s">
        <v>816</v>
      </c>
      <c r="C415" s="12" t="s">
        <v>839</v>
      </c>
      <c r="D415" s="12"/>
      <c r="E415" s="12">
        <v>3</v>
      </c>
      <c r="F415" s="12" t="s">
        <v>840</v>
      </c>
      <c r="G415" s="12">
        <v>229</v>
      </c>
      <c r="H415" s="12">
        <v>0</v>
      </c>
      <c r="I415" s="3" t="s">
        <v>837</v>
      </c>
      <c r="J415" s="12" t="s">
        <v>838</v>
      </c>
      <c r="K415" s="12" t="s">
        <v>2986</v>
      </c>
    </row>
    <row r="416" spans="1:11" x14ac:dyDescent="0.3">
      <c r="A416" s="12" t="s">
        <v>775</v>
      </c>
      <c r="B416" s="12" t="s">
        <v>816</v>
      </c>
      <c r="C416" s="12" t="s">
        <v>2987</v>
      </c>
      <c r="D416" s="12"/>
      <c r="E416" s="12">
        <v>3</v>
      </c>
      <c r="F416" s="12" t="s">
        <v>2988</v>
      </c>
      <c r="G416" s="12">
        <v>2</v>
      </c>
      <c r="H416" s="12">
        <v>0</v>
      </c>
      <c r="I416" s="12"/>
      <c r="J416" s="12" t="s">
        <v>2989</v>
      </c>
      <c r="K416" s="12" t="s">
        <v>2990</v>
      </c>
    </row>
    <row r="417" spans="1:11" x14ac:dyDescent="0.3">
      <c r="A417" s="12" t="s">
        <v>775</v>
      </c>
      <c r="B417" s="12" t="s">
        <v>816</v>
      </c>
      <c r="C417" s="12" t="s">
        <v>2991</v>
      </c>
      <c r="D417" s="12"/>
      <c r="E417" s="12">
        <v>3</v>
      </c>
      <c r="F417" s="12" t="s">
        <v>2992</v>
      </c>
      <c r="G417" s="12">
        <v>14</v>
      </c>
      <c r="H417" s="12">
        <v>0</v>
      </c>
      <c r="I417" s="12"/>
      <c r="J417" s="12" t="s">
        <v>2993</v>
      </c>
      <c r="K417" s="12" t="s">
        <v>2994</v>
      </c>
    </row>
    <row r="418" spans="1:11" x14ac:dyDescent="0.3">
      <c r="A418" s="12" t="s">
        <v>775</v>
      </c>
      <c r="B418" s="12" t="s">
        <v>816</v>
      </c>
      <c r="C418" s="12" t="s">
        <v>941</v>
      </c>
      <c r="D418" s="12"/>
      <c r="E418" s="12">
        <v>3</v>
      </c>
      <c r="F418" s="12" t="s">
        <v>942</v>
      </c>
      <c r="G418" s="12">
        <v>46</v>
      </c>
      <c r="H418" s="12">
        <v>0</v>
      </c>
      <c r="I418" s="3" t="s">
        <v>939</v>
      </c>
      <c r="J418" s="12" t="s">
        <v>940</v>
      </c>
      <c r="K418" s="12" t="s">
        <v>2995</v>
      </c>
    </row>
    <row r="419" spans="1:11" x14ac:dyDescent="0.3">
      <c r="A419" s="12" t="s">
        <v>775</v>
      </c>
      <c r="B419" s="12" t="s">
        <v>816</v>
      </c>
      <c r="C419" s="12" t="s">
        <v>2996</v>
      </c>
      <c r="D419" s="12" t="s">
        <v>2997</v>
      </c>
      <c r="E419" s="12">
        <v>4</v>
      </c>
      <c r="F419" s="12" t="s">
        <v>2998</v>
      </c>
      <c r="G419" s="12">
        <v>17</v>
      </c>
      <c r="H419" s="12">
        <v>0</v>
      </c>
      <c r="I419" s="12"/>
      <c r="J419" s="12" t="s">
        <v>2999</v>
      </c>
      <c r="K419" s="12" t="s">
        <v>3000</v>
      </c>
    </row>
    <row r="420" spans="1:11" x14ac:dyDescent="0.3">
      <c r="A420" s="12" t="s">
        <v>775</v>
      </c>
      <c r="B420" s="12" t="s">
        <v>816</v>
      </c>
      <c r="C420" s="12" t="s">
        <v>2996</v>
      </c>
      <c r="D420" s="12" t="s">
        <v>3001</v>
      </c>
      <c r="E420" s="12">
        <v>4</v>
      </c>
      <c r="F420" s="12" t="s">
        <v>3002</v>
      </c>
      <c r="G420" s="12">
        <v>2</v>
      </c>
      <c r="H420" s="12">
        <v>0</v>
      </c>
      <c r="I420" s="12"/>
      <c r="J420" s="12" t="s">
        <v>3003</v>
      </c>
      <c r="K420" s="12" t="s">
        <v>3004</v>
      </c>
    </row>
    <row r="421" spans="1:11" x14ac:dyDescent="0.3">
      <c r="A421" s="12" t="s">
        <v>775</v>
      </c>
      <c r="B421" s="12" t="s">
        <v>816</v>
      </c>
      <c r="C421" s="12" t="s">
        <v>2996</v>
      </c>
      <c r="D421" s="12" t="s">
        <v>3005</v>
      </c>
      <c r="E421" s="12">
        <v>4</v>
      </c>
      <c r="F421" s="12" t="s">
        <v>3006</v>
      </c>
      <c r="G421" s="12">
        <v>6</v>
      </c>
      <c r="H421" s="12">
        <v>0</v>
      </c>
      <c r="I421" s="12"/>
      <c r="J421" s="12" t="s">
        <v>3007</v>
      </c>
      <c r="K421" s="12" t="s">
        <v>3008</v>
      </c>
    </row>
    <row r="422" spans="1:11" x14ac:dyDescent="0.3">
      <c r="A422" s="12" t="s">
        <v>775</v>
      </c>
      <c r="B422" s="12" t="s">
        <v>816</v>
      </c>
      <c r="C422" s="12" t="s">
        <v>2996</v>
      </c>
      <c r="D422" s="12" t="s">
        <v>3009</v>
      </c>
      <c r="E422" s="12">
        <v>4</v>
      </c>
      <c r="F422" s="12" t="s">
        <v>3010</v>
      </c>
      <c r="G422" s="12">
        <v>5</v>
      </c>
      <c r="H422" s="12">
        <v>0</v>
      </c>
      <c r="I422" s="12"/>
      <c r="J422" s="12" t="s">
        <v>3011</v>
      </c>
      <c r="K422" s="12" t="s">
        <v>3012</v>
      </c>
    </row>
    <row r="423" spans="1:11" x14ac:dyDescent="0.3">
      <c r="A423" s="12" t="s">
        <v>775</v>
      </c>
      <c r="B423" s="12" t="s">
        <v>816</v>
      </c>
      <c r="C423" s="12" t="s">
        <v>2996</v>
      </c>
      <c r="D423" s="12" t="s">
        <v>3013</v>
      </c>
      <c r="E423" s="12">
        <v>4</v>
      </c>
      <c r="F423" s="12" t="s">
        <v>3014</v>
      </c>
      <c r="G423" s="12">
        <v>4</v>
      </c>
      <c r="H423" s="12">
        <v>0</v>
      </c>
      <c r="I423" s="12"/>
      <c r="J423" s="12" t="s">
        <v>3015</v>
      </c>
      <c r="K423" s="12" t="s">
        <v>3016</v>
      </c>
    </row>
    <row r="424" spans="1:11" x14ac:dyDescent="0.3">
      <c r="A424" s="12" t="s">
        <v>775</v>
      </c>
      <c r="B424" s="12" t="s">
        <v>816</v>
      </c>
      <c r="C424" s="12" t="s">
        <v>2996</v>
      </c>
      <c r="D424" s="12" t="s">
        <v>3017</v>
      </c>
      <c r="E424" s="12">
        <v>4</v>
      </c>
      <c r="F424" s="12" t="s">
        <v>3018</v>
      </c>
      <c r="G424" s="12">
        <v>6</v>
      </c>
      <c r="H424" s="12">
        <v>0</v>
      </c>
      <c r="I424" s="12"/>
      <c r="J424" s="12" t="s">
        <v>3019</v>
      </c>
      <c r="K424" s="12" t="s">
        <v>3020</v>
      </c>
    </row>
    <row r="425" spans="1:11" x14ac:dyDescent="0.3">
      <c r="A425" s="12" t="s">
        <v>775</v>
      </c>
      <c r="B425" s="12" t="s">
        <v>816</v>
      </c>
      <c r="C425" s="12" t="s">
        <v>3021</v>
      </c>
      <c r="D425" s="12"/>
      <c r="E425" s="12">
        <v>3</v>
      </c>
      <c r="F425" s="12" t="s">
        <v>3022</v>
      </c>
      <c r="G425" s="12">
        <v>52</v>
      </c>
      <c r="H425" s="12">
        <v>0</v>
      </c>
      <c r="I425" s="12"/>
      <c r="J425" s="12" t="s">
        <v>3023</v>
      </c>
      <c r="K425" s="12" t="s">
        <v>3024</v>
      </c>
    </row>
    <row r="426" spans="1:11" x14ac:dyDescent="0.3">
      <c r="A426" s="12" t="s">
        <v>775</v>
      </c>
      <c r="B426" s="12" t="s">
        <v>816</v>
      </c>
      <c r="C426" s="12" t="s">
        <v>843</v>
      </c>
      <c r="D426" s="12"/>
      <c r="E426" s="12">
        <v>3</v>
      </c>
      <c r="F426" s="12" t="s">
        <v>431</v>
      </c>
      <c r="G426" s="12">
        <v>435</v>
      </c>
      <c r="H426" s="12">
        <v>0</v>
      </c>
      <c r="I426" s="3" t="s">
        <v>842</v>
      </c>
      <c r="J426" s="12" t="s">
        <v>430</v>
      </c>
      <c r="K426" s="12" t="s">
        <v>438</v>
      </c>
    </row>
    <row r="427" spans="1:11" x14ac:dyDescent="0.3">
      <c r="A427" s="12" t="s">
        <v>775</v>
      </c>
      <c r="B427" s="12" t="s">
        <v>816</v>
      </c>
      <c r="C427" s="12" t="s">
        <v>3025</v>
      </c>
      <c r="D427" s="12" t="s">
        <v>3026</v>
      </c>
      <c r="E427" s="12">
        <v>4</v>
      </c>
      <c r="F427" s="12" t="s">
        <v>3027</v>
      </c>
      <c r="G427" s="12">
        <v>67</v>
      </c>
      <c r="H427" s="12">
        <v>0</v>
      </c>
      <c r="I427" s="12"/>
      <c r="J427" s="12" t="s">
        <v>3028</v>
      </c>
      <c r="K427" s="12" t="s">
        <v>3029</v>
      </c>
    </row>
    <row r="428" spans="1:11" x14ac:dyDescent="0.3">
      <c r="A428" s="12" t="s">
        <v>775</v>
      </c>
      <c r="B428" s="12" t="s">
        <v>816</v>
      </c>
      <c r="C428" s="12" t="s">
        <v>3025</v>
      </c>
      <c r="D428" s="12" t="s">
        <v>3030</v>
      </c>
      <c r="E428" s="12">
        <v>4</v>
      </c>
      <c r="F428" s="12" t="s">
        <v>3031</v>
      </c>
      <c r="G428" s="12">
        <v>11</v>
      </c>
      <c r="H428" s="12">
        <v>0</v>
      </c>
      <c r="I428" s="12"/>
      <c r="J428" s="12" t="s">
        <v>3032</v>
      </c>
      <c r="K428" s="12" t="s">
        <v>3033</v>
      </c>
    </row>
    <row r="429" spans="1:11" x14ac:dyDescent="0.3">
      <c r="A429" s="12" t="s">
        <v>775</v>
      </c>
      <c r="B429" s="12" t="s">
        <v>816</v>
      </c>
      <c r="C429" s="12" t="s">
        <v>3025</v>
      </c>
      <c r="D429" s="12" t="s">
        <v>3034</v>
      </c>
      <c r="E429" s="12">
        <v>4</v>
      </c>
      <c r="F429" s="12" t="s">
        <v>3035</v>
      </c>
      <c r="G429" s="12">
        <v>39</v>
      </c>
      <c r="H429" s="12">
        <v>0</v>
      </c>
      <c r="I429" s="12"/>
      <c r="J429" s="12" t="s">
        <v>3036</v>
      </c>
      <c r="K429" s="12" t="s">
        <v>3037</v>
      </c>
    </row>
    <row r="430" spans="1:11" x14ac:dyDescent="0.3">
      <c r="A430" s="12" t="s">
        <v>775</v>
      </c>
      <c r="B430" s="12" t="s">
        <v>816</v>
      </c>
      <c r="C430" s="12" t="s">
        <v>3025</v>
      </c>
      <c r="D430" s="12" t="s">
        <v>3038</v>
      </c>
      <c r="E430" s="12">
        <v>4</v>
      </c>
      <c r="F430" s="12" t="s">
        <v>3039</v>
      </c>
      <c r="G430" s="12">
        <v>52</v>
      </c>
      <c r="H430" s="12">
        <v>0</v>
      </c>
      <c r="I430" s="12"/>
      <c r="J430" s="12" t="s">
        <v>3040</v>
      </c>
      <c r="K430" s="12" t="s">
        <v>3041</v>
      </c>
    </row>
    <row r="431" spans="1:11" x14ac:dyDescent="0.3">
      <c r="A431" s="12" t="s">
        <v>775</v>
      </c>
      <c r="B431" s="12" t="s">
        <v>816</v>
      </c>
      <c r="C431" s="12" t="s">
        <v>3025</v>
      </c>
      <c r="D431" s="12" t="s">
        <v>3042</v>
      </c>
      <c r="E431" s="12">
        <v>4</v>
      </c>
      <c r="F431" s="12" t="s">
        <v>3043</v>
      </c>
      <c r="G431" s="12">
        <v>67</v>
      </c>
      <c r="H431" s="12">
        <v>0</v>
      </c>
      <c r="I431" s="12"/>
      <c r="J431" s="12" t="s">
        <v>3044</v>
      </c>
      <c r="K431" s="12" t="s">
        <v>3045</v>
      </c>
    </row>
    <row r="432" spans="1:11" x14ac:dyDescent="0.3">
      <c r="A432" s="12" t="s">
        <v>775</v>
      </c>
      <c r="B432" s="12" t="s">
        <v>816</v>
      </c>
      <c r="C432" s="12" t="s">
        <v>3025</v>
      </c>
      <c r="D432" s="12" t="s">
        <v>3046</v>
      </c>
      <c r="E432" s="12">
        <v>4</v>
      </c>
      <c r="F432" s="12" t="s">
        <v>3047</v>
      </c>
      <c r="G432" s="12">
        <v>67</v>
      </c>
      <c r="H432" s="12">
        <v>0</v>
      </c>
      <c r="I432" s="12"/>
      <c r="J432" s="12" t="s">
        <v>3048</v>
      </c>
      <c r="K432" s="12" t="s">
        <v>3049</v>
      </c>
    </row>
    <row r="433" spans="1:11" x14ac:dyDescent="0.3">
      <c r="A433" s="12" t="s">
        <v>775</v>
      </c>
      <c r="B433" s="12" t="s">
        <v>816</v>
      </c>
      <c r="C433" s="12" t="s">
        <v>3050</v>
      </c>
      <c r="D433" s="12"/>
      <c r="E433" s="12">
        <v>3</v>
      </c>
      <c r="F433" s="12" t="s">
        <v>3051</v>
      </c>
      <c r="G433" s="12">
        <v>6</v>
      </c>
      <c r="H433" s="12">
        <v>0</v>
      </c>
      <c r="I433" s="12"/>
      <c r="J433" s="12" t="s">
        <v>3052</v>
      </c>
      <c r="K433" s="12" t="s">
        <v>3053</v>
      </c>
    </row>
    <row r="434" spans="1:11" x14ac:dyDescent="0.3">
      <c r="A434" s="12" t="s">
        <v>775</v>
      </c>
      <c r="B434" s="12" t="s">
        <v>816</v>
      </c>
      <c r="C434" s="12" t="s">
        <v>3054</v>
      </c>
      <c r="D434" s="12" t="s">
        <v>3055</v>
      </c>
      <c r="E434" s="12">
        <v>4</v>
      </c>
      <c r="F434" s="12" t="s">
        <v>3056</v>
      </c>
      <c r="G434" s="12">
        <v>764</v>
      </c>
      <c r="H434" s="12">
        <v>0</v>
      </c>
      <c r="I434" s="12"/>
      <c r="J434" s="12" t="s">
        <v>3057</v>
      </c>
      <c r="K434" s="12" t="s">
        <v>3058</v>
      </c>
    </row>
    <row r="435" spans="1:11" x14ac:dyDescent="0.3">
      <c r="A435" s="12" t="s">
        <v>775</v>
      </c>
      <c r="B435" s="12" t="s">
        <v>816</v>
      </c>
      <c r="C435" s="12" t="s">
        <v>3054</v>
      </c>
      <c r="D435" s="12" t="s">
        <v>3059</v>
      </c>
      <c r="E435" s="12">
        <v>4</v>
      </c>
      <c r="F435" s="12" t="s">
        <v>3060</v>
      </c>
      <c r="G435" s="12">
        <v>316</v>
      </c>
      <c r="H435" s="12">
        <v>0</v>
      </c>
      <c r="I435" s="12"/>
      <c r="J435" s="12" t="s">
        <v>3061</v>
      </c>
      <c r="K435" s="12" t="s">
        <v>3062</v>
      </c>
    </row>
    <row r="436" spans="1:11" x14ac:dyDescent="0.3">
      <c r="A436" s="12" t="s">
        <v>775</v>
      </c>
      <c r="B436" s="12" t="s">
        <v>816</v>
      </c>
      <c r="C436" s="12" t="s">
        <v>3054</v>
      </c>
      <c r="D436" s="12" t="s">
        <v>3063</v>
      </c>
      <c r="E436" s="12">
        <v>4</v>
      </c>
      <c r="F436" s="12" t="s">
        <v>3064</v>
      </c>
      <c r="G436" s="12">
        <v>1144</v>
      </c>
      <c r="H436" s="12">
        <v>0</v>
      </c>
      <c r="I436" s="12"/>
      <c r="J436" s="12" t="s">
        <v>3065</v>
      </c>
      <c r="K436" s="12" t="s">
        <v>3066</v>
      </c>
    </row>
    <row r="437" spans="1:11" x14ac:dyDescent="0.3">
      <c r="A437" s="12" t="s">
        <v>775</v>
      </c>
      <c r="B437" s="12" t="s">
        <v>816</v>
      </c>
      <c r="C437" s="12" t="s">
        <v>3054</v>
      </c>
      <c r="D437" s="12" t="s">
        <v>3067</v>
      </c>
      <c r="E437" s="12">
        <v>4</v>
      </c>
      <c r="F437" s="12" t="s">
        <v>3068</v>
      </c>
      <c r="G437" s="12">
        <v>2</v>
      </c>
      <c r="H437" s="12">
        <v>0</v>
      </c>
      <c r="I437" s="12"/>
      <c r="J437" s="12" t="s">
        <v>3069</v>
      </c>
      <c r="K437" s="12" t="s">
        <v>3070</v>
      </c>
    </row>
    <row r="438" spans="1:11" x14ac:dyDescent="0.3">
      <c r="A438" s="12" t="s">
        <v>775</v>
      </c>
      <c r="B438" s="12" t="s">
        <v>816</v>
      </c>
      <c r="C438" s="12" t="s">
        <v>3054</v>
      </c>
      <c r="D438" s="12" t="s">
        <v>3071</v>
      </c>
      <c r="E438" s="12">
        <v>4</v>
      </c>
      <c r="F438" s="12" t="s">
        <v>3072</v>
      </c>
      <c r="G438" s="12">
        <v>1463</v>
      </c>
      <c r="H438" s="12">
        <v>0</v>
      </c>
      <c r="I438" s="12"/>
      <c r="J438" s="12" t="s">
        <v>3073</v>
      </c>
      <c r="K438" s="12" t="s">
        <v>3074</v>
      </c>
    </row>
    <row r="439" spans="1:11" x14ac:dyDescent="0.3">
      <c r="A439" s="12" t="s">
        <v>775</v>
      </c>
      <c r="B439" s="12" t="s">
        <v>816</v>
      </c>
      <c r="C439" s="12" t="s">
        <v>3054</v>
      </c>
      <c r="D439" s="12" t="s">
        <v>3075</v>
      </c>
      <c r="E439" s="12">
        <v>4</v>
      </c>
      <c r="F439" s="12" t="s">
        <v>3076</v>
      </c>
      <c r="G439" s="12">
        <v>572</v>
      </c>
      <c r="H439" s="12">
        <v>0</v>
      </c>
      <c r="I439" s="12"/>
      <c r="J439" s="12" t="s">
        <v>3077</v>
      </c>
      <c r="K439" s="12" t="s">
        <v>3078</v>
      </c>
    </row>
    <row r="440" spans="1:11" x14ac:dyDescent="0.3">
      <c r="A440" s="12" t="s">
        <v>775</v>
      </c>
      <c r="B440" s="12" t="s">
        <v>816</v>
      </c>
      <c r="C440" s="12" t="s">
        <v>3054</v>
      </c>
      <c r="D440" s="12" t="s">
        <v>3079</v>
      </c>
      <c r="E440" s="12">
        <v>4</v>
      </c>
      <c r="F440" s="12" t="s">
        <v>3080</v>
      </c>
      <c r="G440" s="12">
        <v>8</v>
      </c>
      <c r="H440" s="12">
        <v>0</v>
      </c>
      <c r="I440" s="12"/>
      <c r="J440" s="12" t="s">
        <v>3081</v>
      </c>
      <c r="K440" s="12" t="s">
        <v>3082</v>
      </c>
    </row>
    <row r="441" spans="1:11" x14ac:dyDescent="0.3">
      <c r="A441" s="12" t="s">
        <v>775</v>
      </c>
      <c r="B441" s="12" t="s">
        <v>816</v>
      </c>
      <c r="C441" s="12" t="s">
        <v>3054</v>
      </c>
      <c r="D441" s="12" t="s">
        <v>3083</v>
      </c>
      <c r="E441" s="12">
        <v>4</v>
      </c>
      <c r="F441" s="12" t="s">
        <v>3084</v>
      </c>
      <c r="G441" s="12">
        <v>15</v>
      </c>
      <c r="H441" s="12">
        <v>0</v>
      </c>
      <c r="I441" s="12"/>
      <c r="J441" s="12" t="s">
        <v>3085</v>
      </c>
      <c r="K441" s="12" t="s">
        <v>3086</v>
      </c>
    </row>
    <row r="442" spans="1:11" x14ac:dyDescent="0.3">
      <c r="A442" s="12" t="s">
        <v>775</v>
      </c>
      <c r="B442" s="12" t="s">
        <v>816</v>
      </c>
      <c r="C442" s="12" t="s">
        <v>3054</v>
      </c>
      <c r="D442" s="12" t="s">
        <v>3087</v>
      </c>
      <c r="E442" s="12">
        <v>4</v>
      </c>
      <c r="F442" s="12" t="s">
        <v>3088</v>
      </c>
      <c r="G442" s="12">
        <v>57</v>
      </c>
      <c r="H442" s="12">
        <v>0</v>
      </c>
      <c r="I442" s="12"/>
      <c r="J442" s="12" t="s">
        <v>3089</v>
      </c>
      <c r="K442" s="12" t="s">
        <v>3090</v>
      </c>
    </row>
    <row r="443" spans="1:11" x14ac:dyDescent="0.3">
      <c r="A443" s="12" t="s">
        <v>775</v>
      </c>
      <c r="B443" s="12" t="s">
        <v>816</v>
      </c>
      <c r="C443" s="12" t="s">
        <v>3054</v>
      </c>
      <c r="D443" s="12" t="s">
        <v>3091</v>
      </c>
      <c r="E443" s="12">
        <v>4</v>
      </c>
      <c r="F443" s="12" t="s">
        <v>3092</v>
      </c>
      <c r="G443" s="12">
        <v>415</v>
      </c>
      <c r="H443" s="12">
        <v>0</v>
      </c>
      <c r="I443" s="12"/>
      <c r="J443" s="12" t="s">
        <v>3093</v>
      </c>
      <c r="K443" s="12" t="s">
        <v>3094</v>
      </c>
    </row>
    <row r="444" spans="1:11" x14ac:dyDescent="0.3">
      <c r="A444" s="12" t="s">
        <v>775</v>
      </c>
      <c r="B444" s="12" t="s">
        <v>816</v>
      </c>
      <c r="C444" s="12" t="s">
        <v>3054</v>
      </c>
      <c r="D444" s="12" t="s">
        <v>3095</v>
      </c>
      <c r="E444" s="12">
        <v>4</v>
      </c>
      <c r="F444" s="12" t="s">
        <v>3096</v>
      </c>
      <c r="G444" s="12">
        <v>1</v>
      </c>
      <c r="H444" s="12">
        <v>0</v>
      </c>
      <c r="I444" s="12"/>
      <c r="J444" s="12" t="s">
        <v>3097</v>
      </c>
      <c r="K444" s="12" t="s">
        <v>3098</v>
      </c>
    </row>
    <row r="445" spans="1:11" x14ac:dyDescent="0.3">
      <c r="A445" s="12" t="s">
        <v>775</v>
      </c>
      <c r="B445" s="12" t="s">
        <v>816</v>
      </c>
      <c r="C445" s="12" t="s">
        <v>3054</v>
      </c>
      <c r="D445" s="12" t="s">
        <v>3099</v>
      </c>
      <c r="E445" s="12">
        <v>4</v>
      </c>
      <c r="F445" s="12" t="s">
        <v>3100</v>
      </c>
      <c r="G445" s="12">
        <v>13</v>
      </c>
      <c r="H445" s="12">
        <v>0</v>
      </c>
      <c r="I445" s="12"/>
      <c r="J445" s="12" t="s">
        <v>3101</v>
      </c>
      <c r="K445" s="12" t="s">
        <v>3102</v>
      </c>
    </row>
    <row r="446" spans="1:11" x14ac:dyDescent="0.3">
      <c r="A446" s="12" t="s">
        <v>775</v>
      </c>
      <c r="B446" s="12" t="s">
        <v>816</v>
      </c>
      <c r="C446" s="12" t="s">
        <v>3054</v>
      </c>
      <c r="D446" s="12" t="s">
        <v>3103</v>
      </c>
      <c r="E446" s="12">
        <v>4</v>
      </c>
      <c r="F446" s="12" t="s">
        <v>3104</v>
      </c>
      <c r="G446" s="12">
        <v>1166</v>
      </c>
      <c r="H446" s="12">
        <v>0</v>
      </c>
      <c r="I446" s="12"/>
      <c r="J446" s="12" t="s">
        <v>3105</v>
      </c>
      <c r="K446" s="12" t="s">
        <v>3106</v>
      </c>
    </row>
    <row r="447" spans="1:11" x14ac:dyDescent="0.3">
      <c r="A447" s="12" t="s">
        <v>775</v>
      </c>
      <c r="B447" s="12" t="s">
        <v>816</v>
      </c>
      <c r="C447" s="12" t="s">
        <v>3054</v>
      </c>
      <c r="D447" s="12" t="s">
        <v>3107</v>
      </c>
      <c r="E447" s="12">
        <v>4</v>
      </c>
      <c r="F447" s="12" t="s">
        <v>3108</v>
      </c>
      <c r="G447" s="12">
        <v>13</v>
      </c>
      <c r="H447" s="12">
        <v>0</v>
      </c>
      <c r="I447" s="12"/>
      <c r="J447" s="12" t="s">
        <v>3109</v>
      </c>
      <c r="K447" s="12" t="s">
        <v>3110</v>
      </c>
    </row>
    <row r="448" spans="1:11" x14ac:dyDescent="0.3">
      <c r="A448" s="12" t="s">
        <v>775</v>
      </c>
      <c r="B448" s="12" t="s">
        <v>816</v>
      </c>
      <c r="C448" s="12" t="s">
        <v>3054</v>
      </c>
      <c r="D448" s="12" t="s">
        <v>3111</v>
      </c>
      <c r="E448" s="12">
        <v>4</v>
      </c>
      <c r="F448" s="12" t="s">
        <v>3112</v>
      </c>
      <c r="G448" s="12">
        <v>629</v>
      </c>
      <c r="H448" s="12">
        <v>0</v>
      </c>
      <c r="I448" s="12"/>
      <c r="J448" s="12" t="s">
        <v>3113</v>
      </c>
      <c r="K448" s="12" t="s">
        <v>3114</v>
      </c>
    </row>
    <row r="449" spans="1:11" x14ac:dyDescent="0.3">
      <c r="A449" s="12" t="s">
        <v>775</v>
      </c>
      <c r="B449" s="12" t="s">
        <v>816</v>
      </c>
      <c r="C449" s="12" t="s">
        <v>3054</v>
      </c>
      <c r="D449" s="12" t="s">
        <v>3115</v>
      </c>
      <c r="E449" s="12">
        <v>4</v>
      </c>
      <c r="F449" s="12" t="s">
        <v>3116</v>
      </c>
      <c r="G449" s="12">
        <v>1</v>
      </c>
      <c r="H449" s="12">
        <v>0</v>
      </c>
      <c r="I449" s="12"/>
      <c r="J449" s="12" t="s">
        <v>3117</v>
      </c>
      <c r="K449" s="12" t="s">
        <v>3118</v>
      </c>
    </row>
    <row r="450" spans="1:11" x14ac:dyDescent="0.3">
      <c r="A450" s="12" t="s">
        <v>775</v>
      </c>
      <c r="B450" s="12" t="s">
        <v>816</v>
      </c>
      <c r="C450" s="12" t="s">
        <v>3054</v>
      </c>
      <c r="D450" s="12" t="s">
        <v>3119</v>
      </c>
      <c r="E450" s="12">
        <v>4</v>
      </c>
      <c r="F450" s="12" t="s">
        <v>3120</v>
      </c>
      <c r="G450" s="12">
        <v>3</v>
      </c>
      <c r="H450" s="12">
        <v>0</v>
      </c>
      <c r="I450" s="12"/>
      <c r="J450" s="12" t="s">
        <v>3121</v>
      </c>
      <c r="K450" s="12" t="s">
        <v>3122</v>
      </c>
    </row>
    <row r="451" spans="1:11" x14ac:dyDescent="0.3">
      <c r="A451" s="12" t="s">
        <v>775</v>
      </c>
      <c r="B451" s="12" t="s">
        <v>816</v>
      </c>
      <c r="C451" s="12" t="s">
        <v>3054</v>
      </c>
      <c r="D451" s="12" t="s">
        <v>3123</v>
      </c>
      <c r="E451" s="12">
        <v>4</v>
      </c>
      <c r="F451" s="12" t="s">
        <v>3124</v>
      </c>
      <c r="G451" s="12">
        <v>120</v>
      </c>
      <c r="H451" s="12">
        <v>0</v>
      </c>
      <c r="I451" s="12"/>
      <c r="J451" s="12" t="s">
        <v>3125</v>
      </c>
      <c r="K451" s="12" t="s">
        <v>3126</v>
      </c>
    </row>
    <row r="452" spans="1:11" x14ac:dyDescent="0.3">
      <c r="A452" s="12" t="s">
        <v>775</v>
      </c>
      <c r="B452" s="12" t="s">
        <v>816</v>
      </c>
      <c r="C452" s="12" t="s">
        <v>3054</v>
      </c>
      <c r="D452" s="12" t="s">
        <v>3127</v>
      </c>
      <c r="E452" s="12">
        <v>4</v>
      </c>
      <c r="F452" s="12" t="s">
        <v>3128</v>
      </c>
      <c r="G452" s="12">
        <v>168</v>
      </c>
      <c r="H452" s="12">
        <v>0</v>
      </c>
      <c r="I452" s="12"/>
      <c r="J452" s="12" t="s">
        <v>3129</v>
      </c>
      <c r="K452" s="12" t="s">
        <v>3130</v>
      </c>
    </row>
    <row r="453" spans="1:11" x14ac:dyDescent="0.3">
      <c r="A453" s="12" t="s">
        <v>775</v>
      </c>
      <c r="B453" s="12" t="s">
        <v>816</v>
      </c>
      <c r="C453" s="12" t="s">
        <v>3054</v>
      </c>
      <c r="D453" s="12" t="s">
        <v>3131</v>
      </c>
      <c r="E453" s="12">
        <v>4</v>
      </c>
      <c r="F453" s="12" t="s">
        <v>3132</v>
      </c>
      <c r="G453" s="12">
        <v>303</v>
      </c>
      <c r="H453" s="12">
        <v>0</v>
      </c>
      <c r="I453" s="12"/>
      <c r="J453" s="12" t="s">
        <v>3133</v>
      </c>
      <c r="K453" s="12" t="s">
        <v>3134</v>
      </c>
    </row>
    <row r="454" spans="1:11" x14ac:dyDescent="0.3">
      <c r="A454" s="12" t="s">
        <v>775</v>
      </c>
      <c r="B454" s="12" t="s">
        <v>816</v>
      </c>
      <c r="C454" s="12" t="s">
        <v>3054</v>
      </c>
      <c r="D454" s="12" t="s">
        <v>3135</v>
      </c>
      <c r="E454" s="12">
        <v>4</v>
      </c>
      <c r="F454" s="12" t="s">
        <v>1244</v>
      </c>
      <c r="G454" s="12">
        <v>10635</v>
      </c>
      <c r="H454" s="12">
        <v>0</v>
      </c>
      <c r="I454" s="12"/>
      <c r="J454" s="12" t="s">
        <v>3136</v>
      </c>
      <c r="K454" s="12" t="s">
        <v>3137</v>
      </c>
    </row>
    <row r="455" spans="1:11" x14ac:dyDescent="0.3">
      <c r="A455" s="12" t="s">
        <v>775</v>
      </c>
      <c r="B455" s="12" t="s">
        <v>816</v>
      </c>
      <c r="C455" s="12" t="s">
        <v>3054</v>
      </c>
      <c r="D455" s="12" t="s">
        <v>3138</v>
      </c>
      <c r="E455" s="12">
        <v>4</v>
      </c>
      <c r="F455" s="12" t="s">
        <v>3139</v>
      </c>
      <c r="G455" s="12">
        <v>293</v>
      </c>
      <c r="H455" s="12">
        <v>0</v>
      </c>
      <c r="I455" s="12"/>
      <c r="J455" s="12" t="s">
        <v>3140</v>
      </c>
      <c r="K455" s="12" t="s">
        <v>3141</v>
      </c>
    </row>
    <row r="456" spans="1:11" x14ac:dyDescent="0.3">
      <c r="A456" s="12" t="s">
        <v>775</v>
      </c>
      <c r="B456" s="12" t="s">
        <v>816</v>
      </c>
      <c r="C456" s="12" t="s">
        <v>3142</v>
      </c>
      <c r="D456" s="12"/>
      <c r="E456" s="12">
        <v>3</v>
      </c>
      <c r="F456" s="12" t="s">
        <v>3143</v>
      </c>
      <c r="G456" s="12">
        <v>18</v>
      </c>
      <c r="H456" s="12">
        <v>0</v>
      </c>
      <c r="I456" s="12"/>
      <c r="J456" s="12" t="s">
        <v>3144</v>
      </c>
      <c r="K456" s="12" t="s">
        <v>3145</v>
      </c>
    </row>
    <row r="457" spans="1:11" x14ac:dyDescent="0.3">
      <c r="A457" s="12" t="s">
        <v>775</v>
      </c>
      <c r="B457" s="12" t="s">
        <v>117</v>
      </c>
      <c r="C457" s="12" t="s">
        <v>3146</v>
      </c>
      <c r="D457" s="12"/>
      <c r="E457" s="12">
        <v>3</v>
      </c>
      <c r="F457" s="12" t="s">
        <v>3147</v>
      </c>
      <c r="G457" s="12">
        <v>20</v>
      </c>
      <c r="H457" s="12">
        <v>16</v>
      </c>
      <c r="I457" s="12"/>
      <c r="J457" s="12" t="s">
        <v>3148</v>
      </c>
      <c r="K457" s="12" t="s">
        <v>3149</v>
      </c>
    </row>
    <row r="458" spans="1:11" x14ac:dyDescent="0.3">
      <c r="A458" s="12" t="s">
        <v>775</v>
      </c>
      <c r="B458" s="12" t="s">
        <v>117</v>
      </c>
      <c r="C458" s="12" t="s">
        <v>988</v>
      </c>
      <c r="D458" s="12" t="s">
        <v>3150</v>
      </c>
      <c r="E458" s="12">
        <v>4</v>
      </c>
      <c r="F458" s="12" t="s">
        <v>3151</v>
      </c>
      <c r="G458" s="12">
        <v>176</v>
      </c>
      <c r="H458" s="12">
        <v>157</v>
      </c>
      <c r="I458" s="12"/>
      <c r="J458" s="12" t="s">
        <v>3152</v>
      </c>
      <c r="K458" s="12" t="s">
        <v>3153</v>
      </c>
    </row>
    <row r="459" spans="1:11" x14ac:dyDescent="0.3">
      <c r="A459" s="12" t="s">
        <v>775</v>
      </c>
      <c r="B459" s="12" t="s">
        <v>117</v>
      </c>
      <c r="C459" s="12" t="s">
        <v>988</v>
      </c>
      <c r="D459" s="12" t="s">
        <v>989</v>
      </c>
      <c r="E459" s="12">
        <v>4</v>
      </c>
      <c r="F459" s="12" t="s">
        <v>218</v>
      </c>
      <c r="G459" s="12">
        <v>77</v>
      </c>
      <c r="H459" s="12">
        <v>40</v>
      </c>
      <c r="I459" s="3" t="s">
        <v>216</v>
      </c>
      <c r="J459" s="12" t="s">
        <v>217</v>
      </c>
      <c r="K459" s="12" t="s">
        <v>3154</v>
      </c>
    </row>
    <row r="460" spans="1:11" x14ac:dyDescent="0.3">
      <c r="A460" s="12" t="s">
        <v>775</v>
      </c>
      <c r="B460" s="12" t="s">
        <v>117</v>
      </c>
      <c r="C460" s="12" t="s">
        <v>809</v>
      </c>
      <c r="D460" s="12"/>
      <c r="E460" s="12">
        <v>3</v>
      </c>
      <c r="F460" s="12" t="s">
        <v>212</v>
      </c>
      <c r="G460" s="12">
        <v>1501</v>
      </c>
      <c r="H460" s="12">
        <v>1265</v>
      </c>
      <c r="I460" s="3" t="s">
        <v>210</v>
      </c>
      <c r="J460" s="12" t="s">
        <v>211</v>
      </c>
      <c r="K460" s="12" t="s">
        <v>381</v>
      </c>
    </row>
    <row r="461" spans="1:11" x14ac:dyDescent="0.3">
      <c r="A461" s="12" t="s">
        <v>775</v>
      </c>
      <c r="B461" s="12" t="s">
        <v>117</v>
      </c>
      <c r="C461" s="12" t="s">
        <v>944</v>
      </c>
      <c r="D461" s="12"/>
      <c r="E461" s="12">
        <v>3</v>
      </c>
      <c r="F461" s="12" t="s">
        <v>215</v>
      </c>
      <c r="G461" s="12">
        <v>576</v>
      </c>
      <c r="H461" s="12">
        <v>395</v>
      </c>
      <c r="I461" s="3" t="s">
        <v>213</v>
      </c>
      <c r="J461" s="12" t="s">
        <v>214</v>
      </c>
      <c r="K461" s="12" t="s">
        <v>3155</v>
      </c>
    </row>
    <row r="462" spans="1:11" x14ac:dyDescent="0.3">
      <c r="A462" s="12" t="s">
        <v>775</v>
      </c>
      <c r="B462" s="12" t="s">
        <v>3156</v>
      </c>
      <c r="C462" s="12"/>
      <c r="D462" s="12"/>
      <c r="E462" s="12">
        <v>2</v>
      </c>
      <c r="F462" s="12" t="s">
        <v>3157</v>
      </c>
      <c r="G462" s="12">
        <v>798</v>
      </c>
      <c r="H462" s="12">
        <v>0</v>
      </c>
      <c r="I462" s="12"/>
      <c r="J462" s="12" t="s">
        <v>3158</v>
      </c>
      <c r="K462" s="12" t="s">
        <v>3159</v>
      </c>
    </row>
    <row r="463" spans="1:11" x14ac:dyDescent="0.3">
      <c r="A463" s="12" t="s">
        <v>775</v>
      </c>
      <c r="B463" s="12" t="s">
        <v>3160</v>
      </c>
      <c r="C463" s="12"/>
      <c r="D463" s="12"/>
      <c r="E463" s="12">
        <v>2</v>
      </c>
      <c r="F463" s="12" t="s">
        <v>3161</v>
      </c>
      <c r="G463" s="12">
        <v>8</v>
      </c>
      <c r="H463" s="12">
        <v>0</v>
      </c>
      <c r="I463" s="12"/>
      <c r="J463" s="12" t="s">
        <v>3162</v>
      </c>
      <c r="K463" s="12" t="s">
        <v>3163</v>
      </c>
    </row>
    <row r="464" spans="1:11" x14ac:dyDescent="0.3">
      <c r="A464" s="12" t="s">
        <v>775</v>
      </c>
      <c r="B464" s="12" t="s">
        <v>950</v>
      </c>
      <c r="C464" s="12" t="s">
        <v>951</v>
      </c>
      <c r="D464" s="12"/>
      <c r="E464" s="12">
        <v>3</v>
      </c>
      <c r="F464" s="12" t="s">
        <v>952</v>
      </c>
      <c r="G464" s="12">
        <v>203</v>
      </c>
      <c r="H464" s="12">
        <v>0</v>
      </c>
      <c r="I464" s="3" t="s">
        <v>948</v>
      </c>
      <c r="J464" s="12" t="s">
        <v>949</v>
      </c>
      <c r="K464" s="12" t="s">
        <v>3164</v>
      </c>
    </row>
    <row r="465" spans="1:11" x14ac:dyDescent="0.3">
      <c r="A465" s="12" t="s">
        <v>775</v>
      </c>
      <c r="B465" s="12" t="s">
        <v>950</v>
      </c>
      <c r="C465" s="12" t="s">
        <v>3165</v>
      </c>
      <c r="D465" s="12"/>
      <c r="E465" s="12">
        <v>3</v>
      </c>
      <c r="F465" s="12" t="s">
        <v>3166</v>
      </c>
      <c r="G465" s="12">
        <v>718</v>
      </c>
      <c r="H465" s="12">
        <v>0</v>
      </c>
      <c r="I465" s="12"/>
      <c r="J465" s="12" t="s">
        <v>3167</v>
      </c>
      <c r="K465" s="12" t="s">
        <v>3168</v>
      </c>
    </row>
    <row r="466" spans="1:11" x14ac:dyDescent="0.3">
      <c r="A466" s="12" t="s">
        <v>775</v>
      </c>
      <c r="B466" s="12" t="s">
        <v>950</v>
      </c>
      <c r="C466" s="12" t="s">
        <v>3169</v>
      </c>
      <c r="D466" s="12"/>
      <c r="E466" s="12">
        <v>3</v>
      </c>
      <c r="F466" s="12" t="s">
        <v>3170</v>
      </c>
      <c r="G466" s="12">
        <v>603</v>
      </c>
      <c r="H466" s="12">
        <v>0</v>
      </c>
      <c r="I466" s="12"/>
      <c r="J466" s="12" t="s">
        <v>3171</v>
      </c>
      <c r="K466" s="12" t="s">
        <v>3172</v>
      </c>
    </row>
    <row r="467" spans="1:11" x14ac:dyDescent="0.3">
      <c r="A467" s="12" t="s">
        <v>775</v>
      </c>
      <c r="B467" s="12" t="s">
        <v>950</v>
      </c>
      <c r="C467" s="12" t="s">
        <v>3173</v>
      </c>
      <c r="D467" s="12"/>
      <c r="E467" s="12">
        <v>3</v>
      </c>
      <c r="F467" s="12" t="s">
        <v>3174</v>
      </c>
      <c r="G467" s="12">
        <v>151</v>
      </c>
      <c r="H467" s="12">
        <v>0</v>
      </c>
      <c r="I467" s="12"/>
      <c r="J467" s="12" t="s">
        <v>3175</v>
      </c>
      <c r="K467" s="12" t="s">
        <v>3176</v>
      </c>
    </row>
    <row r="468" spans="1:11" x14ac:dyDescent="0.3">
      <c r="A468" s="12" t="s">
        <v>775</v>
      </c>
      <c r="B468" s="12" t="s">
        <v>950</v>
      </c>
      <c r="C468" s="12" t="s">
        <v>3177</v>
      </c>
      <c r="D468" s="12"/>
      <c r="E468" s="12">
        <v>3</v>
      </c>
      <c r="F468" s="12" t="s">
        <v>3178</v>
      </c>
      <c r="G468" s="12">
        <v>122</v>
      </c>
      <c r="H468" s="12">
        <v>0</v>
      </c>
      <c r="I468" s="12"/>
      <c r="J468" s="12" t="s">
        <v>3179</v>
      </c>
      <c r="K468" s="12" t="s">
        <v>3180</v>
      </c>
    </row>
    <row r="469" spans="1:11" x14ac:dyDescent="0.3">
      <c r="A469" s="12" t="s">
        <v>775</v>
      </c>
      <c r="B469" s="12" t="s">
        <v>950</v>
      </c>
      <c r="C469" s="12" t="s">
        <v>3181</v>
      </c>
      <c r="D469" s="12"/>
      <c r="E469" s="12">
        <v>3</v>
      </c>
      <c r="F469" s="12" t="s">
        <v>3182</v>
      </c>
      <c r="G469" s="12">
        <v>71</v>
      </c>
      <c r="H469" s="12">
        <v>0</v>
      </c>
      <c r="I469" s="12"/>
      <c r="J469" s="12" t="s">
        <v>3183</v>
      </c>
      <c r="K469" s="12" t="s">
        <v>3184</v>
      </c>
    </row>
    <row r="470" spans="1:11" x14ac:dyDescent="0.3">
      <c r="A470" s="12" t="s">
        <v>775</v>
      </c>
      <c r="B470" s="12" t="s">
        <v>950</v>
      </c>
      <c r="C470" s="12" t="s">
        <v>3185</v>
      </c>
      <c r="D470" s="12" t="s">
        <v>3186</v>
      </c>
      <c r="E470" s="12">
        <v>4</v>
      </c>
      <c r="F470" s="12" t="s">
        <v>3187</v>
      </c>
      <c r="G470" s="12">
        <v>46</v>
      </c>
      <c r="H470" s="12">
        <v>0</v>
      </c>
      <c r="I470" s="12"/>
      <c r="J470" s="12" t="s">
        <v>3188</v>
      </c>
      <c r="K470" s="12" t="s">
        <v>3189</v>
      </c>
    </row>
    <row r="471" spans="1:11" x14ac:dyDescent="0.3">
      <c r="A471" s="12" t="s">
        <v>775</v>
      </c>
      <c r="B471" s="12" t="s">
        <v>950</v>
      </c>
      <c r="C471" s="12" t="s">
        <v>3185</v>
      </c>
      <c r="D471" s="12" t="s">
        <v>3190</v>
      </c>
      <c r="E471" s="12">
        <v>4</v>
      </c>
      <c r="F471" s="12" t="s">
        <v>3191</v>
      </c>
      <c r="G471" s="12">
        <v>160</v>
      </c>
      <c r="H471" s="12">
        <v>0</v>
      </c>
      <c r="I471" s="12"/>
      <c r="J471" s="12" t="s">
        <v>3192</v>
      </c>
      <c r="K471" s="12" t="s">
        <v>3193</v>
      </c>
    </row>
    <row r="472" spans="1:11" x14ac:dyDescent="0.3">
      <c r="A472" s="12" t="s">
        <v>775</v>
      </c>
      <c r="B472" s="12" t="s">
        <v>950</v>
      </c>
      <c r="C472" s="12" t="s">
        <v>3194</v>
      </c>
      <c r="D472" s="12"/>
      <c r="E472" s="12">
        <v>3</v>
      </c>
      <c r="F472" s="12" t="s">
        <v>3195</v>
      </c>
      <c r="G472" s="12">
        <v>217</v>
      </c>
      <c r="H472" s="12">
        <v>0</v>
      </c>
      <c r="I472" s="12"/>
      <c r="J472" s="12" t="s">
        <v>3196</v>
      </c>
      <c r="K472" s="12" t="s">
        <v>3197</v>
      </c>
    </row>
    <row r="473" spans="1:11" x14ac:dyDescent="0.3">
      <c r="A473" s="12" t="s">
        <v>775</v>
      </c>
      <c r="B473" s="12" t="s">
        <v>123</v>
      </c>
      <c r="C473" s="12" t="s">
        <v>3198</v>
      </c>
      <c r="D473" s="12"/>
      <c r="E473" s="12">
        <v>3</v>
      </c>
      <c r="F473" s="12" t="s">
        <v>3199</v>
      </c>
      <c r="G473" s="12">
        <v>31</v>
      </c>
      <c r="H473" s="12">
        <v>31</v>
      </c>
      <c r="I473" s="12"/>
      <c r="J473" s="12" t="s">
        <v>3200</v>
      </c>
      <c r="K473" s="12" t="s">
        <v>3201</v>
      </c>
    </row>
    <row r="474" spans="1:11" x14ac:dyDescent="0.3">
      <c r="A474" s="12" t="s">
        <v>775</v>
      </c>
      <c r="B474" s="12" t="s">
        <v>123</v>
      </c>
      <c r="C474" s="12" t="s">
        <v>3202</v>
      </c>
      <c r="D474" s="12"/>
      <c r="E474" s="12">
        <v>3</v>
      </c>
      <c r="F474" s="12" t="s">
        <v>3203</v>
      </c>
      <c r="G474" s="12">
        <v>56</v>
      </c>
      <c r="H474" s="12">
        <v>48</v>
      </c>
      <c r="I474" s="12"/>
      <c r="J474" s="12" t="s">
        <v>3204</v>
      </c>
      <c r="K474" s="12" t="s">
        <v>3205</v>
      </c>
    </row>
    <row r="475" spans="1:11" x14ac:dyDescent="0.3">
      <c r="A475" s="12" t="s">
        <v>775</v>
      </c>
      <c r="B475" s="12" t="s">
        <v>123</v>
      </c>
      <c r="C475" s="12" t="s">
        <v>3206</v>
      </c>
      <c r="D475" s="12"/>
      <c r="E475" s="12">
        <v>3</v>
      </c>
      <c r="F475" s="12" t="s">
        <v>3207</v>
      </c>
      <c r="G475" s="12">
        <v>45</v>
      </c>
      <c r="H475" s="12">
        <v>40</v>
      </c>
      <c r="I475" s="12"/>
      <c r="J475" s="12" t="s">
        <v>3208</v>
      </c>
      <c r="K475" s="12" t="s">
        <v>3209</v>
      </c>
    </row>
    <row r="476" spans="1:11" x14ac:dyDescent="0.3">
      <c r="A476" s="12" t="s">
        <v>775</v>
      </c>
      <c r="B476" s="12" t="s">
        <v>123</v>
      </c>
      <c r="C476" s="12" t="s">
        <v>779</v>
      </c>
      <c r="D476" s="12"/>
      <c r="E476" s="12">
        <v>3</v>
      </c>
      <c r="F476" s="12" t="s">
        <v>220</v>
      </c>
      <c r="G476" s="12">
        <v>210</v>
      </c>
      <c r="H476" s="12">
        <v>195</v>
      </c>
      <c r="I476" s="3" t="s">
        <v>219</v>
      </c>
      <c r="J476" s="12" t="s">
        <v>33</v>
      </c>
      <c r="K476" s="12" t="s">
        <v>332</v>
      </c>
    </row>
    <row r="477" spans="1:11" x14ac:dyDescent="0.3">
      <c r="A477" s="12" t="s">
        <v>775</v>
      </c>
      <c r="B477" s="12" t="s">
        <v>123</v>
      </c>
      <c r="C477" s="12" t="s">
        <v>874</v>
      </c>
      <c r="D477" s="12"/>
      <c r="E477" s="12">
        <v>3</v>
      </c>
      <c r="F477" s="12" t="s">
        <v>226</v>
      </c>
      <c r="G477" s="12">
        <v>132</v>
      </c>
      <c r="H477" s="12">
        <v>120</v>
      </c>
      <c r="I477" s="3" t="s">
        <v>224</v>
      </c>
      <c r="J477" s="12" t="s">
        <v>225</v>
      </c>
      <c r="K477" s="12" t="s">
        <v>502</v>
      </c>
    </row>
    <row r="478" spans="1:11" x14ac:dyDescent="0.3">
      <c r="A478" s="12" t="s">
        <v>775</v>
      </c>
      <c r="B478" s="12" t="s">
        <v>123</v>
      </c>
      <c r="C478" s="12" t="s">
        <v>3210</v>
      </c>
      <c r="D478" s="12" t="s">
        <v>3211</v>
      </c>
      <c r="E478" s="12">
        <v>4</v>
      </c>
      <c r="F478" s="12" t="s">
        <v>3212</v>
      </c>
      <c r="G478" s="12">
        <v>16</v>
      </c>
      <c r="H478" s="12">
        <v>15</v>
      </c>
      <c r="I478" s="12"/>
      <c r="J478" s="12" t="s">
        <v>3213</v>
      </c>
      <c r="K478" s="12" t="s">
        <v>3214</v>
      </c>
    </row>
    <row r="479" spans="1:11" x14ac:dyDescent="0.3">
      <c r="A479" s="12" t="s">
        <v>775</v>
      </c>
      <c r="B479" s="12" t="s">
        <v>123</v>
      </c>
      <c r="C479" s="12" t="s">
        <v>3210</v>
      </c>
      <c r="D479" s="12" t="s">
        <v>3215</v>
      </c>
      <c r="E479" s="12">
        <v>4</v>
      </c>
      <c r="F479" s="12" t="s">
        <v>3216</v>
      </c>
      <c r="G479" s="12">
        <v>4</v>
      </c>
      <c r="H479" s="12">
        <v>4</v>
      </c>
      <c r="I479" s="12"/>
      <c r="J479" s="12" t="s">
        <v>3217</v>
      </c>
      <c r="K479" s="12" t="s">
        <v>3218</v>
      </c>
    </row>
    <row r="480" spans="1:11" x14ac:dyDescent="0.3">
      <c r="A480" s="12" t="s">
        <v>775</v>
      </c>
      <c r="B480" s="12" t="s">
        <v>123</v>
      </c>
      <c r="C480" s="12" t="s">
        <v>3210</v>
      </c>
      <c r="D480" s="12" t="s">
        <v>3219</v>
      </c>
      <c r="E480" s="12">
        <v>4</v>
      </c>
      <c r="F480" s="12" t="s">
        <v>3220</v>
      </c>
      <c r="G480" s="12">
        <v>1</v>
      </c>
      <c r="H480" s="12">
        <v>1</v>
      </c>
      <c r="I480" s="12"/>
      <c r="J480" s="12" t="s">
        <v>3221</v>
      </c>
      <c r="K480" s="12" t="s">
        <v>3222</v>
      </c>
    </row>
    <row r="481" spans="1:11" x14ac:dyDescent="0.3">
      <c r="A481" s="12" t="s">
        <v>775</v>
      </c>
      <c r="B481" s="12" t="s">
        <v>123</v>
      </c>
      <c r="C481" s="12" t="s">
        <v>3223</v>
      </c>
      <c r="D481" s="12"/>
      <c r="E481" s="12">
        <v>3</v>
      </c>
      <c r="F481" s="12" t="s">
        <v>3224</v>
      </c>
      <c r="G481" s="12">
        <v>18</v>
      </c>
      <c r="H481" s="12">
        <v>83</v>
      </c>
      <c r="I481" s="12"/>
      <c r="J481" s="12" t="s">
        <v>3225</v>
      </c>
      <c r="K481" s="12" t="s">
        <v>3226</v>
      </c>
    </row>
    <row r="482" spans="1:11" x14ac:dyDescent="0.3">
      <c r="A482" s="12" t="s">
        <v>775</v>
      </c>
      <c r="B482" s="12" t="s">
        <v>123</v>
      </c>
      <c r="C482" s="12" t="s">
        <v>3227</v>
      </c>
      <c r="D482" s="12"/>
      <c r="E482" s="12">
        <v>3</v>
      </c>
      <c r="F482" s="12" t="s">
        <v>3228</v>
      </c>
      <c r="G482" s="12">
        <v>38</v>
      </c>
      <c r="H482" s="12">
        <v>37</v>
      </c>
      <c r="I482" s="12"/>
      <c r="J482" s="12" t="s">
        <v>3229</v>
      </c>
      <c r="K482" s="12" t="s">
        <v>3230</v>
      </c>
    </row>
    <row r="483" spans="1:11" x14ac:dyDescent="0.3">
      <c r="A483" s="12" t="s">
        <v>775</v>
      </c>
      <c r="B483" s="12" t="s">
        <v>123</v>
      </c>
      <c r="C483" s="12" t="s">
        <v>862</v>
      </c>
      <c r="D483" s="12"/>
      <c r="E483" s="12">
        <v>3</v>
      </c>
      <c r="F483" s="12" t="s">
        <v>223</v>
      </c>
      <c r="G483" s="12">
        <v>211</v>
      </c>
      <c r="H483" s="12">
        <v>129</v>
      </c>
      <c r="I483" s="3" t="s">
        <v>221</v>
      </c>
      <c r="J483" s="12" t="s">
        <v>222</v>
      </c>
      <c r="K483" s="12" t="s">
        <v>467</v>
      </c>
    </row>
    <row r="484" spans="1:11" x14ac:dyDescent="0.3">
      <c r="A484" s="12" t="s">
        <v>775</v>
      </c>
      <c r="B484" s="12" t="s">
        <v>123</v>
      </c>
      <c r="C484" s="12" t="s">
        <v>3231</v>
      </c>
      <c r="D484" s="12"/>
      <c r="E484" s="12">
        <v>3</v>
      </c>
      <c r="F484" s="12" t="s">
        <v>3232</v>
      </c>
      <c r="G484" s="12">
        <v>2</v>
      </c>
      <c r="H484" s="12">
        <v>2</v>
      </c>
      <c r="I484" s="12"/>
      <c r="J484" s="12" t="s">
        <v>3233</v>
      </c>
      <c r="K484" s="12" t="s">
        <v>3234</v>
      </c>
    </row>
    <row r="485" spans="1:11" x14ac:dyDescent="0.3">
      <c r="A485" s="12" t="s">
        <v>775</v>
      </c>
      <c r="B485" s="12" t="s">
        <v>123</v>
      </c>
      <c r="C485" s="12" t="s">
        <v>3235</v>
      </c>
      <c r="D485" s="12"/>
      <c r="E485" s="12">
        <v>3</v>
      </c>
      <c r="F485" s="12" t="s">
        <v>3236</v>
      </c>
      <c r="G485" s="12">
        <v>8</v>
      </c>
      <c r="H485" s="12">
        <v>8</v>
      </c>
      <c r="I485" s="12"/>
      <c r="J485" s="12" t="s">
        <v>3237</v>
      </c>
      <c r="K485" s="12" t="s">
        <v>3238</v>
      </c>
    </row>
    <row r="486" spans="1:11" x14ac:dyDescent="0.3">
      <c r="A486" s="12" t="s">
        <v>775</v>
      </c>
      <c r="B486" s="12" t="s">
        <v>3239</v>
      </c>
      <c r="C486" s="12" t="s">
        <v>3240</v>
      </c>
      <c r="D486" s="12"/>
      <c r="E486" s="12">
        <v>3</v>
      </c>
      <c r="F486" s="12" t="s">
        <v>3241</v>
      </c>
      <c r="G486" s="12">
        <v>47</v>
      </c>
      <c r="H486" s="12">
        <v>0</v>
      </c>
      <c r="I486" s="12"/>
      <c r="J486" s="12" t="s">
        <v>3242</v>
      </c>
      <c r="K486" s="12" t="s">
        <v>3243</v>
      </c>
    </row>
    <row r="487" spans="1:11" x14ac:dyDescent="0.3">
      <c r="A487" s="12" t="s">
        <v>775</v>
      </c>
      <c r="B487" s="12" t="s">
        <v>3239</v>
      </c>
      <c r="C487" s="12" t="s">
        <v>3244</v>
      </c>
      <c r="D487" s="12"/>
      <c r="E487" s="12">
        <v>3</v>
      </c>
      <c r="F487" s="12" t="s">
        <v>3245</v>
      </c>
      <c r="G487" s="12">
        <v>79</v>
      </c>
      <c r="H487" s="12">
        <v>53</v>
      </c>
      <c r="I487" s="12"/>
      <c r="J487" s="12" t="s">
        <v>3246</v>
      </c>
      <c r="K487" s="12" t="s">
        <v>3247</v>
      </c>
    </row>
    <row r="488" spans="1:11" x14ac:dyDescent="0.3">
      <c r="A488" s="12" t="s">
        <v>775</v>
      </c>
      <c r="B488" s="12" t="s">
        <v>3239</v>
      </c>
      <c r="C488" s="12" t="s">
        <v>3248</v>
      </c>
      <c r="D488" s="12"/>
      <c r="E488" s="12">
        <v>3</v>
      </c>
      <c r="F488" s="12" t="s">
        <v>3249</v>
      </c>
      <c r="G488" s="12">
        <v>28</v>
      </c>
      <c r="H488" s="12">
        <v>0</v>
      </c>
      <c r="I488" s="12"/>
      <c r="J488" s="12" t="s">
        <v>3250</v>
      </c>
      <c r="K488" s="12" t="s">
        <v>3251</v>
      </c>
    </row>
    <row r="489" spans="1:11" x14ac:dyDescent="0.3">
      <c r="A489" s="12" t="s">
        <v>775</v>
      </c>
      <c r="B489" s="12" t="s">
        <v>3252</v>
      </c>
      <c r="C489" s="12"/>
      <c r="D489" s="12"/>
      <c r="E489" s="12">
        <v>2</v>
      </c>
      <c r="F489" s="12" t="s">
        <v>3253</v>
      </c>
      <c r="G489" s="12">
        <v>102</v>
      </c>
      <c r="H489" s="12">
        <v>0</v>
      </c>
      <c r="I489" s="12"/>
      <c r="J489" s="12" t="s">
        <v>3254</v>
      </c>
      <c r="K489" s="12" t="s">
        <v>3255</v>
      </c>
    </row>
    <row r="490" spans="1:11" x14ac:dyDescent="0.3">
      <c r="A490" s="12" t="s">
        <v>775</v>
      </c>
      <c r="B490" s="12" t="s">
        <v>3256</v>
      </c>
      <c r="C490" s="12" t="s">
        <v>3257</v>
      </c>
      <c r="D490" s="12"/>
      <c r="E490" s="12">
        <v>3</v>
      </c>
      <c r="F490" s="12" t="s">
        <v>3258</v>
      </c>
      <c r="G490" s="12">
        <v>102</v>
      </c>
      <c r="H490" s="12">
        <v>0</v>
      </c>
      <c r="I490" s="12"/>
      <c r="J490" s="12" t="s">
        <v>3259</v>
      </c>
      <c r="K490" s="12" t="s">
        <v>3260</v>
      </c>
    </row>
    <row r="491" spans="1:11" x14ac:dyDescent="0.3">
      <c r="A491" s="12" t="s">
        <v>775</v>
      </c>
      <c r="B491" s="12" t="s">
        <v>3256</v>
      </c>
      <c r="C491" s="12" t="s">
        <v>3261</v>
      </c>
      <c r="D491" s="12"/>
      <c r="E491" s="12">
        <v>3</v>
      </c>
      <c r="F491" s="12" t="s">
        <v>3262</v>
      </c>
      <c r="G491" s="12">
        <v>59</v>
      </c>
      <c r="H491" s="12">
        <v>0</v>
      </c>
      <c r="I491" s="12"/>
      <c r="J491" s="12" t="s">
        <v>3263</v>
      </c>
      <c r="K491" s="12" t="s">
        <v>3264</v>
      </c>
    </row>
    <row r="492" spans="1:11" x14ac:dyDescent="0.3">
      <c r="A492" s="12" t="s">
        <v>775</v>
      </c>
      <c r="B492" s="12" t="s">
        <v>3265</v>
      </c>
      <c r="C492" s="12"/>
      <c r="D492" s="12"/>
      <c r="E492" s="12">
        <v>2</v>
      </c>
      <c r="F492" s="12" t="s">
        <v>3266</v>
      </c>
      <c r="G492" s="12">
        <v>43</v>
      </c>
      <c r="H492" s="12">
        <v>0</v>
      </c>
      <c r="I492" s="12"/>
      <c r="J492" s="12" t="s">
        <v>3267</v>
      </c>
      <c r="K492" s="12" t="s">
        <v>3268</v>
      </c>
    </row>
    <row r="493" spans="1:11" x14ac:dyDescent="0.3">
      <c r="A493" s="12" t="s">
        <v>775</v>
      </c>
      <c r="B493" s="12" t="s">
        <v>959</v>
      </c>
      <c r="C493" s="12" t="s">
        <v>3269</v>
      </c>
      <c r="D493" s="12" t="s">
        <v>3270</v>
      </c>
      <c r="E493" s="12">
        <v>4</v>
      </c>
      <c r="F493" s="12" t="s">
        <v>3271</v>
      </c>
      <c r="G493" s="12">
        <v>127</v>
      </c>
      <c r="H493" s="12">
        <v>0</v>
      </c>
      <c r="I493" s="12"/>
      <c r="J493" s="12" t="s">
        <v>3272</v>
      </c>
      <c r="K493" s="12" t="s">
        <v>3273</v>
      </c>
    </row>
    <row r="494" spans="1:11" x14ac:dyDescent="0.3">
      <c r="A494" s="12" t="s">
        <v>775</v>
      </c>
      <c r="B494" s="12" t="s">
        <v>959</v>
      </c>
      <c r="C494" s="12" t="s">
        <v>3269</v>
      </c>
      <c r="D494" s="12" t="s">
        <v>3274</v>
      </c>
      <c r="E494" s="12">
        <v>4</v>
      </c>
      <c r="F494" s="12" t="s">
        <v>3275</v>
      </c>
      <c r="G494" s="12">
        <v>1</v>
      </c>
      <c r="H494" s="12">
        <v>0</v>
      </c>
      <c r="I494" s="12"/>
      <c r="J494" s="12" t="s">
        <v>3276</v>
      </c>
      <c r="K494" s="12" t="s">
        <v>3277</v>
      </c>
    </row>
    <row r="495" spans="1:11" x14ac:dyDescent="0.3">
      <c r="A495" s="12" t="s">
        <v>775</v>
      </c>
      <c r="B495" s="12" t="s">
        <v>959</v>
      </c>
      <c r="C495" s="12" t="s">
        <v>3269</v>
      </c>
      <c r="D495" s="12" t="s">
        <v>3278</v>
      </c>
      <c r="E495" s="12">
        <v>4</v>
      </c>
      <c r="F495" s="12" t="s">
        <v>3279</v>
      </c>
      <c r="G495" s="12">
        <v>18</v>
      </c>
      <c r="H495" s="12">
        <v>0</v>
      </c>
      <c r="I495" s="12"/>
      <c r="J495" s="12" t="s">
        <v>3280</v>
      </c>
      <c r="K495" s="12" t="s">
        <v>3281</v>
      </c>
    </row>
    <row r="496" spans="1:11" x14ac:dyDescent="0.3">
      <c r="A496" s="12" t="s">
        <v>775</v>
      </c>
      <c r="B496" s="12" t="s">
        <v>959</v>
      </c>
      <c r="C496" s="12" t="s">
        <v>3269</v>
      </c>
      <c r="D496" s="12" t="s">
        <v>3282</v>
      </c>
      <c r="E496" s="12">
        <v>4</v>
      </c>
      <c r="F496" s="12" t="s">
        <v>3283</v>
      </c>
      <c r="G496" s="12">
        <v>83</v>
      </c>
      <c r="H496" s="12">
        <v>0</v>
      </c>
      <c r="I496" s="12"/>
      <c r="J496" s="12" t="s">
        <v>3284</v>
      </c>
      <c r="K496" s="12" t="s">
        <v>3285</v>
      </c>
    </row>
    <row r="497" spans="1:11" x14ac:dyDescent="0.3">
      <c r="A497" s="12" t="s">
        <v>775</v>
      </c>
      <c r="B497" s="12" t="s">
        <v>959</v>
      </c>
      <c r="C497" s="12" t="s">
        <v>960</v>
      </c>
      <c r="D497" s="12"/>
      <c r="E497" s="12">
        <v>3</v>
      </c>
      <c r="F497" s="12" t="s">
        <v>961</v>
      </c>
      <c r="G497" s="12">
        <v>126</v>
      </c>
      <c r="H497" s="12">
        <v>0</v>
      </c>
      <c r="I497" s="3" t="s">
        <v>957</v>
      </c>
      <c r="J497" s="12" t="s">
        <v>958</v>
      </c>
      <c r="K497" s="12" t="s">
        <v>3286</v>
      </c>
    </row>
    <row r="498" spans="1:11" x14ac:dyDescent="0.3">
      <c r="A498" s="12" t="s">
        <v>775</v>
      </c>
      <c r="B498" s="12" t="s">
        <v>959</v>
      </c>
      <c r="C498" s="12" t="s">
        <v>3287</v>
      </c>
      <c r="D498" s="12"/>
      <c r="E498" s="12">
        <v>3</v>
      </c>
      <c r="F498" s="12" t="s">
        <v>3288</v>
      </c>
      <c r="G498" s="12">
        <v>396</v>
      </c>
      <c r="H498" s="12">
        <v>0</v>
      </c>
      <c r="I498" s="12"/>
      <c r="J498" s="12" t="s">
        <v>3289</v>
      </c>
      <c r="K498" s="12" t="s">
        <v>3290</v>
      </c>
    </row>
    <row r="499" spans="1:11" x14ac:dyDescent="0.3">
      <c r="A499" s="12" t="s">
        <v>775</v>
      </c>
      <c r="B499" s="12" t="s">
        <v>959</v>
      </c>
      <c r="C499" s="12" t="s">
        <v>3291</v>
      </c>
      <c r="D499" s="12"/>
      <c r="E499" s="12">
        <v>3</v>
      </c>
      <c r="F499" s="12" t="s">
        <v>3292</v>
      </c>
      <c r="G499" s="12">
        <v>43</v>
      </c>
      <c r="H499" s="12">
        <v>0</v>
      </c>
      <c r="I499" s="12"/>
      <c r="J499" s="12" t="s">
        <v>3293</v>
      </c>
      <c r="K499" s="12" t="s">
        <v>3294</v>
      </c>
    </row>
    <row r="500" spans="1:11" x14ac:dyDescent="0.3">
      <c r="A500" s="12" t="s">
        <v>775</v>
      </c>
      <c r="B500" s="12" t="s">
        <v>959</v>
      </c>
      <c r="C500" s="12" t="s">
        <v>3295</v>
      </c>
      <c r="D500" s="12"/>
      <c r="E500" s="12">
        <v>3</v>
      </c>
      <c r="F500" s="12" t="s">
        <v>3296</v>
      </c>
      <c r="G500" s="12">
        <v>276</v>
      </c>
      <c r="H500" s="12">
        <v>0</v>
      </c>
      <c r="I500" s="12"/>
      <c r="J500" s="12" t="s">
        <v>3297</v>
      </c>
      <c r="K500" s="12" t="s">
        <v>3298</v>
      </c>
    </row>
    <row r="501" spans="1:11" x14ac:dyDescent="0.3">
      <c r="A501" s="12" t="s">
        <v>775</v>
      </c>
      <c r="B501" s="12" t="s">
        <v>959</v>
      </c>
      <c r="C501" s="12" t="s">
        <v>3299</v>
      </c>
      <c r="D501" s="12"/>
      <c r="E501" s="12">
        <v>3</v>
      </c>
      <c r="F501" s="12" t="s">
        <v>3300</v>
      </c>
      <c r="G501" s="12">
        <v>29</v>
      </c>
      <c r="H501" s="12">
        <v>0</v>
      </c>
      <c r="I501" s="12"/>
      <c r="J501" s="12" t="s">
        <v>3301</v>
      </c>
      <c r="K501" s="12" t="s">
        <v>3302</v>
      </c>
    </row>
    <row r="502" spans="1:11" x14ac:dyDescent="0.3">
      <c r="A502" s="12" t="s">
        <v>775</v>
      </c>
      <c r="B502" s="12" t="s">
        <v>959</v>
      </c>
      <c r="C502" s="12" t="s">
        <v>3303</v>
      </c>
      <c r="D502" s="12"/>
      <c r="E502" s="12">
        <v>3</v>
      </c>
      <c r="F502" s="12" t="s">
        <v>3304</v>
      </c>
      <c r="G502" s="12">
        <v>200</v>
      </c>
      <c r="H502" s="12">
        <v>0</v>
      </c>
      <c r="I502" s="12"/>
      <c r="J502" s="12" t="s">
        <v>3305</v>
      </c>
      <c r="K502" s="12" t="s">
        <v>3306</v>
      </c>
    </row>
    <row r="503" spans="1:11" x14ac:dyDescent="0.3">
      <c r="A503" s="12" t="s">
        <v>775</v>
      </c>
      <c r="B503" s="12" t="s">
        <v>959</v>
      </c>
      <c r="C503" s="12" t="s">
        <v>3307</v>
      </c>
      <c r="D503" s="12"/>
      <c r="E503" s="12">
        <v>3</v>
      </c>
      <c r="F503" s="12" t="s">
        <v>3308</v>
      </c>
      <c r="G503" s="12">
        <v>600</v>
      </c>
      <c r="H503" s="12">
        <v>0</v>
      </c>
      <c r="I503" s="12"/>
      <c r="J503" s="12" t="s">
        <v>3309</v>
      </c>
      <c r="K503" s="12" t="s">
        <v>3310</v>
      </c>
    </row>
    <row r="504" spans="1:11" x14ac:dyDescent="0.3">
      <c r="A504" s="12" t="s">
        <v>775</v>
      </c>
      <c r="B504" s="12" t="s">
        <v>959</v>
      </c>
      <c r="C504" s="12" t="s">
        <v>3311</v>
      </c>
      <c r="D504" s="12"/>
      <c r="E504" s="12">
        <v>3</v>
      </c>
      <c r="F504" s="12" t="s">
        <v>3312</v>
      </c>
      <c r="G504" s="12">
        <v>56</v>
      </c>
      <c r="H504" s="12">
        <v>0</v>
      </c>
      <c r="I504" s="12"/>
      <c r="J504" s="12" t="s">
        <v>3313</v>
      </c>
      <c r="K504" s="12" t="s">
        <v>3314</v>
      </c>
    </row>
    <row r="505" spans="1:11" x14ac:dyDescent="0.3">
      <c r="A505" s="12" t="s">
        <v>3315</v>
      </c>
      <c r="B505" s="12" t="s">
        <v>3316</v>
      </c>
      <c r="C505" s="12"/>
      <c r="D505" s="12"/>
      <c r="E505" s="12">
        <v>2</v>
      </c>
      <c r="F505" s="12" t="s">
        <v>3317</v>
      </c>
      <c r="G505" s="12">
        <v>144</v>
      </c>
      <c r="H505" s="12">
        <v>0</v>
      </c>
      <c r="I505" s="12"/>
      <c r="J505" s="12" t="s">
        <v>3318</v>
      </c>
      <c r="K505" s="12" t="s">
        <v>3319</v>
      </c>
    </row>
    <row r="506" spans="1:11" x14ac:dyDescent="0.3">
      <c r="A506" s="12" t="s">
        <v>3315</v>
      </c>
      <c r="B506" s="12" t="s">
        <v>3320</v>
      </c>
      <c r="C506" s="12"/>
      <c r="D506" s="12"/>
      <c r="E506" s="12">
        <v>2</v>
      </c>
      <c r="F506" s="12" t="s">
        <v>3321</v>
      </c>
      <c r="G506" s="12">
        <v>13</v>
      </c>
      <c r="H506" s="12">
        <v>0</v>
      </c>
      <c r="I506" s="12"/>
      <c r="J506" s="12" t="s">
        <v>3322</v>
      </c>
      <c r="K506" s="12" t="s">
        <v>3323</v>
      </c>
    </row>
    <row r="507" spans="1:11" x14ac:dyDescent="0.3">
      <c r="A507" s="12" t="s">
        <v>3315</v>
      </c>
      <c r="B507" s="12" t="s">
        <v>3324</v>
      </c>
      <c r="C507" s="12"/>
      <c r="D507" s="12"/>
      <c r="E507" s="12">
        <v>2</v>
      </c>
      <c r="F507" s="12" t="s">
        <v>3325</v>
      </c>
      <c r="G507" s="12">
        <v>56</v>
      </c>
      <c r="H507" s="12">
        <v>0</v>
      </c>
      <c r="I507" s="12"/>
      <c r="J507" s="12" t="s">
        <v>3326</v>
      </c>
      <c r="K507" s="12" t="s">
        <v>3327</v>
      </c>
    </row>
    <row r="508" spans="1:11" x14ac:dyDescent="0.3">
      <c r="A508" s="12" t="s">
        <v>3315</v>
      </c>
      <c r="B508" s="12" t="s">
        <v>3328</v>
      </c>
      <c r="C508" s="12"/>
      <c r="D508" s="12"/>
      <c r="E508" s="12">
        <v>2</v>
      </c>
      <c r="F508" s="12" t="s">
        <v>3329</v>
      </c>
      <c r="G508" s="12">
        <v>7</v>
      </c>
      <c r="H508" s="12">
        <v>0</v>
      </c>
      <c r="I508" s="12"/>
      <c r="J508" s="12" t="s">
        <v>3330</v>
      </c>
      <c r="K508" s="12" t="s">
        <v>3331</v>
      </c>
    </row>
    <row r="509" spans="1:11" x14ac:dyDescent="0.3">
      <c r="A509" s="12" t="s">
        <v>3315</v>
      </c>
      <c r="B509" s="12" t="s">
        <v>3332</v>
      </c>
      <c r="C509" s="12"/>
      <c r="D509" s="12"/>
      <c r="E509" s="12">
        <v>2</v>
      </c>
      <c r="F509" s="12" t="s">
        <v>3333</v>
      </c>
      <c r="G509" s="12">
        <v>37</v>
      </c>
      <c r="H509" s="12">
        <v>0</v>
      </c>
      <c r="I509" s="12"/>
      <c r="J509" s="12" t="s">
        <v>3334</v>
      </c>
      <c r="K509" s="12" t="s">
        <v>3335</v>
      </c>
    </row>
    <row r="510" spans="1:11" x14ac:dyDescent="0.3">
      <c r="A510" s="12" t="s">
        <v>3315</v>
      </c>
      <c r="B510" s="12" t="s">
        <v>3336</v>
      </c>
      <c r="C510" s="12"/>
      <c r="D510" s="12"/>
      <c r="E510" s="12">
        <v>2</v>
      </c>
      <c r="F510" s="12" t="s">
        <v>3337</v>
      </c>
      <c r="G510" s="12">
        <v>6</v>
      </c>
      <c r="H510" s="12">
        <v>0</v>
      </c>
      <c r="I510" s="12"/>
      <c r="J510" s="12" t="s">
        <v>3338</v>
      </c>
      <c r="K510" s="12" t="s">
        <v>3339</v>
      </c>
    </row>
    <row r="511" spans="1:11" x14ac:dyDescent="0.3">
      <c r="A511" s="12" t="s">
        <v>3340</v>
      </c>
      <c r="B511" s="12" t="s">
        <v>3340</v>
      </c>
      <c r="C511" s="12"/>
      <c r="D511" s="12"/>
      <c r="E511" s="12">
        <v>2</v>
      </c>
      <c r="F511" s="12" t="s">
        <v>3341</v>
      </c>
      <c r="G511" s="12">
        <v>1045</v>
      </c>
      <c r="H511" s="12">
        <v>0</v>
      </c>
      <c r="I511" s="12"/>
      <c r="J511" s="12" t="s">
        <v>3342</v>
      </c>
      <c r="K511" s="12" t="s">
        <v>3343</v>
      </c>
    </row>
    <row r="512" spans="1:11" x14ac:dyDescent="0.3">
      <c r="A512" s="12" t="s">
        <v>3340</v>
      </c>
      <c r="B512" s="12" t="s">
        <v>3344</v>
      </c>
      <c r="C512" s="12"/>
      <c r="D512" s="12"/>
      <c r="E512" s="12">
        <v>2</v>
      </c>
      <c r="F512" s="12" t="s">
        <v>3345</v>
      </c>
      <c r="G512" s="12">
        <v>6</v>
      </c>
      <c r="H512" s="12">
        <v>0</v>
      </c>
      <c r="I512" s="12"/>
      <c r="J512" s="12" t="s">
        <v>3346</v>
      </c>
      <c r="K512" s="12" t="s">
        <v>3347</v>
      </c>
    </row>
    <row r="513" spans="1:11" x14ac:dyDescent="0.3">
      <c r="A513" s="12" t="s">
        <v>1015</v>
      </c>
      <c r="B513" s="12" t="s">
        <v>3348</v>
      </c>
      <c r="C513" s="12"/>
      <c r="D513" s="12"/>
      <c r="E513" s="12">
        <v>2</v>
      </c>
      <c r="F513" s="12" t="s">
        <v>3349</v>
      </c>
      <c r="G513" s="12">
        <v>288</v>
      </c>
      <c r="H513" s="12">
        <v>0</v>
      </c>
      <c r="I513" s="12"/>
      <c r="J513" s="12" t="s">
        <v>3350</v>
      </c>
      <c r="K513" s="12" t="s">
        <v>3351</v>
      </c>
    </row>
    <row r="514" spans="1:11" x14ac:dyDescent="0.3">
      <c r="A514" s="12" t="s">
        <v>1015</v>
      </c>
      <c r="B514" s="12" t="s">
        <v>3352</v>
      </c>
      <c r="C514" s="12" t="s">
        <v>3353</v>
      </c>
      <c r="D514" s="12" t="s">
        <v>3354</v>
      </c>
      <c r="E514" s="12">
        <v>4</v>
      </c>
      <c r="F514" s="12" t="s">
        <v>3355</v>
      </c>
      <c r="G514" s="12">
        <v>4</v>
      </c>
      <c r="H514" s="12">
        <v>0</v>
      </c>
      <c r="I514" s="12"/>
      <c r="J514" s="12" t="s">
        <v>3356</v>
      </c>
      <c r="K514" s="12" t="s">
        <v>3357</v>
      </c>
    </row>
    <row r="515" spans="1:11" x14ac:dyDescent="0.3">
      <c r="A515" s="12" t="s">
        <v>1015</v>
      </c>
      <c r="B515" s="12" t="s">
        <v>3352</v>
      </c>
      <c r="C515" s="12" t="s">
        <v>3353</v>
      </c>
      <c r="D515" s="12" t="s">
        <v>3358</v>
      </c>
      <c r="E515" s="12">
        <v>4</v>
      </c>
      <c r="F515" s="12" t="s">
        <v>3359</v>
      </c>
      <c r="G515" s="12">
        <v>48</v>
      </c>
      <c r="H515" s="12">
        <v>0</v>
      </c>
      <c r="I515" s="12"/>
      <c r="J515" s="12" t="s">
        <v>3360</v>
      </c>
      <c r="K515" s="12" t="s">
        <v>3361</v>
      </c>
    </row>
    <row r="516" spans="1:11" x14ac:dyDescent="0.3">
      <c r="A516" s="12" t="s">
        <v>1015</v>
      </c>
      <c r="B516" s="12" t="s">
        <v>3352</v>
      </c>
      <c r="C516" s="12" t="s">
        <v>3353</v>
      </c>
      <c r="D516" s="12" t="s">
        <v>3362</v>
      </c>
      <c r="E516" s="12">
        <v>4</v>
      </c>
      <c r="F516" s="12" t="s">
        <v>3363</v>
      </c>
      <c r="G516" s="12">
        <v>3</v>
      </c>
      <c r="H516" s="12">
        <v>0</v>
      </c>
      <c r="I516" s="12"/>
      <c r="J516" s="12" t="s">
        <v>3364</v>
      </c>
      <c r="K516" s="12" t="s">
        <v>3365</v>
      </c>
    </row>
    <row r="517" spans="1:11" x14ac:dyDescent="0.3">
      <c r="A517" s="12" t="s">
        <v>1015</v>
      </c>
      <c r="B517" s="12" t="s">
        <v>3366</v>
      </c>
      <c r="C517" s="12" t="s">
        <v>3367</v>
      </c>
      <c r="D517" s="12"/>
      <c r="E517" s="12">
        <v>3</v>
      </c>
      <c r="F517" s="12" t="s">
        <v>3368</v>
      </c>
      <c r="G517" s="12">
        <v>21</v>
      </c>
      <c r="H517" s="12">
        <v>0</v>
      </c>
      <c r="I517" s="12"/>
      <c r="J517" s="12" t="s">
        <v>3369</v>
      </c>
      <c r="K517" s="12" t="s">
        <v>3370</v>
      </c>
    </row>
    <row r="518" spans="1:11" x14ac:dyDescent="0.3">
      <c r="A518" s="12" t="s">
        <v>1015</v>
      </c>
      <c r="B518" s="12" t="s">
        <v>3366</v>
      </c>
      <c r="C518" s="12" t="s">
        <v>3371</v>
      </c>
      <c r="D518" s="12"/>
      <c r="E518" s="12">
        <v>3</v>
      </c>
      <c r="F518" s="12" t="s">
        <v>3372</v>
      </c>
      <c r="G518" s="12">
        <v>1</v>
      </c>
      <c r="H518" s="12">
        <v>0</v>
      </c>
      <c r="I518" s="12"/>
      <c r="J518" s="12" t="s">
        <v>3373</v>
      </c>
      <c r="K518" s="12" t="s">
        <v>3374</v>
      </c>
    </row>
    <row r="519" spans="1:11" x14ac:dyDescent="0.3">
      <c r="A519" s="12" t="s">
        <v>1015</v>
      </c>
      <c r="B519" s="12" t="s">
        <v>3375</v>
      </c>
      <c r="C519" s="12"/>
      <c r="D519" s="12"/>
      <c r="E519" s="12">
        <v>2</v>
      </c>
      <c r="F519" s="12" t="s">
        <v>3376</v>
      </c>
      <c r="G519" s="12">
        <v>18</v>
      </c>
      <c r="H519" s="12">
        <v>0</v>
      </c>
      <c r="I519" s="12"/>
      <c r="J519" s="12" t="s">
        <v>3377</v>
      </c>
      <c r="K519" s="12" t="s">
        <v>3378</v>
      </c>
    </row>
    <row r="520" spans="1:11" x14ac:dyDescent="0.3">
      <c r="A520" s="12" t="s">
        <v>1015</v>
      </c>
      <c r="B520" s="12" t="s">
        <v>3379</v>
      </c>
      <c r="C520" s="12"/>
      <c r="D520" s="12"/>
      <c r="E520" s="12">
        <v>2</v>
      </c>
      <c r="F520" s="12" t="s">
        <v>3380</v>
      </c>
      <c r="G520" s="12">
        <v>105</v>
      </c>
      <c r="H520" s="12">
        <v>0</v>
      </c>
      <c r="I520" s="12"/>
      <c r="J520" s="12" t="s">
        <v>3381</v>
      </c>
      <c r="K520" s="12" t="s">
        <v>3382</v>
      </c>
    </row>
    <row r="521" spans="1:11" x14ac:dyDescent="0.3">
      <c r="A521" s="12" t="s">
        <v>1015</v>
      </c>
      <c r="B521" s="12" t="s">
        <v>3383</v>
      </c>
      <c r="C521" s="12"/>
      <c r="D521" s="12"/>
      <c r="E521" s="12">
        <v>2</v>
      </c>
      <c r="F521" s="12" t="s">
        <v>3384</v>
      </c>
      <c r="G521" s="12">
        <v>15</v>
      </c>
      <c r="H521" s="12">
        <v>0</v>
      </c>
      <c r="I521" s="12"/>
      <c r="J521" s="12" t="s">
        <v>3385</v>
      </c>
      <c r="K521" s="12" t="s">
        <v>3386</v>
      </c>
    </row>
    <row r="522" spans="1:11" x14ac:dyDescent="0.3">
      <c r="A522" s="12" t="s">
        <v>1015</v>
      </c>
      <c r="B522" s="12" t="s">
        <v>3387</v>
      </c>
      <c r="C522" s="12" t="s">
        <v>3388</v>
      </c>
      <c r="D522" s="12"/>
      <c r="E522" s="12">
        <v>3</v>
      </c>
      <c r="F522" s="12" t="s">
        <v>3389</v>
      </c>
      <c r="G522" s="12">
        <v>13</v>
      </c>
      <c r="H522" s="12">
        <v>0</v>
      </c>
      <c r="I522" s="12"/>
      <c r="J522" s="12" t="s">
        <v>3390</v>
      </c>
      <c r="K522" s="12" t="s">
        <v>3391</v>
      </c>
    </row>
    <row r="523" spans="1:11" x14ac:dyDescent="0.3">
      <c r="A523" s="12" t="s">
        <v>1015</v>
      </c>
      <c r="B523" s="12" t="s">
        <v>3387</v>
      </c>
      <c r="C523" s="12" t="s">
        <v>3392</v>
      </c>
      <c r="D523" s="12"/>
      <c r="E523" s="12">
        <v>3</v>
      </c>
      <c r="F523" s="12" t="s">
        <v>3393</v>
      </c>
      <c r="G523" s="12">
        <v>15</v>
      </c>
      <c r="H523" s="12">
        <v>0</v>
      </c>
      <c r="I523" s="12"/>
      <c r="J523" s="12" t="s">
        <v>3394</v>
      </c>
      <c r="K523" s="12" t="s">
        <v>3395</v>
      </c>
    </row>
    <row r="524" spans="1:11" x14ac:dyDescent="0.3">
      <c r="A524" s="12" t="s">
        <v>1015</v>
      </c>
      <c r="B524" s="12" t="s">
        <v>3387</v>
      </c>
      <c r="C524" s="12" t="s">
        <v>3396</v>
      </c>
      <c r="D524" s="12"/>
      <c r="E524" s="12">
        <v>3</v>
      </c>
      <c r="F524" s="12" t="s">
        <v>3397</v>
      </c>
      <c r="G524" s="12">
        <v>15</v>
      </c>
      <c r="H524" s="12">
        <v>0</v>
      </c>
      <c r="I524" s="12"/>
      <c r="J524" s="12" t="s">
        <v>3398</v>
      </c>
      <c r="K524" s="12" t="s">
        <v>3399</v>
      </c>
    </row>
    <row r="525" spans="1:11" x14ac:dyDescent="0.3">
      <c r="A525" s="12" t="s">
        <v>1015</v>
      </c>
      <c r="B525" s="12" t="s">
        <v>3387</v>
      </c>
      <c r="C525" s="12" t="s">
        <v>3400</v>
      </c>
      <c r="D525" s="12"/>
      <c r="E525" s="12">
        <v>3</v>
      </c>
      <c r="F525" s="12" t="s">
        <v>3401</v>
      </c>
      <c r="G525" s="12">
        <v>1</v>
      </c>
      <c r="H525" s="12">
        <v>0</v>
      </c>
      <c r="I525" s="12"/>
      <c r="J525" s="12" t="s">
        <v>3402</v>
      </c>
      <c r="K525" s="12" t="s">
        <v>3403</v>
      </c>
    </row>
    <row r="526" spans="1:11" x14ac:dyDescent="0.3">
      <c r="A526" s="12" t="s">
        <v>1015</v>
      </c>
      <c r="B526" s="12" t="s">
        <v>3387</v>
      </c>
      <c r="C526" s="12" t="s">
        <v>3404</v>
      </c>
      <c r="D526" s="12"/>
      <c r="E526" s="12">
        <v>3</v>
      </c>
      <c r="F526" s="12" t="s">
        <v>3405</v>
      </c>
      <c r="G526" s="12">
        <v>39</v>
      </c>
      <c r="H526" s="12">
        <v>0</v>
      </c>
      <c r="I526" s="12"/>
      <c r="J526" s="12" t="s">
        <v>3406</v>
      </c>
      <c r="K526" s="12" t="s">
        <v>3407</v>
      </c>
    </row>
    <row r="527" spans="1:11" x14ac:dyDescent="0.3">
      <c r="A527" s="12" t="s">
        <v>1015</v>
      </c>
      <c r="B527" s="12" t="s">
        <v>3387</v>
      </c>
      <c r="C527" s="12" t="s">
        <v>3408</v>
      </c>
      <c r="D527" s="12"/>
      <c r="E527" s="12">
        <v>3</v>
      </c>
      <c r="F527" s="12" t="s">
        <v>3409</v>
      </c>
      <c r="G527" s="12">
        <v>36</v>
      </c>
      <c r="H527" s="12">
        <v>0</v>
      </c>
      <c r="I527" s="12"/>
      <c r="J527" s="12" t="s">
        <v>3410</v>
      </c>
      <c r="K527" s="12" t="s">
        <v>3411</v>
      </c>
    </row>
    <row r="528" spans="1:11" x14ac:dyDescent="0.3">
      <c r="A528" s="12" t="s">
        <v>1015</v>
      </c>
      <c r="B528" s="12" t="s">
        <v>3412</v>
      </c>
      <c r="C528" s="12"/>
      <c r="D528" s="12"/>
      <c r="E528" s="12">
        <v>2</v>
      </c>
      <c r="F528" s="12" t="s">
        <v>3413</v>
      </c>
      <c r="G528" s="12">
        <v>67</v>
      </c>
      <c r="H528" s="12">
        <v>0</v>
      </c>
      <c r="I528" s="12"/>
      <c r="J528" s="12" t="s">
        <v>3414</v>
      </c>
      <c r="K528" s="12" t="s">
        <v>3415</v>
      </c>
    </row>
    <row r="529" spans="1:11" x14ac:dyDescent="0.3">
      <c r="A529" s="12" t="s">
        <v>1015</v>
      </c>
      <c r="B529" s="12" t="s">
        <v>3416</v>
      </c>
      <c r="C529" s="12"/>
      <c r="D529" s="12"/>
      <c r="E529" s="12">
        <v>2</v>
      </c>
      <c r="F529" s="12" t="s">
        <v>3417</v>
      </c>
      <c r="G529" s="12">
        <v>758</v>
      </c>
      <c r="H529" s="12">
        <v>0</v>
      </c>
      <c r="I529" s="12"/>
      <c r="J529" s="12" t="s">
        <v>3418</v>
      </c>
      <c r="K529" s="12" t="s">
        <v>3419</v>
      </c>
    </row>
    <row r="530" spans="1:11" x14ac:dyDescent="0.3">
      <c r="A530" s="12" t="s">
        <v>1015</v>
      </c>
      <c r="B530" s="12" t="s">
        <v>1021</v>
      </c>
      <c r="C530" s="12" t="s">
        <v>3420</v>
      </c>
      <c r="D530" s="12"/>
      <c r="E530" s="12">
        <v>3</v>
      </c>
      <c r="F530" s="12" t="s">
        <v>3421</v>
      </c>
      <c r="G530" s="12">
        <v>4</v>
      </c>
      <c r="H530" s="12">
        <v>0</v>
      </c>
      <c r="I530" s="12"/>
      <c r="J530" s="12" t="s">
        <v>3422</v>
      </c>
      <c r="K530" s="12" t="s">
        <v>3423</v>
      </c>
    </row>
    <row r="531" spans="1:11" x14ac:dyDescent="0.3">
      <c r="A531" s="12" t="s">
        <v>1015</v>
      </c>
      <c r="B531" s="12" t="s">
        <v>1021</v>
      </c>
      <c r="C531" s="12" t="s">
        <v>1022</v>
      </c>
      <c r="D531" s="12" t="s">
        <v>3424</v>
      </c>
      <c r="E531" s="12">
        <v>4</v>
      </c>
      <c r="F531" s="12" t="s">
        <v>3425</v>
      </c>
      <c r="G531" s="12">
        <v>27</v>
      </c>
      <c r="H531" s="12">
        <v>0</v>
      </c>
      <c r="I531" s="12"/>
      <c r="J531" s="12" t="s">
        <v>3426</v>
      </c>
      <c r="K531" s="12" t="s">
        <v>3427</v>
      </c>
    </row>
    <row r="532" spans="1:11" x14ac:dyDescent="0.3">
      <c r="A532" s="12" t="s">
        <v>1015</v>
      </c>
      <c r="B532" s="12" t="s">
        <v>1021</v>
      </c>
      <c r="C532" s="12" t="s">
        <v>1022</v>
      </c>
      <c r="D532" s="12" t="s">
        <v>3428</v>
      </c>
      <c r="E532" s="12">
        <v>4</v>
      </c>
      <c r="F532" s="12" t="s">
        <v>3429</v>
      </c>
      <c r="G532" s="12">
        <v>1</v>
      </c>
      <c r="H532" s="12">
        <v>0</v>
      </c>
      <c r="I532" s="12"/>
      <c r="J532" s="12" t="s">
        <v>3430</v>
      </c>
      <c r="K532" s="12" t="s">
        <v>3431</v>
      </c>
    </row>
    <row r="533" spans="1:11" x14ac:dyDescent="0.3">
      <c r="A533" s="12" t="s">
        <v>1015</v>
      </c>
      <c r="B533" s="12" t="s">
        <v>1021</v>
      </c>
      <c r="C533" s="12" t="s">
        <v>1022</v>
      </c>
      <c r="D533" s="12" t="s">
        <v>3432</v>
      </c>
      <c r="E533" s="12">
        <v>4</v>
      </c>
      <c r="F533" s="12" t="s">
        <v>3433</v>
      </c>
      <c r="G533" s="12">
        <v>49</v>
      </c>
      <c r="H533" s="12">
        <v>0</v>
      </c>
      <c r="I533" s="12"/>
      <c r="J533" s="12" t="s">
        <v>3434</v>
      </c>
      <c r="K533" s="12" t="s">
        <v>3435</v>
      </c>
    </row>
    <row r="534" spans="1:11" x14ac:dyDescent="0.3">
      <c r="A534" s="12" t="s">
        <v>1015</v>
      </c>
      <c r="B534" s="12" t="s">
        <v>1021</v>
      </c>
      <c r="C534" s="12" t="s">
        <v>1022</v>
      </c>
      <c r="D534" s="12" t="s">
        <v>3436</v>
      </c>
      <c r="E534" s="12">
        <v>4</v>
      </c>
      <c r="F534" s="12" t="s">
        <v>3437</v>
      </c>
      <c r="G534" s="12">
        <v>31</v>
      </c>
      <c r="H534" s="12">
        <v>0</v>
      </c>
      <c r="I534" s="12"/>
      <c r="J534" s="12" t="s">
        <v>3438</v>
      </c>
      <c r="K534" s="12" t="s">
        <v>3439</v>
      </c>
    </row>
    <row r="535" spans="1:11" x14ac:dyDescent="0.3">
      <c r="A535" s="12" t="s">
        <v>1015</v>
      </c>
      <c r="B535" s="12" t="s">
        <v>1021</v>
      </c>
      <c r="C535" s="12" t="s">
        <v>1022</v>
      </c>
      <c r="D535" s="12" t="s">
        <v>3440</v>
      </c>
      <c r="E535" s="12">
        <v>4</v>
      </c>
      <c r="F535" s="12" t="s">
        <v>3441</v>
      </c>
      <c r="G535" s="12">
        <v>6</v>
      </c>
      <c r="H535" s="12">
        <v>0</v>
      </c>
      <c r="I535" s="12"/>
      <c r="J535" s="12" t="s">
        <v>3442</v>
      </c>
      <c r="K535" s="12" t="s">
        <v>3443</v>
      </c>
    </row>
    <row r="536" spans="1:11" x14ac:dyDescent="0.3">
      <c r="A536" s="12" t="s">
        <v>1015</v>
      </c>
      <c r="B536" s="12" t="s">
        <v>1021</v>
      </c>
      <c r="C536" s="12" t="s">
        <v>1022</v>
      </c>
      <c r="D536" s="12" t="s">
        <v>3444</v>
      </c>
      <c r="E536" s="12">
        <v>4</v>
      </c>
      <c r="F536" s="12" t="s">
        <v>3445</v>
      </c>
      <c r="G536" s="12">
        <v>8</v>
      </c>
      <c r="H536" s="12">
        <v>0</v>
      </c>
      <c r="I536" s="12"/>
      <c r="J536" s="12" t="s">
        <v>3446</v>
      </c>
      <c r="K536" s="12" t="s">
        <v>3447</v>
      </c>
    </row>
    <row r="537" spans="1:11" x14ac:dyDescent="0.3">
      <c r="A537" s="12" t="s">
        <v>1015</v>
      </c>
      <c r="B537" s="12" t="s">
        <v>1021</v>
      </c>
      <c r="C537" s="12" t="s">
        <v>1022</v>
      </c>
      <c r="D537" s="12" t="s">
        <v>1023</v>
      </c>
      <c r="E537" s="12">
        <v>4</v>
      </c>
      <c r="F537" s="12" t="s">
        <v>1024</v>
      </c>
      <c r="G537" s="12">
        <v>1116</v>
      </c>
      <c r="H537" s="12">
        <v>0</v>
      </c>
      <c r="I537" s="3" t="s">
        <v>1019</v>
      </c>
      <c r="J537" s="12" t="s">
        <v>1020</v>
      </c>
      <c r="K537" s="12" t="s">
        <v>3448</v>
      </c>
    </row>
    <row r="538" spans="1:11" x14ac:dyDescent="0.3">
      <c r="A538" s="12" t="s">
        <v>1015</v>
      </c>
      <c r="B538" s="12" t="s">
        <v>1021</v>
      </c>
      <c r="C538" s="12" t="s">
        <v>1022</v>
      </c>
      <c r="D538" s="12" t="s">
        <v>3449</v>
      </c>
      <c r="E538" s="12">
        <v>4</v>
      </c>
      <c r="F538" s="12" t="s">
        <v>3450</v>
      </c>
      <c r="G538" s="12">
        <v>1</v>
      </c>
      <c r="H538" s="12">
        <v>0</v>
      </c>
      <c r="I538" s="12"/>
      <c r="J538" s="12" t="s">
        <v>3451</v>
      </c>
      <c r="K538" s="12" t="s">
        <v>3452</v>
      </c>
    </row>
    <row r="539" spans="1:11" x14ac:dyDescent="0.3">
      <c r="A539" s="12" t="s">
        <v>1015</v>
      </c>
      <c r="B539" s="12" t="s">
        <v>1021</v>
      </c>
      <c r="C539" s="12" t="s">
        <v>1022</v>
      </c>
      <c r="D539" s="12" t="s">
        <v>3453</v>
      </c>
      <c r="E539" s="12">
        <v>4</v>
      </c>
      <c r="F539" s="12" t="s">
        <v>3454</v>
      </c>
      <c r="G539" s="12">
        <v>2</v>
      </c>
      <c r="H539" s="12">
        <v>0</v>
      </c>
      <c r="I539" s="12"/>
      <c r="J539" s="12" t="s">
        <v>3455</v>
      </c>
      <c r="K539" s="12" t="s">
        <v>3456</v>
      </c>
    </row>
    <row r="540" spans="1:11" x14ac:dyDescent="0.3">
      <c r="A540" s="12" t="s">
        <v>1015</v>
      </c>
      <c r="B540" s="12" t="s">
        <v>1021</v>
      </c>
      <c r="C540" s="12" t="s">
        <v>1022</v>
      </c>
      <c r="D540" s="12" t="s">
        <v>3457</v>
      </c>
      <c r="E540" s="12">
        <v>4</v>
      </c>
      <c r="F540" s="12" t="s">
        <v>3458</v>
      </c>
      <c r="G540" s="12">
        <v>5</v>
      </c>
      <c r="H540" s="12">
        <v>0</v>
      </c>
      <c r="I540" s="12"/>
      <c r="J540" s="12" t="s">
        <v>3459</v>
      </c>
      <c r="K540" s="12" t="s">
        <v>3460</v>
      </c>
    </row>
    <row r="541" spans="1:11" x14ac:dyDescent="0.3">
      <c r="A541" s="12" t="s">
        <v>1015</v>
      </c>
      <c r="B541" s="12" t="s">
        <v>1021</v>
      </c>
      <c r="C541" s="12" t="s">
        <v>3461</v>
      </c>
      <c r="D541" s="12"/>
      <c r="E541" s="12">
        <v>3</v>
      </c>
      <c r="F541" s="12" t="s">
        <v>3462</v>
      </c>
      <c r="G541" s="12">
        <v>1</v>
      </c>
      <c r="H541" s="12">
        <v>0</v>
      </c>
      <c r="I541" s="12"/>
      <c r="J541" s="12" t="s">
        <v>3463</v>
      </c>
      <c r="K541" s="12" t="s">
        <v>3464</v>
      </c>
    </row>
    <row r="542" spans="1:11" x14ac:dyDescent="0.3">
      <c r="A542" s="12" t="s">
        <v>1015</v>
      </c>
      <c r="B542" s="12" t="s">
        <v>1021</v>
      </c>
      <c r="C542" s="12" t="s">
        <v>3465</v>
      </c>
      <c r="D542" s="12"/>
      <c r="E542" s="12">
        <v>3</v>
      </c>
      <c r="F542" s="12" t="s">
        <v>3466</v>
      </c>
      <c r="G542" s="12">
        <v>1</v>
      </c>
      <c r="H542" s="12">
        <v>0</v>
      </c>
      <c r="I542" s="12"/>
      <c r="J542" s="12" t="s">
        <v>3467</v>
      </c>
      <c r="K542" s="12" t="s">
        <v>3468</v>
      </c>
    </row>
    <row r="543" spans="1:11" x14ac:dyDescent="0.3">
      <c r="A543" s="12" t="s">
        <v>1015</v>
      </c>
      <c r="B543" s="12" t="s">
        <v>1021</v>
      </c>
      <c r="C543" s="12" t="s">
        <v>3469</v>
      </c>
      <c r="D543" s="12"/>
      <c r="E543" s="12">
        <v>3</v>
      </c>
      <c r="F543" s="12" t="s">
        <v>3470</v>
      </c>
      <c r="G543" s="12">
        <v>7</v>
      </c>
      <c r="H543" s="12">
        <v>0</v>
      </c>
      <c r="I543" s="12"/>
      <c r="J543" s="12" t="s">
        <v>3471</v>
      </c>
      <c r="K543" s="12" t="s">
        <v>3472</v>
      </c>
    </row>
    <row r="544" spans="1:11" x14ac:dyDescent="0.3">
      <c r="A544" s="12" t="s">
        <v>1015</v>
      </c>
      <c r="B544" s="12" t="s">
        <v>1016</v>
      </c>
      <c r="C544" s="12"/>
      <c r="D544" s="12"/>
      <c r="E544" s="12">
        <v>2</v>
      </c>
      <c r="F544" s="12" t="s">
        <v>1017</v>
      </c>
      <c r="G544" s="12">
        <v>437</v>
      </c>
      <c r="H544" s="12">
        <v>0</v>
      </c>
      <c r="I544" s="3" t="s">
        <v>1013</v>
      </c>
      <c r="J544" s="12" t="s">
        <v>1014</v>
      </c>
      <c r="K544" s="12" t="s">
        <v>3473</v>
      </c>
    </row>
    <row r="545" spans="1:11" x14ac:dyDescent="0.3">
      <c r="A545" s="12" t="s">
        <v>1015</v>
      </c>
      <c r="B545" s="12" t="s">
        <v>3474</v>
      </c>
      <c r="C545" s="12"/>
      <c r="D545" s="12"/>
      <c r="E545" s="12">
        <v>2</v>
      </c>
      <c r="F545" s="12" t="s">
        <v>3475</v>
      </c>
      <c r="G545" s="12">
        <v>40</v>
      </c>
      <c r="H545" s="12">
        <v>0</v>
      </c>
      <c r="I545" s="12"/>
      <c r="J545" s="12" t="s">
        <v>3476</v>
      </c>
      <c r="K545" s="12" t="s">
        <v>3477</v>
      </c>
    </row>
    <row r="546" spans="1:11" x14ac:dyDescent="0.3">
      <c r="A546" s="12" t="s">
        <v>1015</v>
      </c>
      <c r="B546" s="12" t="s">
        <v>3478</v>
      </c>
      <c r="C546" s="12"/>
      <c r="D546" s="12"/>
      <c r="E546" s="12">
        <v>2</v>
      </c>
      <c r="F546" s="12" t="s">
        <v>3479</v>
      </c>
      <c r="G546" s="12">
        <v>5</v>
      </c>
      <c r="H546" s="12">
        <v>0</v>
      </c>
      <c r="I546" s="12"/>
      <c r="J546" s="12" t="s">
        <v>3480</v>
      </c>
      <c r="K546" s="12" t="s">
        <v>3481</v>
      </c>
    </row>
    <row r="547" spans="1:11" x14ac:dyDescent="0.3">
      <c r="A547" s="12" t="s">
        <v>3482</v>
      </c>
      <c r="B547" s="12" t="s">
        <v>3483</v>
      </c>
      <c r="C547" s="12"/>
      <c r="D547" s="12"/>
      <c r="E547" s="12">
        <v>2</v>
      </c>
      <c r="F547" s="12" t="s">
        <v>3484</v>
      </c>
      <c r="G547" s="12">
        <v>99</v>
      </c>
      <c r="H547" s="12">
        <v>0</v>
      </c>
      <c r="I547" s="12"/>
      <c r="J547" s="12" t="s">
        <v>3485</v>
      </c>
      <c r="K547" s="12" t="s">
        <v>3486</v>
      </c>
    </row>
    <row r="548" spans="1:11" x14ac:dyDescent="0.3">
      <c r="A548" s="12" t="s">
        <v>3482</v>
      </c>
      <c r="B548" s="12" t="s">
        <v>3487</v>
      </c>
      <c r="C548" s="12"/>
      <c r="D548" s="12"/>
      <c r="E548" s="12">
        <v>2</v>
      </c>
      <c r="F548" s="12" t="s">
        <v>3488</v>
      </c>
      <c r="G548" s="12">
        <v>19</v>
      </c>
      <c r="H548" s="12">
        <v>0</v>
      </c>
      <c r="I548" s="12"/>
      <c r="J548" s="12" t="s">
        <v>3489</v>
      </c>
      <c r="K548" s="12" t="s">
        <v>3490</v>
      </c>
    </row>
    <row r="549" spans="1:11" x14ac:dyDescent="0.3">
      <c r="A549" s="12" t="s">
        <v>3482</v>
      </c>
      <c r="B549" s="12" t="s">
        <v>3491</v>
      </c>
      <c r="C549" s="12"/>
      <c r="D549" s="12"/>
      <c r="E549" s="12">
        <v>2</v>
      </c>
      <c r="F549" s="12" t="s">
        <v>3492</v>
      </c>
      <c r="G549" s="12">
        <v>11</v>
      </c>
      <c r="H549" s="12">
        <v>0</v>
      </c>
      <c r="I549" s="12"/>
      <c r="J549" s="12" t="s">
        <v>3493</v>
      </c>
      <c r="K549" s="12" t="s">
        <v>3494</v>
      </c>
    </row>
    <row r="550" spans="1:11" x14ac:dyDescent="0.3">
      <c r="A550" s="12" t="s">
        <v>3482</v>
      </c>
      <c r="B550" s="12" t="s">
        <v>3495</v>
      </c>
      <c r="C550" s="12"/>
      <c r="D550" s="12"/>
      <c r="E550" s="12">
        <v>2</v>
      </c>
      <c r="F550" s="12" t="s">
        <v>3496</v>
      </c>
      <c r="G550" s="12">
        <v>176</v>
      </c>
      <c r="H550" s="12">
        <v>0</v>
      </c>
      <c r="I550" s="12"/>
      <c r="J550" s="12" t="s">
        <v>3497</v>
      </c>
      <c r="K550" s="12" t="s">
        <v>3498</v>
      </c>
    </row>
    <row r="551" spans="1:11" x14ac:dyDescent="0.3">
      <c r="A551" s="12" t="s">
        <v>3482</v>
      </c>
      <c r="B551" s="12" t="s">
        <v>3499</v>
      </c>
      <c r="C551" s="12"/>
      <c r="D551" s="12"/>
      <c r="E551" s="12">
        <v>2</v>
      </c>
      <c r="F551" s="12" t="s">
        <v>3500</v>
      </c>
      <c r="G551" s="12">
        <v>78</v>
      </c>
      <c r="H551" s="12">
        <v>0</v>
      </c>
      <c r="I551" s="12"/>
      <c r="J551" s="12" t="s">
        <v>3501</v>
      </c>
      <c r="K551" s="12" t="s">
        <v>3502</v>
      </c>
    </row>
    <row r="552" spans="1:11" x14ac:dyDescent="0.3">
      <c r="A552" s="12" t="s">
        <v>3482</v>
      </c>
      <c r="B552" s="12" t="s">
        <v>3503</v>
      </c>
      <c r="C552" s="12"/>
      <c r="D552" s="12"/>
      <c r="E552" s="12">
        <v>2</v>
      </c>
      <c r="F552" s="12" t="s">
        <v>3504</v>
      </c>
      <c r="G552" s="12">
        <v>79</v>
      </c>
      <c r="H552" s="12">
        <v>0</v>
      </c>
      <c r="I552" s="12"/>
      <c r="J552" s="12" t="s">
        <v>3505</v>
      </c>
      <c r="K552" s="12" t="s">
        <v>3506</v>
      </c>
    </row>
    <row r="553" spans="1:11" x14ac:dyDescent="0.3">
      <c r="A553" s="12" t="s">
        <v>3482</v>
      </c>
      <c r="B553" s="12" t="s">
        <v>3507</v>
      </c>
      <c r="C553" s="12"/>
      <c r="D553" s="12"/>
      <c r="E553" s="12">
        <v>2</v>
      </c>
      <c r="F553" s="12" t="s">
        <v>3508</v>
      </c>
      <c r="G553" s="12">
        <v>31</v>
      </c>
      <c r="H553" s="12">
        <v>0</v>
      </c>
      <c r="I553" s="12"/>
      <c r="J553" s="12" t="s">
        <v>3509</v>
      </c>
      <c r="K553" s="12" t="s">
        <v>3510</v>
      </c>
    </row>
    <row r="554" spans="1:11" x14ac:dyDescent="0.3">
      <c r="A554" s="12" t="s">
        <v>3482</v>
      </c>
      <c r="B554" s="12" t="s">
        <v>3511</v>
      </c>
      <c r="C554" s="12"/>
      <c r="D554" s="12"/>
      <c r="E554" s="12">
        <v>2</v>
      </c>
      <c r="F554" s="12" t="s">
        <v>3512</v>
      </c>
      <c r="G554" s="12">
        <v>36</v>
      </c>
      <c r="H554" s="12">
        <v>0</v>
      </c>
      <c r="I554" s="12"/>
      <c r="J554" s="12" t="s">
        <v>3513</v>
      </c>
      <c r="K554" s="12" t="s">
        <v>3514</v>
      </c>
    </row>
    <row r="555" spans="1:11" x14ac:dyDescent="0.3">
      <c r="A555" s="12" t="s">
        <v>3482</v>
      </c>
      <c r="B555" s="12" t="s">
        <v>3515</v>
      </c>
      <c r="C555" s="12"/>
      <c r="D555" s="12"/>
      <c r="E555" s="12">
        <v>2</v>
      </c>
      <c r="F555" s="12" t="s">
        <v>3516</v>
      </c>
      <c r="G555" s="12">
        <v>158</v>
      </c>
      <c r="H555" s="12">
        <v>0</v>
      </c>
      <c r="I555" s="12"/>
      <c r="J555" s="12" t="s">
        <v>3517</v>
      </c>
      <c r="K555" s="12" t="s">
        <v>3518</v>
      </c>
    </row>
    <row r="556" spans="1:11" x14ac:dyDescent="0.3">
      <c r="A556" s="12" t="s">
        <v>3482</v>
      </c>
      <c r="B556" s="12" t="s">
        <v>3519</v>
      </c>
      <c r="C556" s="12"/>
      <c r="D556" s="12"/>
      <c r="E556" s="12">
        <v>2</v>
      </c>
      <c r="F556" s="12" t="s">
        <v>3520</v>
      </c>
      <c r="G556" s="12">
        <v>228</v>
      </c>
      <c r="H556" s="12">
        <v>0</v>
      </c>
      <c r="I556" s="12"/>
      <c r="J556" s="12" t="s">
        <v>3521</v>
      </c>
      <c r="K556" s="12" t="s">
        <v>3522</v>
      </c>
    </row>
    <row r="557" spans="1:11" x14ac:dyDescent="0.3">
      <c r="A557" s="12" t="s">
        <v>3482</v>
      </c>
      <c r="B557" s="12" t="s">
        <v>3523</v>
      </c>
      <c r="C557" s="12"/>
      <c r="D557" s="12"/>
      <c r="E557" s="12">
        <v>2</v>
      </c>
      <c r="F557" s="12" t="s">
        <v>3524</v>
      </c>
      <c r="G557" s="12">
        <v>377</v>
      </c>
      <c r="H557" s="12">
        <v>0</v>
      </c>
      <c r="I557" s="12"/>
      <c r="J557" s="12" t="s">
        <v>3525</v>
      </c>
      <c r="K557" s="12" t="s">
        <v>3526</v>
      </c>
    </row>
    <row r="558" spans="1:11" x14ac:dyDescent="0.3">
      <c r="A558" s="12" t="s">
        <v>3527</v>
      </c>
      <c r="B558" s="12" t="s">
        <v>3528</v>
      </c>
      <c r="C558" s="12" t="s">
        <v>3529</v>
      </c>
      <c r="D558" s="12"/>
      <c r="E558" s="12">
        <v>3</v>
      </c>
      <c r="F558" s="12" t="s">
        <v>3530</v>
      </c>
      <c r="G558" s="12">
        <v>12</v>
      </c>
      <c r="H558" s="12">
        <v>0</v>
      </c>
      <c r="I558" s="12"/>
      <c r="J558" s="12" t="s">
        <v>3531</v>
      </c>
      <c r="K558" s="12" t="s">
        <v>3532</v>
      </c>
    </row>
    <row r="559" spans="1:11" x14ac:dyDescent="0.3">
      <c r="A559" s="12" t="s">
        <v>3527</v>
      </c>
      <c r="B559" s="12" t="s">
        <v>3528</v>
      </c>
      <c r="C559" s="12" t="s">
        <v>3533</v>
      </c>
      <c r="D559" s="12" t="s">
        <v>3534</v>
      </c>
      <c r="E559" s="12">
        <v>4</v>
      </c>
      <c r="F559" s="12" t="s">
        <v>3535</v>
      </c>
      <c r="G559" s="12">
        <v>55</v>
      </c>
      <c r="H559" s="12">
        <v>0</v>
      </c>
      <c r="I559" s="12"/>
      <c r="J559" s="12" t="s">
        <v>3536</v>
      </c>
      <c r="K559" s="12" t="s">
        <v>3537</v>
      </c>
    </row>
    <row r="560" spans="1:11" x14ac:dyDescent="0.3">
      <c r="A560" s="12" t="s">
        <v>3527</v>
      </c>
      <c r="B560" s="12" t="s">
        <v>3528</v>
      </c>
      <c r="C560" s="12" t="s">
        <v>3533</v>
      </c>
      <c r="D560" s="12" t="s">
        <v>3538</v>
      </c>
      <c r="E560" s="12">
        <v>4</v>
      </c>
      <c r="F560" s="12" t="s">
        <v>3539</v>
      </c>
      <c r="G560" s="12">
        <v>16</v>
      </c>
      <c r="H560" s="12">
        <v>0</v>
      </c>
      <c r="I560" s="12"/>
      <c r="J560" s="12" t="s">
        <v>3540</v>
      </c>
      <c r="K560" s="12" t="s">
        <v>3541</v>
      </c>
    </row>
    <row r="561" spans="1:11" x14ac:dyDescent="0.3">
      <c r="A561" s="12" t="s">
        <v>3527</v>
      </c>
      <c r="B561" s="12" t="s">
        <v>3528</v>
      </c>
      <c r="C561" s="12" t="s">
        <v>3533</v>
      </c>
      <c r="D561" s="12" t="s">
        <v>3542</v>
      </c>
      <c r="E561" s="12">
        <v>4</v>
      </c>
      <c r="F561" s="12" t="s">
        <v>3543</v>
      </c>
      <c r="G561" s="12">
        <v>69</v>
      </c>
      <c r="H561" s="12">
        <v>0</v>
      </c>
      <c r="I561" s="12"/>
      <c r="J561" s="12" t="s">
        <v>3544</v>
      </c>
      <c r="K561" s="12" t="s">
        <v>3545</v>
      </c>
    </row>
    <row r="562" spans="1:11" x14ac:dyDescent="0.3">
      <c r="A562" s="12" t="s">
        <v>3527</v>
      </c>
      <c r="B562" s="12" t="s">
        <v>3528</v>
      </c>
      <c r="C562" s="12" t="s">
        <v>3533</v>
      </c>
      <c r="D562" s="12" t="s">
        <v>3546</v>
      </c>
      <c r="E562" s="12">
        <v>4</v>
      </c>
      <c r="F562" s="12" t="s">
        <v>3547</v>
      </c>
      <c r="G562" s="12">
        <v>2</v>
      </c>
      <c r="H562" s="12">
        <v>0</v>
      </c>
      <c r="I562" s="12"/>
      <c r="J562" s="12" t="s">
        <v>3548</v>
      </c>
      <c r="K562" s="12" t="s">
        <v>3549</v>
      </c>
    </row>
    <row r="563" spans="1:11" x14ac:dyDescent="0.3">
      <c r="A563" s="12" t="s">
        <v>3527</v>
      </c>
      <c r="B563" s="12" t="s">
        <v>3528</v>
      </c>
      <c r="C563" s="12" t="s">
        <v>3533</v>
      </c>
      <c r="D563" s="12" t="s">
        <v>3550</v>
      </c>
      <c r="E563" s="12">
        <v>4</v>
      </c>
      <c r="F563" s="12" t="s">
        <v>3551</v>
      </c>
      <c r="G563" s="12">
        <v>6</v>
      </c>
      <c r="H563" s="12">
        <v>0</v>
      </c>
      <c r="I563" s="12"/>
      <c r="J563" s="12" t="s">
        <v>3552</v>
      </c>
      <c r="K563" s="12" t="s">
        <v>3553</v>
      </c>
    </row>
    <row r="564" spans="1:11" x14ac:dyDescent="0.3">
      <c r="A564" s="12" t="s">
        <v>3527</v>
      </c>
      <c r="B564" s="12" t="s">
        <v>3528</v>
      </c>
      <c r="C564" s="12" t="s">
        <v>3533</v>
      </c>
      <c r="D564" s="12" t="s">
        <v>3554</v>
      </c>
      <c r="E564" s="12">
        <v>4</v>
      </c>
      <c r="F564" s="12" t="s">
        <v>3555</v>
      </c>
      <c r="G564" s="12">
        <v>83</v>
      </c>
      <c r="H564" s="12">
        <v>0</v>
      </c>
      <c r="I564" s="12"/>
      <c r="J564" s="12" t="s">
        <v>3556</v>
      </c>
      <c r="K564" s="12" t="s">
        <v>3557</v>
      </c>
    </row>
    <row r="565" spans="1:11" x14ac:dyDescent="0.3">
      <c r="A565" s="12" t="s">
        <v>3527</v>
      </c>
      <c r="B565" s="12" t="s">
        <v>3528</v>
      </c>
      <c r="C565" s="12" t="s">
        <v>3533</v>
      </c>
      <c r="D565" s="12" t="s">
        <v>3558</v>
      </c>
      <c r="E565" s="12">
        <v>4</v>
      </c>
      <c r="F565" s="12" t="s">
        <v>3559</v>
      </c>
      <c r="G565" s="12">
        <v>89</v>
      </c>
      <c r="H565" s="12">
        <v>0</v>
      </c>
      <c r="I565" s="12"/>
      <c r="J565" s="12" t="s">
        <v>3560</v>
      </c>
      <c r="K565" s="12" t="s">
        <v>3561</v>
      </c>
    </row>
    <row r="566" spans="1:11" x14ac:dyDescent="0.3">
      <c r="A566" s="12" t="s">
        <v>3527</v>
      </c>
      <c r="B566" s="12" t="s">
        <v>3528</v>
      </c>
      <c r="C566" s="12" t="s">
        <v>3562</v>
      </c>
      <c r="D566" s="12" t="s">
        <v>3563</v>
      </c>
      <c r="E566" s="12">
        <v>4</v>
      </c>
      <c r="F566" s="12" t="s">
        <v>3564</v>
      </c>
      <c r="G566" s="12">
        <v>95</v>
      </c>
      <c r="H566" s="12">
        <v>0</v>
      </c>
      <c r="I566" s="12"/>
      <c r="J566" s="12" t="s">
        <v>3565</v>
      </c>
      <c r="K566" s="12" t="s">
        <v>3566</v>
      </c>
    </row>
    <row r="567" spans="1:11" x14ac:dyDescent="0.3">
      <c r="A567" s="12" t="s">
        <v>3527</v>
      </c>
      <c r="B567" s="12" t="s">
        <v>3528</v>
      </c>
      <c r="C567" s="12" t="s">
        <v>3562</v>
      </c>
      <c r="D567" s="12" t="s">
        <v>3567</v>
      </c>
      <c r="E567" s="12">
        <v>4</v>
      </c>
      <c r="F567" s="12" t="s">
        <v>3568</v>
      </c>
      <c r="G567" s="12">
        <v>84</v>
      </c>
      <c r="H567" s="12">
        <v>0</v>
      </c>
      <c r="I567" s="12"/>
      <c r="J567" s="12" t="s">
        <v>3569</v>
      </c>
      <c r="K567" s="12" t="s">
        <v>3570</v>
      </c>
    </row>
    <row r="568" spans="1:11" x14ac:dyDescent="0.3">
      <c r="A568" s="12" t="s">
        <v>3527</v>
      </c>
      <c r="B568" s="12" t="s">
        <v>3528</v>
      </c>
      <c r="C568" s="12" t="s">
        <v>3562</v>
      </c>
      <c r="D568" s="12" t="s">
        <v>3571</v>
      </c>
      <c r="E568" s="12">
        <v>4</v>
      </c>
      <c r="F568" s="12" t="s">
        <v>3572</v>
      </c>
      <c r="G568" s="12">
        <v>325</v>
      </c>
      <c r="H568" s="12">
        <v>0</v>
      </c>
      <c r="I568" s="12"/>
      <c r="J568" s="12" t="s">
        <v>3573</v>
      </c>
      <c r="K568" s="12" t="s">
        <v>3574</v>
      </c>
    </row>
    <row r="569" spans="1:11" x14ac:dyDescent="0.3">
      <c r="A569" s="12" t="s">
        <v>3527</v>
      </c>
      <c r="B569" s="12" t="s">
        <v>3528</v>
      </c>
      <c r="C569" s="12" t="s">
        <v>3562</v>
      </c>
      <c r="D569" s="12" t="s">
        <v>3575</v>
      </c>
      <c r="E569" s="12">
        <v>4</v>
      </c>
      <c r="F569" s="12" t="s">
        <v>3576</v>
      </c>
      <c r="G569" s="12">
        <v>692</v>
      </c>
      <c r="H569" s="12">
        <v>0</v>
      </c>
      <c r="I569" s="12"/>
      <c r="J569" s="12" t="s">
        <v>3577</v>
      </c>
      <c r="K569" s="12" t="s">
        <v>3578</v>
      </c>
    </row>
    <row r="570" spans="1:11" x14ac:dyDescent="0.3">
      <c r="A570" s="12" t="s">
        <v>3527</v>
      </c>
      <c r="B570" s="12" t="s">
        <v>3528</v>
      </c>
      <c r="C570" s="12" t="s">
        <v>3562</v>
      </c>
      <c r="D570" s="12" t="s">
        <v>3579</v>
      </c>
      <c r="E570" s="12">
        <v>4</v>
      </c>
      <c r="F570" s="12" t="s">
        <v>3580</v>
      </c>
      <c r="G570" s="12">
        <v>168</v>
      </c>
      <c r="H570" s="12">
        <v>0</v>
      </c>
      <c r="I570" s="12"/>
      <c r="J570" s="12" t="s">
        <v>3581</v>
      </c>
      <c r="K570" s="12" t="s">
        <v>3582</v>
      </c>
    </row>
    <row r="571" spans="1:11" x14ac:dyDescent="0.3">
      <c r="A571" s="12" t="s">
        <v>3527</v>
      </c>
      <c r="B571" s="12" t="s">
        <v>3528</v>
      </c>
      <c r="C571" s="12" t="s">
        <v>3562</v>
      </c>
      <c r="D571" s="12" t="s">
        <v>3583</v>
      </c>
      <c r="E571" s="12">
        <v>4</v>
      </c>
      <c r="F571" s="12" t="s">
        <v>3584</v>
      </c>
      <c r="G571" s="12">
        <v>39</v>
      </c>
      <c r="H571" s="12">
        <v>0</v>
      </c>
      <c r="I571" s="12"/>
      <c r="J571" s="12" t="s">
        <v>3585</v>
      </c>
      <c r="K571" s="12" t="s">
        <v>3586</v>
      </c>
    </row>
    <row r="572" spans="1:11" x14ac:dyDescent="0.3">
      <c r="A572" s="12" t="s">
        <v>3527</v>
      </c>
      <c r="B572" s="12" t="s">
        <v>3528</v>
      </c>
      <c r="C572" s="12" t="s">
        <v>3562</v>
      </c>
      <c r="D572" s="12" t="s">
        <v>3587</v>
      </c>
      <c r="E572" s="12">
        <v>4</v>
      </c>
      <c r="F572" s="12" t="s">
        <v>3588</v>
      </c>
      <c r="G572" s="12">
        <v>29</v>
      </c>
      <c r="H572" s="12">
        <v>0</v>
      </c>
      <c r="I572" s="12"/>
      <c r="J572" s="12" t="s">
        <v>3589</v>
      </c>
      <c r="K572" s="12" t="s">
        <v>3590</v>
      </c>
    </row>
    <row r="573" spans="1:11" x14ac:dyDescent="0.3">
      <c r="A573" s="12" t="s">
        <v>3527</v>
      </c>
      <c r="B573" s="12" t="s">
        <v>3528</v>
      </c>
      <c r="C573" s="12" t="s">
        <v>3562</v>
      </c>
      <c r="D573" s="12" t="s">
        <v>3591</v>
      </c>
      <c r="E573" s="12">
        <v>4</v>
      </c>
      <c r="F573" s="12" t="s">
        <v>3592</v>
      </c>
      <c r="G573" s="12">
        <v>13</v>
      </c>
      <c r="H573" s="12">
        <v>0</v>
      </c>
      <c r="I573" s="12"/>
      <c r="J573" s="12" t="s">
        <v>3593</v>
      </c>
      <c r="K573" s="12" t="s">
        <v>3594</v>
      </c>
    </row>
    <row r="574" spans="1:11" x14ac:dyDescent="0.3">
      <c r="A574" s="12" t="s">
        <v>3527</v>
      </c>
      <c r="B574" s="12" t="s">
        <v>3528</v>
      </c>
      <c r="C574" s="12" t="s">
        <v>3562</v>
      </c>
      <c r="D574" s="12" t="s">
        <v>3595</v>
      </c>
      <c r="E574" s="12">
        <v>4</v>
      </c>
      <c r="F574" s="12" t="s">
        <v>3596</v>
      </c>
      <c r="G574" s="12">
        <v>30</v>
      </c>
      <c r="H574" s="12">
        <v>0</v>
      </c>
      <c r="I574" s="12"/>
      <c r="J574" s="12" t="s">
        <v>3597</v>
      </c>
      <c r="K574" s="12" t="s">
        <v>3598</v>
      </c>
    </row>
    <row r="575" spans="1:11" x14ac:dyDescent="0.3">
      <c r="A575" s="12" t="s">
        <v>3527</v>
      </c>
      <c r="B575" s="12" t="s">
        <v>3528</v>
      </c>
      <c r="C575" s="12" t="s">
        <v>3562</v>
      </c>
      <c r="D575" s="12" t="s">
        <v>3599</v>
      </c>
      <c r="E575" s="12">
        <v>4</v>
      </c>
      <c r="F575" s="12" t="s">
        <v>3600</v>
      </c>
      <c r="G575" s="12">
        <v>10</v>
      </c>
      <c r="H575" s="12">
        <v>0</v>
      </c>
      <c r="I575" s="12"/>
      <c r="J575" s="12" t="s">
        <v>3601</v>
      </c>
      <c r="K575" s="12" t="s">
        <v>3602</v>
      </c>
    </row>
    <row r="576" spans="1:11" x14ac:dyDescent="0.3">
      <c r="A576" s="12" t="s">
        <v>3527</v>
      </c>
      <c r="B576" s="12" t="s">
        <v>3528</v>
      </c>
      <c r="C576" s="12" t="s">
        <v>3562</v>
      </c>
      <c r="D576" s="12" t="s">
        <v>3603</v>
      </c>
      <c r="E576" s="12">
        <v>4</v>
      </c>
      <c r="F576" s="12" t="s">
        <v>3604</v>
      </c>
      <c r="G576" s="12">
        <v>244</v>
      </c>
      <c r="H576" s="12">
        <v>0</v>
      </c>
      <c r="I576" s="12"/>
      <c r="J576" s="12" t="s">
        <v>3605</v>
      </c>
      <c r="K576" s="12" t="s">
        <v>3606</v>
      </c>
    </row>
    <row r="577" spans="1:11" x14ac:dyDescent="0.3">
      <c r="A577" s="12" t="s">
        <v>3527</v>
      </c>
      <c r="B577" s="12" t="s">
        <v>3528</v>
      </c>
      <c r="C577" s="12" t="s">
        <v>3607</v>
      </c>
      <c r="D577" s="12" t="s">
        <v>3608</v>
      </c>
      <c r="E577" s="12">
        <v>4</v>
      </c>
      <c r="F577" s="12" t="s">
        <v>3609</v>
      </c>
      <c r="G577" s="12">
        <v>2</v>
      </c>
      <c r="H577" s="12">
        <v>0</v>
      </c>
      <c r="I577" s="12"/>
      <c r="J577" s="12" t="s">
        <v>3610</v>
      </c>
      <c r="K577" s="12" t="s">
        <v>3611</v>
      </c>
    </row>
    <row r="578" spans="1:11" x14ac:dyDescent="0.3">
      <c r="A578" s="12" t="s">
        <v>3527</v>
      </c>
      <c r="B578" s="12" t="s">
        <v>3528</v>
      </c>
      <c r="C578" s="12" t="s">
        <v>3607</v>
      </c>
      <c r="D578" s="12" t="s">
        <v>3612</v>
      </c>
      <c r="E578" s="12">
        <v>4</v>
      </c>
      <c r="F578" s="12" t="s">
        <v>3613</v>
      </c>
      <c r="G578" s="12">
        <v>14</v>
      </c>
      <c r="H578" s="12">
        <v>0</v>
      </c>
      <c r="I578" s="12"/>
      <c r="J578" s="12" t="s">
        <v>3614</v>
      </c>
      <c r="K578" s="12" t="s">
        <v>3615</v>
      </c>
    </row>
    <row r="579" spans="1:11" x14ac:dyDescent="0.3">
      <c r="A579" s="12" t="s">
        <v>3527</v>
      </c>
      <c r="B579" s="12" t="s">
        <v>3528</v>
      </c>
      <c r="C579" s="12" t="s">
        <v>3616</v>
      </c>
      <c r="D579" s="12" t="s">
        <v>3617</v>
      </c>
      <c r="E579" s="12">
        <v>4</v>
      </c>
      <c r="F579" s="12" t="s">
        <v>3618</v>
      </c>
      <c r="G579" s="12">
        <v>6</v>
      </c>
      <c r="H579" s="12">
        <v>0</v>
      </c>
      <c r="I579" s="12"/>
      <c r="J579" s="12" t="s">
        <v>3619</v>
      </c>
      <c r="K579" s="12" t="s">
        <v>3620</v>
      </c>
    </row>
    <row r="580" spans="1:11" x14ac:dyDescent="0.3">
      <c r="A580" s="12" t="s">
        <v>3527</v>
      </c>
      <c r="B580" s="12" t="s">
        <v>3528</v>
      </c>
      <c r="C580" s="12" t="s">
        <v>3616</v>
      </c>
      <c r="D580" s="12" t="s">
        <v>3621</v>
      </c>
      <c r="E580" s="12">
        <v>4</v>
      </c>
      <c r="F580" s="12" t="s">
        <v>3622</v>
      </c>
      <c r="G580" s="12">
        <v>18</v>
      </c>
      <c r="H580" s="12">
        <v>0</v>
      </c>
      <c r="I580" s="12"/>
      <c r="J580" s="12" t="s">
        <v>3623</v>
      </c>
      <c r="K580" s="12" t="s">
        <v>3624</v>
      </c>
    </row>
    <row r="581" spans="1:11" x14ac:dyDescent="0.3">
      <c r="A581" s="12" t="s">
        <v>3527</v>
      </c>
      <c r="B581" s="12" t="s">
        <v>3528</v>
      </c>
      <c r="C581" s="12" t="s">
        <v>3616</v>
      </c>
      <c r="D581" s="12" t="s">
        <v>3625</v>
      </c>
      <c r="E581" s="12">
        <v>4</v>
      </c>
      <c r="F581" s="12" t="s">
        <v>3626</v>
      </c>
      <c r="G581" s="12">
        <v>40</v>
      </c>
      <c r="H581" s="12">
        <v>0</v>
      </c>
      <c r="I581" s="12"/>
      <c r="J581" s="12" t="s">
        <v>3627</v>
      </c>
      <c r="K581" s="12" t="s">
        <v>3628</v>
      </c>
    </row>
    <row r="582" spans="1:11" x14ac:dyDescent="0.3">
      <c r="A582" s="12" t="s">
        <v>3527</v>
      </c>
      <c r="B582" s="12" t="s">
        <v>3528</v>
      </c>
      <c r="C582" s="12" t="s">
        <v>3629</v>
      </c>
      <c r="D582" s="12" t="s">
        <v>3630</v>
      </c>
      <c r="E582" s="12">
        <v>4</v>
      </c>
      <c r="F582" s="12" t="s">
        <v>3631</v>
      </c>
      <c r="G582" s="12">
        <v>36</v>
      </c>
      <c r="H582" s="12">
        <v>0</v>
      </c>
      <c r="I582" s="12"/>
      <c r="J582" s="12" t="s">
        <v>3632</v>
      </c>
      <c r="K582" s="12" t="s">
        <v>3633</v>
      </c>
    </row>
    <row r="583" spans="1:11" x14ac:dyDescent="0.3">
      <c r="A583" s="12" t="s">
        <v>3527</v>
      </c>
      <c r="B583" s="12" t="s">
        <v>3528</v>
      </c>
      <c r="C583" s="12" t="s">
        <v>3629</v>
      </c>
      <c r="D583" s="12" t="s">
        <v>3634</v>
      </c>
      <c r="E583" s="12">
        <v>4</v>
      </c>
      <c r="F583" s="12" t="s">
        <v>3635</v>
      </c>
      <c r="G583" s="12">
        <v>19</v>
      </c>
      <c r="H583" s="12">
        <v>0</v>
      </c>
      <c r="I583" s="12"/>
      <c r="J583" s="12" t="s">
        <v>3636</v>
      </c>
      <c r="K583" s="12" t="s">
        <v>3637</v>
      </c>
    </row>
    <row r="584" spans="1:11" x14ac:dyDescent="0.3">
      <c r="A584" s="12" t="s">
        <v>3527</v>
      </c>
      <c r="B584" s="12" t="s">
        <v>3528</v>
      </c>
      <c r="C584" s="12" t="s">
        <v>3629</v>
      </c>
      <c r="D584" s="12" t="s">
        <v>3638</v>
      </c>
      <c r="E584" s="12">
        <v>4</v>
      </c>
      <c r="F584" s="12" t="s">
        <v>3639</v>
      </c>
      <c r="G584" s="12">
        <v>18</v>
      </c>
      <c r="H584" s="12">
        <v>0</v>
      </c>
      <c r="I584" s="12"/>
      <c r="J584" s="12" t="s">
        <v>3640</v>
      </c>
      <c r="K584" s="12" t="s">
        <v>3641</v>
      </c>
    </row>
    <row r="585" spans="1:11" x14ac:dyDescent="0.3">
      <c r="A585" s="12" t="s">
        <v>3527</v>
      </c>
      <c r="B585" s="12" t="s">
        <v>3528</v>
      </c>
      <c r="C585" s="12" t="s">
        <v>3629</v>
      </c>
      <c r="D585" s="12" t="s">
        <v>3642</v>
      </c>
      <c r="E585" s="12">
        <v>4</v>
      </c>
      <c r="F585" s="12" t="s">
        <v>3643</v>
      </c>
      <c r="G585" s="12">
        <v>30</v>
      </c>
      <c r="H585" s="12">
        <v>0</v>
      </c>
      <c r="I585" s="12"/>
      <c r="J585" s="12" t="s">
        <v>3644</v>
      </c>
      <c r="K585" s="12" t="s">
        <v>3645</v>
      </c>
    </row>
    <row r="586" spans="1:11" x14ac:dyDescent="0.3">
      <c r="A586" s="12" t="s">
        <v>3527</v>
      </c>
      <c r="B586" s="12" t="s">
        <v>3646</v>
      </c>
      <c r="C586" s="12" t="s">
        <v>3647</v>
      </c>
      <c r="D586" s="12"/>
      <c r="E586" s="12">
        <v>3</v>
      </c>
      <c r="F586" s="12" t="s">
        <v>3648</v>
      </c>
      <c r="G586" s="12">
        <v>10</v>
      </c>
      <c r="H586" s="12">
        <v>0</v>
      </c>
      <c r="I586" s="12"/>
      <c r="J586" s="12" t="s">
        <v>3649</v>
      </c>
      <c r="K586" s="12" t="s">
        <v>3650</v>
      </c>
    </row>
    <row r="587" spans="1:11" x14ac:dyDescent="0.3">
      <c r="A587" s="12" t="s">
        <v>3527</v>
      </c>
      <c r="B587" s="12" t="s">
        <v>3646</v>
      </c>
      <c r="C587" s="12" t="s">
        <v>3651</v>
      </c>
      <c r="D587" s="12"/>
      <c r="E587" s="12">
        <v>3</v>
      </c>
      <c r="F587" s="12" t="s">
        <v>3652</v>
      </c>
      <c r="G587" s="12">
        <v>60</v>
      </c>
      <c r="H587" s="12">
        <v>0</v>
      </c>
      <c r="I587" s="12"/>
      <c r="J587" s="12" t="s">
        <v>3653</v>
      </c>
      <c r="K587" s="12" t="s">
        <v>3654</v>
      </c>
    </row>
    <row r="588" spans="1:11" x14ac:dyDescent="0.3">
      <c r="A588" s="12" t="s">
        <v>3527</v>
      </c>
      <c r="B588" s="12" t="s">
        <v>3646</v>
      </c>
      <c r="C588" s="12" t="s">
        <v>3655</v>
      </c>
      <c r="D588" s="12"/>
      <c r="E588" s="12">
        <v>3</v>
      </c>
      <c r="F588" s="12" t="s">
        <v>3656</v>
      </c>
      <c r="G588" s="12">
        <v>99</v>
      </c>
      <c r="H588" s="12">
        <v>0</v>
      </c>
      <c r="I588" s="12"/>
      <c r="J588" s="12" t="s">
        <v>3657</v>
      </c>
      <c r="K588" s="12" t="s">
        <v>3658</v>
      </c>
    </row>
    <row r="589" spans="1:11" x14ac:dyDescent="0.3">
      <c r="A589" s="12" t="s">
        <v>3527</v>
      </c>
      <c r="B589" s="12" t="s">
        <v>3646</v>
      </c>
      <c r="C589" s="12" t="s">
        <v>3659</v>
      </c>
      <c r="D589" s="12"/>
      <c r="E589" s="12">
        <v>3</v>
      </c>
      <c r="F589" s="12" t="s">
        <v>3660</v>
      </c>
      <c r="G589" s="12">
        <v>101</v>
      </c>
      <c r="H589" s="12">
        <v>0</v>
      </c>
      <c r="I589" s="12"/>
      <c r="J589" s="12" t="s">
        <v>3661</v>
      </c>
      <c r="K589" s="12" t="s">
        <v>3662</v>
      </c>
    </row>
    <row r="590" spans="1:11" x14ac:dyDescent="0.3">
      <c r="A590" s="12" t="s">
        <v>3527</v>
      </c>
      <c r="B590" s="12" t="s">
        <v>3646</v>
      </c>
      <c r="C590" s="12" t="s">
        <v>3663</v>
      </c>
      <c r="D590" s="12"/>
      <c r="E590" s="12">
        <v>3</v>
      </c>
      <c r="F590" s="12" t="s">
        <v>3664</v>
      </c>
      <c r="G590" s="12">
        <v>21</v>
      </c>
      <c r="H590" s="12">
        <v>0</v>
      </c>
      <c r="I590" s="12"/>
      <c r="J590" s="12" t="s">
        <v>3665</v>
      </c>
      <c r="K590" s="12" t="s">
        <v>3666</v>
      </c>
    </row>
    <row r="591" spans="1:11" x14ac:dyDescent="0.3">
      <c r="A591" s="12" t="s">
        <v>3527</v>
      </c>
      <c r="B591" s="12" t="s">
        <v>3667</v>
      </c>
      <c r="C591" s="12" t="s">
        <v>3668</v>
      </c>
      <c r="D591" s="12"/>
      <c r="E591" s="12">
        <v>3</v>
      </c>
      <c r="F591" s="12" t="s">
        <v>3669</v>
      </c>
      <c r="G591" s="12">
        <v>74</v>
      </c>
      <c r="H591" s="12">
        <v>0</v>
      </c>
      <c r="I591" s="12"/>
      <c r="J591" s="12" t="s">
        <v>3670</v>
      </c>
      <c r="K591" s="12" t="s">
        <v>3671</v>
      </c>
    </row>
    <row r="592" spans="1:11" x14ac:dyDescent="0.3">
      <c r="A592" s="12" t="s">
        <v>3527</v>
      </c>
      <c r="B592" s="12" t="s">
        <v>3667</v>
      </c>
      <c r="C592" s="12" t="s">
        <v>3672</v>
      </c>
      <c r="D592" s="12" t="s">
        <v>3673</v>
      </c>
      <c r="E592" s="12">
        <v>4</v>
      </c>
      <c r="F592" s="12" t="s">
        <v>3674</v>
      </c>
      <c r="G592" s="12">
        <v>13</v>
      </c>
      <c r="H592" s="12">
        <v>0</v>
      </c>
      <c r="I592" s="12"/>
      <c r="J592" s="12" t="s">
        <v>3675</v>
      </c>
      <c r="K592" s="12" t="s">
        <v>3676</v>
      </c>
    </row>
    <row r="593" spans="1:11" x14ac:dyDescent="0.3">
      <c r="A593" s="12" t="s">
        <v>3527</v>
      </c>
      <c r="B593" s="12" t="s">
        <v>3667</v>
      </c>
      <c r="C593" s="12" t="s">
        <v>3672</v>
      </c>
      <c r="D593" s="12" t="s">
        <v>3677</v>
      </c>
      <c r="E593" s="12">
        <v>4</v>
      </c>
      <c r="F593" s="12" t="s">
        <v>3678</v>
      </c>
      <c r="G593" s="12">
        <v>3</v>
      </c>
      <c r="H593" s="12">
        <v>0</v>
      </c>
      <c r="I593" s="12"/>
      <c r="J593" s="12" t="s">
        <v>3679</v>
      </c>
      <c r="K593" s="12" t="s">
        <v>3680</v>
      </c>
    </row>
    <row r="594" spans="1:11" x14ac:dyDescent="0.3">
      <c r="A594" s="12" t="s">
        <v>3527</v>
      </c>
      <c r="B594" s="12" t="s">
        <v>3667</v>
      </c>
      <c r="C594" s="12" t="s">
        <v>3672</v>
      </c>
      <c r="D594" s="12" t="s">
        <v>3681</v>
      </c>
      <c r="E594" s="12">
        <v>4</v>
      </c>
      <c r="F594" s="12" t="s">
        <v>3682</v>
      </c>
      <c r="G594" s="12">
        <v>7</v>
      </c>
      <c r="H594" s="12">
        <v>0</v>
      </c>
      <c r="I594" s="12"/>
      <c r="J594" s="12" t="s">
        <v>3683</v>
      </c>
      <c r="K594" s="12" t="s">
        <v>3684</v>
      </c>
    </row>
    <row r="595" spans="1:11" x14ac:dyDescent="0.3">
      <c r="A595" s="12" t="s">
        <v>3527</v>
      </c>
      <c r="B595" s="12" t="s">
        <v>3667</v>
      </c>
      <c r="C595" s="12" t="s">
        <v>3672</v>
      </c>
      <c r="D595" s="12" t="s">
        <v>3685</v>
      </c>
      <c r="E595" s="12">
        <v>4</v>
      </c>
      <c r="F595" s="12" t="s">
        <v>3686</v>
      </c>
      <c r="G595" s="12">
        <v>37</v>
      </c>
      <c r="H595" s="12">
        <v>0</v>
      </c>
      <c r="I595" s="12"/>
      <c r="J595" s="12" t="s">
        <v>3687</v>
      </c>
      <c r="K595" s="12" t="s">
        <v>3688</v>
      </c>
    </row>
    <row r="596" spans="1:11" x14ac:dyDescent="0.3">
      <c r="A596" s="12" t="s">
        <v>3527</v>
      </c>
      <c r="B596" s="12" t="s">
        <v>3667</v>
      </c>
      <c r="C596" s="12" t="s">
        <v>3672</v>
      </c>
      <c r="D596" s="12" t="s">
        <v>3689</v>
      </c>
      <c r="E596" s="12">
        <v>4</v>
      </c>
      <c r="F596" s="12" t="s">
        <v>3690</v>
      </c>
      <c r="G596" s="12">
        <v>4</v>
      </c>
      <c r="H596" s="12">
        <v>0</v>
      </c>
      <c r="I596" s="12"/>
      <c r="J596" s="12" t="s">
        <v>3691</v>
      </c>
      <c r="K596" s="12" t="s">
        <v>3692</v>
      </c>
    </row>
    <row r="597" spans="1:11" x14ac:dyDescent="0.3">
      <c r="A597" s="12" t="s">
        <v>3527</v>
      </c>
      <c r="B597" s="12" t="s">
        <v>3667</v>
      </c>
      <c r="C597" s="12" t="s">
        <v>3672</v>
      </c>
      <c r="D597" s="12" t="s">
        <v>3693</v>
      </c>
      <c r="E597" s="12">
        <v>4</v>
      </c>
      <c r="F597" s="12" t="s">
        <v>3694</v>
      </c>
      <c r="G597" s="12">
        <v>33</v>
      </c>
      <c r="H597" s="12">
        <v>0</v>
      </c>
      <c r="I597" s="12"/>
      <c r="J597" s="12" t="s">
        <v>3695</v>
      </c>
      <c r="K597" s="12" t="s">
        <v>3696</v>
      </c>
    </row>
    <row r="598" spans="1:11" x14ac:dyDescent="0.3">
      <c r="A598" s="12" t="s">
        <v>3527</v>
      </c>
      <c r="B598" s="12" t="s">
        <v>3667</v>
      </c>
      <c r="C598" s="12" t="s">
        <v>3672</v>
      </c>
      <c r="D598" s="12" t="s">
        <v>3697</v>
      </c>
      <c r="E598" s="12">
        <v>4</v>
      </c>
      <c r="F598" s="12" t="s">
        <v>3698</v>
      </c>
      <c r="G598" s="12">
        <v>20</v>
      </c>
      <c r="H598" s="12">
        <v>0</v>
      </c>
      <c r="I598" s="12"/>
      <c r="J598" s="12" t="s">
        <v>3699</v>
      </c>
      <c r="K598" s="12" t="s">
        <v>3700</v>
      </c>
    </row>
    <row r="599" spans="1:11" x14ac:dyDescent="0.3">
      <c r="A599" s="12" t="s">
        <v>3527</v>
      </c>
      <c r="B599" s="12" t="s">
        <v>3667</v>
      </c>
      <c r="C599" s="12" t="s">
        <v>3672</v>
      </c>
      <c r="D599" s="12" t="s">
        <v>3701</v>
      </c>
      <c r="E599" s="12">
        <v>4</v>
      </c>
      <c r="F599" s="12" t="s">
        <v>3702</v>
      </c>
      <c r="G599" s="12">
        <v>3</v>
      </c>
      <c r="H599" s="12">
        <v>0</v>
      </c>
      <c r="I599" s="12"/>
      <c r="J599" s="12" t="s">
        <v>3703</v>
      </c>
      <c r="K599" s="12" t="s">
        <v>3704</v>
      </c>
    </row>
    <row r="600" spans="1:11" x14ac:dyDescent="0.3">
      <c r="A600" s="12" t="s">
        <v>3527</v>
      </c>
      <c r="B600" s="12" t="s">
        <v>3667</v>
      </c>
      <c r="C600" s="12" t="s">
        <v>3672</v>
      </c>
      <c r="D600" s="12" t="s">
        <v>3705</v>
      </c>
      <c r="E600" s="12">
        <v>4</v>
      </c>
      <c r="F600" s="12" t="s">
        <v>3706</v>
      </c>
      <c r="G600" s="12">
        <v>1</v>
      </c>
      <c r="H600" s="12">
        <v>0</v>
      </c>
      <c r="I600" s="12"/>
      <c r="J600" s="12" t="s">
        <v>3707</v>
      </c>
      <c r="K600" s="12" t="s">
        <v>3708</v>
      </c>
    </row>
    <row r="601" spans="1:11" x14ac:dyDescent="0.3">
      <c r="A601" s="12" t="s">
        <v>3527</v>
      </c>
      <c r="B601" s="12" t="s">
        <v>3667</v>
      </c>
      <c r="C601" s="12" t="s">
        <v>3672</v>
      </c>
      <c r="D601" s="12" t="s">
        <v>3709</v>
      </c>
      <c r="E601" s="12">
        <v>4</v>
      </c>
      <c r="F601" s="12" t="s">
        <v>3710</v>
      </c>
      <c r="G601" s="12">
        <v>12</v>
      </c>
      <c r="H601" s="12">
        <v>0</v>
      </c>
      <c r="I601" s="12"/>
      <c r="J601" s="12" t="s">
        <v>3711</v>
      </c>
      <c r="K601" s="12" t="s">
        <v>3712</v>
      </c>
    </row>
    <row r="602" spans="1:11" x14ac:dyDescent="0.3">
      <c r="A602" s="12" t="s">
        <v>3527</v>
      </c>
      <c r="B602" s="12" t="s">
        <v>3667</v>
      </c>
      <c r="C602" s="12" t="s">
        <v>3672</v>
      </c>
      <c r="D602" s="12" t="s">
        <v>3713</v>
      </c>
      <c r="E602" s="12">
        <v>4</v>
      </c>
      <c r="F602" s="12" t="s">
        <v>3714</v>
      </c>
      <c r="G602" s="12">
        <v>4</v>
      </c>
      <c r="H602" s="12">
        <v>0</v>
      </c>
      <c r="I602" s="12"/>
      <c r="J602" s="12" t="s">
        <v>3715</v>
      </c>
      <c r="K602" s="12" t="s">
        <v>3716</v>
      </c>
    </row>
    <row r="603" spans="1:11" x14ac:dyDescent="0.3">
      <c r="A603" s="12" t="s">
        <v>3527</v>
      </c>
      <c r="B603" s="12" t="s">
        <v>3717</v>
      </c>
      <c r="C603" s="12" t="s">
        <v>3718</v>
      </c>
      <c r="D603" s="12" t="s">
        <v>3719</v>
      </c>
      <c r="E603" s="12">
        <v>4</v>
      </c>
      <c r="F603" s="12" t="s">
        <v>3720</v>
      </c>
      <c r="G603" s="12">
        <v>4</v>
      </c>
      <c r="H603" s="12">
        <v>0</v>
      </c>
      <c r="I603" s="12"/>
      <c r="J603" s="12" t="s">
        <v>3721</v>
      </c>
      <c r="K603" s="12" t="s">
        <v>3722</v>
      </c>
    </row>
    <row r="604" spans="1:11" x14ac:dyDescent="0.3">
      <c r="A604" s="12" t="s">
        <v>3527</v>
      </c>
      <c r="B604" s="12" t="s">
        <v>3717</v>
      </c>
      <c r="C604" s="12" t="s">
        <v>3718</v>
      </c>
      <c r="D604" s="12" t="s">
        <v>3723</v>
      </c>
      <c r="E604" s="12">
        <v>4</v>
      </c>
      <c r="F604" s="12" t="s">
        <v>3724</v>
      </c>
      <c r="G604" s="12">
        <v>11</v>
      </c>
      <c r="H604" s="12">
        <v>0</v>
      </c>
      <c r="I604" s="12"/>
      <c r="J604" s="12" t="s">
        <v>3725</v>
      </c>
      <c r="K604" s="12" t="s">
        <v>3726</v>
      </c>
    </row>
    <row r="605" spans="1:11" x14ac:dyDescent="0.3">
      <c r="A605" s="12" t="s">
        <v>3527</v>
      </c>
      <c r="B605" s="12" t="s">
        <v>3717</v>
      </c>
      <c r="C605" s="12" t="s">
        <v>3718</v>
      </c>
      <c r="D605" s="12" t="s">
        <v>3727</v>
      </c>
      <c r="E605" s="12">
        <v>4</v>
      </c>
      <c r="F605" s="12" t="s">
        <v>3728</v>
      </c>
      <c r="G605" s="12">
        <v>11</v>
      </c>
      <c r="H605" s="12">
        <v>0</v>
      </c>
      <c r="I605" s="12"/>
      <c r="J605" s="12" t="s">
        <v>3729</v>
      </c>
      <c r="K605" s="12" t="s">
        <v>3730</v>
      </c>
    </row>
    <row r="606" spans="1:11" x14ac:dyDescent="0.3">
      <c r="A606" s="12" t="s">
        <v>3527</v>
      </c>
      <c r="B606" s="12" t="s">
        <v>3717</v>
      </c>
      <c r="C606" s="12" t="s">
        <v>3718</v>
      </c>
      <c r="D606" s="12" t="s">
        <v>3731</v>
      </c>
      <c r="E606" s="12">
        <v>4</v>
      </c>
      <c r="F606" s="12" t="s">
        <v>3732</v>
      </c>
      <c r="G606" s="12">
        <v>28</v>
      </c>
      <c r="H606" s="12">
        <v>0</v>
      </c>
      <c r="I606" s="12"/>
      <c r="J606" s="12" t="s">
        <v>3733</v>
      </c>
      <c r="K606" s="12" t="s">
        <v>3734</v>
      </c>
    </row>
    <row r="607" spans="1:11" x14ac:dyDescent="0.3">
      <c r="A607" s="12" t="s">
        <v>3527</v>
      </c>
      <c r="B607" s="12" t="s">
        <v>3717</v>
      </c>
      <c r="C607" s="12" t="s">
        <v>3718</v>
      </c>
      <c r="D607" s="12" t="s">
        <v>3735</v>
      </c>
      <c r="E607" s="12">
        <v>4</v>
      </c>
      <c r="F607" s="12" t="s">
        <v>3736</v>
      </c>
      <c r="G607" s="12">
        <v>5</v>
      </c>
      <c r="H607" s="12">
        <v>0</v>
      </c>
      <c r="I607" s="12"/>
      <c r="J607" s="12" t="s">
        <v>3737</v>
      </c>
      <c r="K607" s="12" t="s">
        <v>3738</v>
      </c>
    </row>
    <row r="608" spans="1:11" x14ac:dyDescent="0.3">
      <c r="A608" s="12" t="s">
        <v>3527</v>
      </c>
      <c r="B608" s="12" t="s">
        <v>3717</v>
      </c>
      <c r="C608" s="12" t="s">
        <v>3718</v>
      </c>
      <c r="D608" s="12" t="s">
        <v>3739</v>
      </c>
      <c r="E608" s="12">
        <v>4</v>
      </c>
      <c r="F608" s="12" t="s">
        <v>3740</v>
      </c>
      <c r="G608" s="12">
        <v>2</v>
      </c>
      <c r="H608" s="12">
        <v>0</v>
      </c>
      <c r="I608" s="12"/>
      <c r="J608" s="12" t="s">
        <v>3741</v>
      </c>
      <c r="K608" s="12" t="s">
        <v>3742</v>
      </c>
    </row>
    <row r="609" spans="1:11" x14ac:dyDescent="0.3">
      <c r="A609" s="12" t="s">
        <v>3527</v>
      </c>
      <c r="B609" s="12" t="s">
        <v>3717</v>
      </c>
      <c r="C609" s="12" t="s">
        <v>3718</v>
      </c>
      <c r="D609" s="12" t="s">
        <v>3743</v>
      </c>
      <c r="E609" s="12">
        <v>4</v>
      </c>
      <c r="F609" s="12" t="s">
        <v>3744</v>
      </c>
      <c r="G609" s="12">
        <v>19</v>
      </c>
      <c r="H609" s="12">
        <v>0</v>
      </c>
      <c r="I609" s="12"/>
      <c r="J609" s="12" t="s">
        <v>3745</v>
      </c>
      <c r="K609" s="12" t="s">
        <v>3746</v>
      </c>
    </row>
    <row r="610" spans="1:11" x14ac:dyDescent="0.3">
      <c r="A610" s="12" t="s">
        <v>3527</v>
      </c>
      <c r="B610" s="12" t="s">
        <v>3717</v>
      </c>
      <c r="C610" s="12" t="s">
        <v>3718</v>
      </c>
      <c r="D610" s="12" t="s">
        <v>3747</v>
      </c>
      <c r="E610" s="12">
        <v>4</v>
      </c>
      <c r="F610" s="12" t="s">
        <v>3748</v>
      </c>
      <c r="G610" s="12">
        <v>3</v>
      </c>
      <c r="H610" s="12">
        <v>0</v>
      </c>
      <c r="I610" s="12"/>
      <c r="J610" s="12" t="s">
        <v>3749</v>
      </c>
      <c r="K610" s="12" t="s">
        <v>3750</v>
      </c>
    </row>
    <row r="611" spans="1:11" x14ac:dyDescent="0.3">
      <c r="A611" s="12" t="s">
        <v>3527</v>
      </c>
      <c r="B611" s="12" t="s">
        <v>3717</v>
      </c>
      <c r="C611" s="12" t="s">
        <v>3718</v>
      </c>
      <c r="D611" s="12" t="s">
        <v>3751</v>
      </c>
      <c r="E611" s="12">
        <v>4</v>
      </c>
      <c r="F611" s="12" t="s">
        <v>3752</v>
      </c>
      <c r="G611" s="12">
        <v>4</v>
      </c>
      <c r="H611" s="12">
        <v>0</v>
      </c>
      <c r="I611" s="12"/>
      <c r="J611" s="12" t="s">
        <v>3753</v>
      </c>
      <c r="K611" s="12" t="s">
        <v>3754</v>
      </c>
    </row>
    <row r="612" spans="1:11" x14ac:dyDescent="0.3">
      <c r="A612" s="12" t="s">
        <v>3527</v>
      </c>
      <c r="B612" s="12" t="s">
        <v>3717</v>
      </c>
      <c r="C612" s="12" t="s">
        <v>3718</v>
      </c>
      <c r="D612" s="12" t="s">
        <v>3755</v>
      </c>
      <c r="E612" s="12">
        <v>4</v>
      </c>
      <c r="F612" s="12" t="s">
        <v>3756</v>
      </c>
      <c r="G612" s="12">
        <v>6</v>
      </c>
      <c r="H612" s="12">
        <v>0</v>
      </c>
      <c r="I612" s="12"/>
      <c r="J612" s="12" t="s">
        <v>3757</v>
      </c>
      <c r="K612" s="12" t="s">
        <v>3758</v>
      </c>
    </row>
    <row r="613" spans="1:11" x14ac:dyDescent="0.3">
      <c r="A613" s="12" t="s">
        <v>3527</v>
      </c>
      <c r="B613" s="12" t="s">
        <v>3717</v>
      </c>
      <c r="C613" s="12" t="s">
        <v>3759</v>
      </c>
      <c r="D613" s="12" t="s">
        <v>3760</v>
      </c>
      <c r="E613" s="12">
        <v>4</v>
      </c>
      <c r="F613" s="12" t="s">
        <v>3761</v>
      </c>
      <c r="G613" s="12">
        <v>55</v>
      </c>
      <c r="H613" s="12">
        <v>0</v>
      </c>
      <c r="I613" s="12"/>
      <c r="J613" s="12" t="s">
        <v>3762</v>
      </c>
      <c r="K613" s="12" t="s">
        <v>3763</v>
      </c>
    </row>
    <row r="614" spans="1:11" x14ac:dyDescent="0.3">
      <c r="A614" s="12" t="s">
        <v>3527</v>
      </c>
      <c r="B614" s="12" t="s">
        <v>3717</v>
      </c>
      <c r="C614" s="12" t="s">
        <v>3759</v>
      </c>
      <c r="D614" s="12" t="s">
        <v>3764</v>
      </c>
      <c r="E614" s="12">
        <v>4</v>
      </c>
      <c r="F614" s="12" t="s">
        <v>3765</v>
      </c>
      <c r="G614" s="12">
        <v>27</v>
      </c>
      <c r="H614" s="12">
        <v>0</v>
      </c>
      <c r="I614" s="12"/>
      <c r="J614" s="12" t="s">
        <v>3766</v>
      </c>
      <c r="K614" s="12" t="s">
        <v>3767</v>
      </c>
    </row>
    <row r="615" spans="1:11" x14ac:dyDescent="0.3">
      <c r="A615" s="12" t="s">
        <v>3527</v>
      </c>
      <c r="B615" s="12" t="s">
        <v>3717</v>
      </c>
      <c r="C615" s="12" t="s">
        <v>3759</v>
      </c>
      <c r="D615" s="12" t="s">
        <v>3768</v>
      </c>
      <c r="E615" s="12">
        <v>4</v>
      </c>
      <c r="F615" s="12" t="s">
        <v>3769</v>
      </c>
      <c r="G615" s="12">
        <v>40</v>
      </c>
      <c r="H615" s="12">
        <v>0</v>
      </c>
      <c r="I615" s="12"/>
      <c r="J615" s="12" t="s">
        <v>3770</v>
      </c>
      <c r="K615" s="12" t="s">
        <v>3771</v>
      </c>
    </row>
    <row r="616" spans="1:11" x14ac:dyDescent="0.3">
      <c r="A616" s="12" t="s">
        <v>3527</v>
      </c>
      <c r="B616" s="12" t="s">
        <v>3717</v>
      </c>
      <c r="C616" s="12" t="s">
        <v>3759</v>
      </c>
      <c r="D616" s="12" t="s">
        <v>3772</v>
      </c>
      <c r="E616" s="12">
        <v>4</v>
      </c>
      <c r="F616" s="12" t="s">
        <v>3773</v>
      </c>
      <c r="G616" s="12">
        <v>10</v>
      </c>
      <c r="H616" s="12">
        <v>0</v>
      </c>
      <c r="I616" s="12"/>
      <c r="J616" s="12" t="s">
        <v>3774</v>
      </c>
      <c r="K616" s="12" t="s">
        <v>3775</v>
      </c>
    </row>
    <row r="617" spans="1:11" x14ac:dyDescent="0.3">
      <c r="A617" s="12" t="s">
        <v>3527</v>
      </c>
      <c r="B617" s="12" t="s">
        <v>3717</v>
      </c>
      <c r="C617" s="12" t="s">
        <v>3759</v>
      </c>
      <c r="D617" s="12" t="s">
        <v>3776</v>
      </c>
      <c r="E617" s="12">
        <v>4</v>
      </c>
      <c r="F617" s="12" t="s">
        <v>3777</v>
      </c>
      <c r="G617" s="12">
        <v>19</v>
      </c>
      <c r="H617" s="12">
        <v>0</v>
      </c>
      <c r="I617" s="12"/>
      <c r="J617" s="12" t="s">
        <v>3778</v>
      </c>
      <c r="K617" s="12" t="s">
        <v>3779</v>
      </c>
    </row>
    <row r="618" spans="1:11" x14ac:dyDescent="0.3">
      <c r="A618" s="12" t="s">
        <v>3527</v>
      </c>
      <c r="B618" s="12" t="s">
        <v>3717</v>
      </c>
      <c r="C618" s="12" t="s">
        <v>3759</v>
      </c>
      <c r="D618" s="12" t="s">
        <v>3780</v>
      </c>
      <c r="E618" s="12">
        <v>4</v>
      </c>
      <c r="F618" s="12" t="s">
        <v>3781</v>
      </c>
      <c r="G618" s="12">
        <v>3</v>
      </c>
      <c r="H618" s="12">
        <v>0</v>
      </c>
      <c r="I618" s="12"/>
      <c r="J618" s="12" t="s">
        <v>3782</v>
      </c>
      <c r="K618" s="12" t="s">
        <v>3783</v>
      </c>
    </row>
    <row r="619" spans="1:11" x14ac:dyDescent="0.3">
      <c r="A619" s="12" t="s">
        <v>3527</v>
      </c>
      <c r="B619" s="12" t="s">
        <v>3717</v>
      </c>
      <c r="C619" s="12" t="s">
        <v>3759</v>
      </c>
      <c r="D619" s="12" t="s">
        <v>3784</v>
      </c>
      <c r="E619" s="12">
        <v>4</v>
      </c>
      <c r="F619" s="12" t="s">
        <v>3785</v>
      </c>
      <c r="G619" s="12">
        <v>1</v>
      </c>
      <c r="H619" s="12">
        <v>0</v>
      </c>
      <c r="I619" s="12"/>
      <c r="J619" s="12" t="s">
        <v>3786</v>
      </c>
      <c r="K619" s="12" t="s">
        <v>3787</v>
      </c>
    </row>
    <row r="620" spans="1:11" x14ac:dyDescent="0.3">
      <c r="A620" s="12" t="s">
        <v>3527</v>
      </c>
      <c r="B620" s="12" t="s">
        <v>3717</v>
      </c>
      <c r="C620" s="12" t="s">
        <v>3759</v>
      </c>
      <c r="D620" s="12" t="s">
        <v>3788</v>
      </c>
      <c r="E620" s="12">
        <v>4</v>
      </c>
      <c r="F620" s="12" t="s">
        <v>3789</v>
      </c>
      <c r="G620" s="12">
        <v>10</v>
      </c>
      <c r="H620" s="12">
        <v>0</v>
      </c>
      <c r="I620" s="12"/>
      <c r="J620" s="12" t="s">
        <v>3790</v>
      </c>
      <c r="K620" s="12" t="s">
        <v>3791</v>
      </c>
    </row>
    <row r="621" spans="1:11" x14ac:dyDescent="0.3">
      <c r="A621" s="12" t="s">
        <v>3527</v>
      </c>
      <c r="B621" s="12" t="s">
        <v>3717</v>
      </c>
      <c r="C621" s="12" t="s">
        <v>3759</v>
      </c>
      <c r="D621" s="12" t="s">
        <v>3792</v>
      </c>
      <c r="E621" s="12">
        <v>4</v>
      </c>
      <c r="F621" s="12" t="s">
        <v>3793</v>
      </c>
      <c r="G621" s="12">
        <v>34</v>
      </c>
      <c r="H621" s="12">
        <v>0</v>
      </c>
      <c r="I621" s="12"/>
      <c r="J621" s="12" t="s">
        <v>3794</v>
      </c>
      <c r="K621" s="12" t="s">
        <v>3795</v>
      </c>
    </row>
    <row r="622" spans="1:11" x14ac:dyDescent="0.3">
      <c r="A622" s="12" t="s">
        <v>3527</v>
      </c>
      <c r="B622" s="12" t="s">
        <v>3717</v>
      </c>
      <c r="C622" s="12" t="s">
        <v>3759</v>
      </c>
      <c r="D622" s="12" t="s">
        <v>3796</v>
      </c>
      <c r="E622" s="12">
        <v>4</v>
      </c>
      <c r="F622" s="12" t="s">
        <v>3797</v>
      </c>
      <c r="G622" s="12">
        <v>8</v>
      </c>
      <c r="H622" s="12">
        <v>0</v>
      </c>
      <c r="I622" s="12"/>
      <c r="J622" s="12" t="s">
        <v>3798</v>
      </c>
      <c r="K622" s="12" t="s">
        <v>3799</v>
      </c>
    </row>
    <row r="623" spans="1:11" x14ac:dyDescent="0.3">
      <c r="A623" s="12" t="s">
        <v>3527</v>
      </c>
      <c r="B623" s="12" t="s">
        <v>3717</v>
      </c>
      <c r="C623" s="12" t="s">
        <v>3759</v>
      </c>
      <c r="D623" s="12" t="s">
        <v>3800</v>
      </c>
      <c r="E623" s="12">
        <v>4</v>
      </c>
      <c r="F623" s="12" t="s">
        <v>3801</v>
      </c>
      <c r="G623" s="12">
        <v>6</v>
      </c>
      <c r="H623" s="12">
        <v>0</v>
      </c>
      <c r="I623" s="12"/>
      <c r="J623" s="12" t="s">
        <v>3802</v>
      </c>
      <c r="K623" s="12" t="s">
        <v>3803</v>
      </c>
    </row>
    <row r="624" spans="1:11" x14ac:dyDescent="0.3">
      <c r="A624" s="12" t="s">
        <v>3527</v>
      </c>
      <c r="B624" s="12" t="s">
        <v>3717</v>
      </c>
      <c r="C624" s="12" t="s">
        <v>3804</v>
      </c>
      <c r="D624" s="12" t="s">
        <v>3805</v>
      </c>
      <c r="E624" s="12">
        <v>4</v>
      </c>
      <c r="F624" s="12" t="s">
        <v>3806</v>
      </c>
      <c r="G624" s="12">
        <v>18</v>
      </c>
      <c r="H624" s="12">
        <v>0</v>
      </c>
      <c r="I624" s="12"/>
      <c r="J624" s="12" t="s">
        <v>3807</v>
      </c>
      <c r="K624" s="12" t="s">
        <v>3808</v>
      </c>
    </row>
    <row r="625" spans="1:11" x14ac:dyDescent="0.3">
      <c r="A625" s="12" t="s">
        <v>3527</v>
      </c>
      <c r="B625" s="12" t="s">
        <v>3717</v>
      </c>
      <c r="C625" s="12" t="s">
        <v>3804</v>
      </c>
      <c r="D625" s="12" t="s">
        <v>3809</v>
      </c>
      <c r="E625" s="12">
        <v>4</v>
      </c>
      <c r="F625" s="12" t="s">
        <v>3810</v>
      </c>
      <c r="G625" s="12">
        <v>10</v>
      </c>
      <c r="H625" s="12">
        <v>0</v>
      </c>
      <c r="I625" s="12"/>
      <c r="J625" s="12" t="s">
        <v>3811</v>
      </c>
      <c r="K625" s="12" t="s">
        <v>3812</v>
      </c>
    </row>
    <row r="626" spans="1:11" x14ac:dyDescent="0.3">
      <c r="A626" s="12" t="s">
        <v>3527</v>
      </c>
      <c r="B626" s="12" t="s">
        <v>3717</v>
      </c>
      <c r="C626" s="12" t="s">
        <v>3804</v>
      </c>
      <c r="D626" s="12" t="s">
        <v>3813</v>
      </c>
      <c r="E626" s="12">
        <v>4</v>
      </c>
      <c r="F626" s="12" t="s">
        <v>3814</v>
      </c>
      <c r="G626" s="12">
        <v>6</v>
      </c>
      <c r="H626" s="12">
        <v>0</v>
      </c>
      <c r="I626" s="12"/>
      <c r="J626" s="12" t="s">
        <v>3815</v>
      </c>
      <c r="K626" s="12" t="s">
        <v>3816</v>
      </c>
    </row>
    <row r="627" spans="1:11" x14ac:dyDescent="0.3">
      <c r="A627" s="12" t="s">
        <v>3527</v>
      </c>
      <c r="B627" s="12" t="s">
        <v>3717</v>
      </c>
      <c r="C627" s="12" t="s">
        <v>3804</v>
      </c>
      <c r="D627" s="12" t="s">
        <v>3817</v>
      </c>
      <c r="E627" s="12">
        <v>4</v>
      </c>
      <c r="F627" s="12" t="s">
        <v>3818</v>
      </c>
      <c r="G627" s="12">
        <v>7</v>
      </c>
      <c r="H627" s="12">
        <v>0</v>
      </c>
      <c r="I627" s="12"/>
      <c r="J627" s="12" t="s">
        <v>3819</v>
      </c>
      <c r="K627" s="12" t="s">
        <v>3820</v>
      </c>
    </row>
    <row r="628" spans="1:11" x14ac:dyDescent="0.3">
      <c r="A628" s="12" t="s">
        <v>3527</v>
      </c>
      <c r="B628" s="12" t="s">
        <v>3717</v>
      </c>
      <c r="C628" s="12" t="s">
        <v>3804</v>
      </c>
      <c r="D628" s="12" t="s">
        <v>3821</v>
      </c>
      <c r="E628" s="12">
        <v>4</v>
      </c>
      <c r="F628" s="12" t="s">
        <v>3822</v>
      </c>
      <c r="G628" s="12">
        <v>33</v>
      </c>
      <c r="H628" s="12">
        <v>0</v>
      </c>
      <c r="I628" s="12"/>
      <c r="J628" s="12" t="s">
        <v>3823</v>
      </c>
      <c r="K628" s="12" t="s">
        <v>3824</v>
      </c>
    </row>
    <row r="629" spans="1:11" x14ac:dyDescent="0.3">
      <c r="A629" s="12" t="s">
        <v>3527</v>
      </c>
      <c r="B629" s="12" t="s">
        <v>3717</v>
      </c>
      <c r="C629" s="12" t="s">
        <v>3804</v>
      </c>
      <c r="D629" s="12" t="s">
        <v>3825</v>
      </c>
      <c r="E629" s="12">
        <v>4</v>
      </c>
      <c r="F629" s="12" t="s">
        <v>3826</v>
      </c>
      <c r="G629" s="12">
        <v>1</v>
      </c>
      <c r="H629" s="12">
        <v>0</v>
      </c>
      <c r="I629" s="12"/>
      <c r="J629" s="12" t="s">
        <v>3827</v>
      </c>
      <c r="K629" s="12" t="s">
        <v>3828</v>
      </c>
    </row>
    <row r="630" spans="1:11" x14ac:dyDescent="0.3">
      <c r="A630" s="12" t="s">
        <v>3527</v>
      </c>
      <c r="B630" s="12" t="s">
        <v>3717</v>
      </c>
      <c r="C630" s="12" t="s">
        <v>3804</v>
      </c>
      <c r="D630" s="12" t="s">
        <v>3829</v>
      </c>
      <c r="E630" s="12">
        <v>4</v>
      </c>
      <c r="F630" s="12" t="s">
        <v>3830</v>
      </c>
      <c r="G630" s="12">
        <v>26</v>
      </c>
      <c r="H630" s="12">
        <v>0</v>
      </c>
      <c r="I630" s="12"/>
      <c r="J630" s="12" t="s">
        <v>3831</v>
      </c>
      <c r="K630" s="12" t="s">
        <v>3832</v>
      </c>
    </row>
    <row r="631" spans="1:11" x14ac:dyDescent="0.3">
      <c r="A631" s="12" t="s">
        <v>3527</v>
      </c>
      <c r="B631" s="12" t="s">
        <v>3717</v>
      </c>
      <c r="C631" s="12" t="s">
        <v>3804</v>
      </c>
      <c r="D631" s="12" t="s">
        <v>3833</v>
      </c>
      <c r="E631" s="12">
        <v>4</v>
      </c>
      <c r="F631" s="12" t="s">
        <v>3834</v>
      </c>
      <c r="G631" s="12">
        <v>3</v>
      </c>
      <c r="H631" s="12">
        <v>0</v>
      </c>
      <c r="I631" s="12"/>
      <c r="J631" s="12" t="s">
        <v>3835</v>
      </c>
      <c r="K631" s="12" t="s">
        <v>3836</v>
      </c>
    </row>
    <row r="632" spans="1:11" x14ac:dyDescent="0.3">
      <c r="A632" s="12" t="s">
        <v>3527</v>
      </c>
      <c r="B632" s="12" t="s">
        <v>3717</v>
      </c>
      <c r="C632" s="12" t="s">
        <v>3804</v>
      </c>
      <c r="D632" s="12" t="s">
        <v>3837</v>
      </c>
      <c r="E632" s="12">
        <v>4</v>
      </c>
      <c r="F632" s="12" t="s">
        <v>3838</v>
      </c>
      <c r="G632" s="12">
        <v>5</v>
      </c>
      <c r="H632" s="12">
        <v>0</v>
      </c>
      <c r="I632" s="12"/>
      <c r="J632" s="12" t="s">
        <v>3839</v>
      </c>
      <c r="K632" s="12" t="s">
        <v>3840</v>
      </c>
    </row>
    <row r="633" spans="1:11" x14ac:dyDescent="0.3">
      <c r="A633" s="12" t="s">
        <v>3527</v>
      </c>
      <c r="B633" s="12" t="s">
        <v>3717</v>
      </c>
      <c r="C633" s="12" t="s">
        <v>3804</v>
      </c>
      <c r="D633" s="12" t="s">
        <v>3841</v>
      </c>
      <c r="E633" s="12">
        <v>4</v>
      </c>
      <c r="F633" s="12" t="s">
        <v>3842</v>
      </c>
      <c r="G633" s="12">
        <v>4</v>
      </c>
      <c r="H633" s="12">
        <v>0</v>
      </c>
      <c r="I633" s="12"/>
      <c r="J633" s="12" t="s">
        <v>3843</v>
      </c>
      <c r="K633" s="12" t="s">
        <v>3844</v>
      </c>
    </row>
    <row r="634" spans="1:11" x14ac:dyDescent="0.3">
      <c r="A634" s="12" t="s">
        <v>3527</v>
      </c>
      <c r="B634" s="12" t="s">
        <v>3717</v>
      </c>
      <c r="C634" s="12" t="s">
        <v>3804</v>
      </c>
      <c r="D634" s="12" t="s">
        <v>3845</v>
      </c>
      <c r="E634" s="12">
        <v>4</v>
      </c>
      <c r="F634" s="12" t="s">
        <v>3846</v>
      </c>
      <c r="G634" s="12">
        <v>1</v>
      </c>
      <c r="H634" s="12">
        <v>0</v>
      </c>
      <c r="I634" s="12"/>
      <c r="J634" s="12" t="s">
        <v>3847</v>
      </c>
      <c r="K634" s="12" t="s">
        <v>3848</v>
      </c>
    </row>
    <row r="635" spans="1:11" x14ac:dyDescent="0.3">
      <c r="A635" s="12" t="s">
        <v>3527</v>
      </c>
      <c r="B635" s="12" t="s">
        <v>3717</v>
      </c>
      <c r="C635" s="12" t="s">
        <v>3804</v>
      </c>
      <c r="D635" s="12" t="s">
        <v>3849</v>
      </c>
      <c r="E635" s="12">
        <v>4</v>
      </c>
      <c r="F635" s="12" t="s">
        <v>3850</v>
      </c>
      <c r="G635" s="12">
        <v>2</v>
      </c>
      <c r="H635" s="12">
        <v>0</v>
      </c>
      <c r="I635" s="12"/>
      <c r="J635" s="12" t="s">
        <v>3851</v>
      </c>
      <c r="K635" s="12" t="s">
        <v>3852</v>
      </c>
    </row>
    <row r="636" spans="1:11" x14ac:dyDescent="0.3">
      <c r="A636" s="12" t="s">
        <v>3527</v>
      </c>
      <c r="B636" s="12" t="s">
        <v>3717</v>
      </c>
      <c r="C636" s="12" t="s">
        <v>3804</v>
      </c>
      <c r="D636" s="12" t="s">
        <v>3853</v>
      </c>
      <c r="E636" s="12">
        <v>4</v>
      </c>
      <c r="F636" s="12" t="s">
        <v>3854</v>
      </c>
      <c r="G636" s="12">
        <v>2</v>
      </c>
      <c r="H636" s="12">
        <v>0</v>
      </c>
      <c r="I636" s="12"/>
      <c r="J636" s="12" t="s">
        <v>3855</v>
      </c>
      <c r="K636" s="12" t="s">
        <v>3856</v>
      </c>
    </row>
    <row r="637" spans="1:11" x14ac:dyDescent="0.3">
      <c r="A637" s="12" t="s">
        <v>3527</v>
      </c>
      <c r="B637" s="12" t="s">
        <v>3717</v>
      </c>
      <c r="C637" s="12" t="s">
        <v>3804</v>
      </c>
      <c r="D637" s="12" t="s">
        <v>3857</v>
      </c>
      <c r="E637" s="12">
        <v>4</v>
      </c>
      <c r="F637" s="12" t="s">
        <v>3858</v>
      </c>
      <c r="G637" s="12">
        <v>25</v>
      </c>
      <c r="H637" s="12">
        <v>0</v>
      </c>
      <c r="I637" s="12"/>
      <c r="J637" s="12" t="s">
        <v>3859</v>
      </c>
      <c r="K637" s="12" t="s">
        <v>3860</v>
      </c>
    </row>
    <row r="638" spans="1:11" x14ac:dyDescent="0.3">
      <c r="A638" s="12" t="s">
        <v>3527</v>
      </c>
      <c r="B638" s="12" t="s">
        <v>3717</v>
      </c>
      <c r="C638" s="12" t="s">
        <v>3804</v>
      </c>
      <c r="D638" s="12" t="s">
        <v>3861</v>
      </c>
      <c r="E638" s="12">
        <v>4</v>
      </c>
      <c r="F638" s="12" t="s">
        <v>3862</v>
      </c>
      <c r="G638" s="12">
        <v>3</v>
      </c>
      <c r="H638" s="12">
        <v>0</v>
      </c>
      <c r="I638" s="12"/>
      <c r="J638" s="12" t="s">
        <v>3863</v>
      </c>
      <c r="K638" s="12" t="s">
        <v>3864</v>
      </c>
    </row>
    <row r="639" spans="1:11" x14ac:dyDescent="0.3">
      <c r="A639" s="12" t="s">
        <v>3527</v>
      </c>
      <c r="B639" s="12" t="s">
        <v>3717</v>
      </c>
      <c r="C639" s="12" t="s">
        <v>3804</v>
      </c>
      <c r="D639" s="12" t="s">
        <v>3865</v>
      </c>
      <c r="E639" s="12">
        <v>4</v>
      </c>
      <c r="F639" s="12" t="s">
        <v>3866</v>
      </c>
      <c r="G639" s="12">
        <v>9</v>
      </c>
      <c r="H639" s="12">
        <v>0</v>
      </c>
      <c r="I639" s="12"/>
      <c r="J639" s="12" t="s">
        <v>3867</v>
      </c>
      <c r="K639" s="12" t="s">
        <v>3868</v>
      </c>
    </row>
    <row r="640" spans="1:11" x14ac:dyDescent="0.3">
      <c r="A640" s="12" t="s">
        <v>3527</v>
      </c>
      <c r="B640" s="12" t="s">
        <v>3717</v>
      </c>
      <c r="C640" s="12" t="s">
        <v>3804</v>
      </c>
      <c r="D640" s="12" t="s">
        <v>3869</v>
      </c>
      <c r="E640" s="12">
        <v>4</v>
      </c>
      <c r="F640" s="12" t="s">
        <v>3870</v>
      </c>
      <c r="G640" s="12">
        <v>6</v>
      </c>
      <c r="H640" s="12">
        <v>0</v>
      </c>
      <c r="I640" s="12"/>
      <c r="J640" s="12" t="s">
        <v>3871</v>
      </c>
      <c r="K640" s="12" t="s">
        <v>3872</v>
      </c>
    </row>
    <row r="641" spans="1:11" x14ac:dyDescent="0.3">
      <c r="A641" s="12" t="s">
        <v>3527</v>
      </c>
      <c r="B641" s="12" t="s">
        <v>3717</v>
      </c>
      <c r="C641" s="12" t="s">
        <v>3873</v>
      </c>
      <c r="D641" s="12" t="s">
        <v>3874</v>
      </c>
      <c r="E641" s="12">
        <v>4</v>
      </c>
      <c r="F641" s="12" t="s">
        <v>3875</v>
      </c>
      <c r="G641" s="12">
        <v>2</v>
      </c>
      <c r="H641" s="12">
        <v>0</v>
      </c>
      <c r="I641" s="12"/>
      <c r="J641" s="12" t="s">
        <v>3876</v>
      </c>
      <c r="K641" s="12" t="s">
        <v>3877</v>
      </c>
    </row>
    <row r="642" spans="1:11" x14ac:dyDescent="0.3">
      <c r="A642" s="12" t="s">
        <v>3527</v>
      </c>
      <c r="B642" s="12" t="s">
        <v>3717</v>
      </c>
      <c r="C642" s="12" t="s">
        <v>3873</v>
      </c>
      <c r="D642" s="12" t="s">
        <v>3878</v>
      </c>
      <c r="E642" s="12">
        <v>4</v>
      </c>
      <c r="F642" s="12" t="s">
        <v>3879</v>
      </c>
      <c r="G642" s="12">
        <v>1</v>
      </c>
      <c r="H642" s="12">
        <v>0</v>
      </c>
      <c r="I642" s="12"/>
      <c r="J642" s="12" t="s">
        <v>3880</v>
      </c>
      <c r="K642" s="12" t="s">
        <v>3881</v>
      </c>
    </row>
    <row r="643" spans="1:11" x14ac:dyDescent="0.3">
      <c r="A643" s="12" t="s">
        <v>3527</v>
      </c>
      <c r="B643" s="12" t="s">
        <v>3717</v>
      </c>
      <c r="C643" s="12" t="s">
        <v>3882</v>
      </c>
      <c r="D643" s="12" t="s">
        <v>3883</v>
      </c>
      <c r="E643" s="12">
        <v>4</v>
      </c>
      <c r="F643" s="12" t="s">
        <v>3884</v>
      </c>
      <c r="G643" s="12">
        <v>81</v>
      </c>
      <c r="H643" s="12">
        <v>0</v>
      </c>
      <c r="I643" s="12"/>
      <c r="J643" s="12" t="s">
        <v>3885</v>
      </c>
      <c r="K643" s="12" t="s">
        <v>3886</v>
      </c>
    </row>
    <row r="644" spans="1:11" x14ac:dyDescent="0.3">
      <c r="A644" s="12" t="s">
        <v>3527</v>
      </c>
      <c r="B644" s="12" t="s">
        <v>3717</v>
      </c>
      <c r="C644" s="12" t="s">
        <v>3882</v>
      </c>
      <c r="D644" s="12" t="s">
        <v>3887</v>
      </c>
      <c r="E644" s="12">
        <v>4</v>
      </c>
      <c r="F644" s="12" t="s">
        <v>3888</v>
      </c>
      <c r="G644" s="12">
        <v>42</v>
      </c>
      <c r="H644" s="12">
        <v>0</v>
      </c>
      <c r="I644" s="12"/>
      <c r="J644" s="12" t="s">
        <v>3889</v>
      </c>
      <c r="K644" s="12" t="s">
        <v>3890</v>
      </c>
    </row>
    <row r="645" spans="1:11" x14ac:dyDescent="0.3">
      <c r="A645" s="12" t="s">
        <v>3527</v>
      </c>
      <c r="B645" s="12" t="s">
        <v>3717</v>
      </c>
      <c r="C645" s="12" t="s">
        <v>3882</v>
      </c>
      <c r="D645" s="12" t="s">
        <v>3891</v>
      </c>
      <c r="E645" s="12">
        <v>4</v>
      </c>
      <c r="F645" s="12" t="s">
        <v>3892</v>
      </c>
      <c r="G645" s="12">
        <v>5</v>
      </c>
      <c r="H645" s="12">
        <v>0</v>
      </c>
      <c r="I645" s="12"/>
      <c r="J645" s="12" t="s">
        <v>3893</v>
      </c>
      <c r="K645" s="12" t="s">
        <v>3894</v>
      </c>
    </row>
    <row r="646" spans="1:11" x14ac:dyDescent="0.3">
      <c r="A646" s="12" t="s">
        <v>3527</v>
      </c>
      <c r="B646" s="12" t="s">
        <v>3717</v>
      </c>
      <c r="C646" s="12" t="s">
        <v>3882</v>
      </c>
      <c r="D646" s="12" t="s">
        <v>3895</v>
      </c>
      <c r="E646" s="12">
        <v>4</v>
      </c>
      <c r="F646" s="12" t="s">
        <v>3896</v>
      </c>
      <c r="G646" s="12">
        <v>21</v>
      </c>
      <c r="H646" s="12">
        <v>0</v>
      </c>
      <c r="I646" s="12"/>
      <c r="J646" s="12" t="s">
        <v>3897</v>
      </c>
      <c r="K646" s="12" t="s">
        <v>3898</v>
      </c>
    </row>
    <row r="647" spans="1:11" x14ac:dyDescent="0.3">
      <c r="A647" s="12" t="s">
        <v>3527</v>
      </c>
      <c r="B647" s="12" t="s">
        <v>3717</v>
      </c>
      <c r="C647" s="12" t="s">
        <v>3899</v>
      </c>
      <c r="D647" s="12" t="s">
        <v>3900</v>
      </c>
      <c r="E647" s="12">
        <v>4</v>
      </c>
      <c r="F647" s="12" t="s">
        <v>3901</v>
      </c>
      <c r="G647" s="12">
        <v>25</v>
      </c>
      <c r="H647" s="12">
        <v>0</v>
      </c>
      <c r="I647" s="12"/>
      <c r="J647" s="12" t="s">
        <v>3902</v>
      </c>
      <c r="K647" s="12" t="s">
        <v>3903</v>
      </c>
    </row>
    <row r="648" spans="1:11" x14ac:dyDescent="0.3">
      <c r="A648" s="12" t="s">
        <v>3527</v>
      </c>
      <c r="B648" s="12" t="s">
        <v>3717</v>
      </c>
      <c r="C648" s="12" t="s">
        <v>3899</v>
      </c>
      <c r="D648" s="12" t="s">
        <v>3904</v>
      </c>
      <c r="E648" s="12">
        <v>4</v>
      </c>
      <c r="F648" s="12" t="s">
        <v>3905</v>
      </c>
      <c r="G648" s="12">
        <v>32</v>
      </c>
      <c r="H648" s="12">
        <v>0</v>
      </c>
      <c r="I648" s="12"/>
      <c r="J648" s="12" t="s">
        <v>3906</v>
      </c>
      <c r="K648" s="12" t="s">
        <v>3907</v>
      </c>
    </row>
    <row r="649" spans="1:11" x14ac:dyDescent="0.3">
      <c r="A649" s="12" t="s">
        <v>3527</v>
      </c>
      <c r="B649" s="12" t="s">
        <v>3717</v>
      </c>
      <c r="C649" s="12" t="s">
        <v>3899</v>
      </c>
      <c r="D649" s="12" t="s">
        <v>3908</v>
      </c>
      <c r="E649" s="12">
        <v>4</v>
      </c>
      <c r="F649" s="12" t="s">
        <v>3909</v>
      </c>
      <c r="G649" s="12">
        <v>5</v>
      </c>
      <c r="H649" s="12">
        <v>0</v>
      </c>
      <c r="I649" s="12"/>
      <c r="J649" s="12" t="s">
        <v>3910</v>
      </c>
      <c r="K649" s="12" t="s">
        <v>3911</v>
      </c>
    </row>
    <row r="650" spans="1:11" x14ac:dyDescent="0.3">
      <c r="A650" s="12" t="s">
        <v>3527</v>
      </c>
      <c r="B650" s="12" t="s">
        <v>3717</v>
      </c>
      <c r="C650" s="12" t="s">
        <v>3912</v>
      </c>
      <c r="D650" s="12" t="s">
        <v>3913</v>
      </c>
      <c r="E650" s="12">
        <v>4</v>
      </c>
      <c r="F650" s="12" t="s">
        <v>3914</v>
      </c>
      <c r="G650" s="12">
        <v>2</v>
      </c>
      <c r="H650" s="12">
        <v>0</v>
      </c>
      <c r="I650" s="12"/>
      <c r="J650" s="12" t="s">
        <v>3915</v>
      </c>
      <c r="K650" s="12" t="s">
        <v>3916</v>
      </c>
    </row>
    <row r="651" spans="1:11" x14ac:dyDescent="0.3">
      <c r="A651" s="12" t="s">
        <v>3527</v>
      </c>
      <c r="B651" s="12" t="s">
        <v>3717</v>
      </c>
      <c r="C651" s="12" t="s">
        <v>3912</v>
      </c>
      <c r="D651" s="12" t="s">
        <v>3917</v>
      </c>
      <c r="E651" s="12">
        <v>4</v>
      </c>
      <c r="F651" s="12" t="s">
        <v>3918</v>
      </c>
      <c r="G651" s="12">
        <v>1</v>
      </c>
      <c r="H651" s="12">
        <v>0</v>
      </c>
      <c r="I651" s="12"/>
      <c r="J651" s="12" t="s">
        <v>3919</v>
      </c>
      <c r="K651" s="12" t="s">
        <v>3920</v>
      </c>
    </row>
    <row r="652" spans="1:11" x14ac:dyDescent="0.3">
      <c r="A652" s="12" t="s">
        <v>3527</v>
      </c>
      <c r="B652" s="12" t="s">
        <v>3717</v>
      </c>
      <c r="C652" s="12" t="s">
        <v>3912</v>
      </c>
      <c r="D652" s="12" t="s">
        <v>3921</v>
      </c>
      <c r="E652" s="12">
        <v>4</v>
      </c>
      <c r="F652" s="12" t="s">
        <v>3922</v>
      </c>
      <c r="G652" s="12">
        <v>2</v>
      </c>
      <c r="H652" s="12">
        <v>0</v>
      </c>
      <c r="I652" s="12"/>
      <c r="J652" s="12" t="s">
        <v>3923</v>
      </c>
      <c r="K652" s="12" t="s">
        <v>3924</v>
      </c>
    </row>
    <row r="653" spans="1:11" x14ac:dyDescent="0.3">
      <c r="A653" s="12" t="s">
        <v>3527</v>
      </c>
      <c r="B653" s="12" t="s">
        <v>3717</v>
      </c>
      <c r="C653" s="12" t="s">
        <v>3925</v>
      </c>
      <c r="D653" s="12" t="s">
        <v>3926</v>
      </c>
      <c r="E653" s="12">
        <v>4</v>
      </c>
      <c r="F653" s="12" t="s">
        <v>3927</v>
      </c>
      <c r="G653" s="12">
        <v>3</v>
      </c>
      <c r="H653" s="12">
        <v>0</v>
      </c>
      <c r="I653" s="12"/>
      <c r="J653" s="12" t="s">
        <v>3928</v>
      </c>
      <c r="K653" s="12" t="s">
        <v>3929</v>
      </c>
    </row>
    <row r="654" spans="1:11" x14ac:dyDescent="0.3">
      <c r="A654" s="12" t="s">
        <v>3527</v>
      </c>
      <c r="B654" s="12" t="s">
        <v>3717</v>
      </c>
      <c r="C654" s="12" t="s">
        <v>3925</v>
      </c>
      <c r="D654" s="12" t="s">
        <v>3930</v>
      </c>
      <c r="E654" s="12">
        <v>4</v>
      </c>
      <c r="F654" s="12" t="s">
        <v>3931</v>
      </c>
      <c r="G654" s="12">
        <v>1</v>
      </c>
      <c r="H654" s="12">
        <v>0</v>
      </c>
      <c r="I654" s="12"/>
      <c r="J654" s="12" t="s">
        <v>3932</v>
      </c>
      <c r="K654" s="12" t="s">
        <v>3933</v>
      </c>
    </row>
    <row r="655" spans="1:11" x14ac:dyDescent="0.3">
      <c r="A655" s="12" t="s">
        <v>3527</v>
      </c>
      <c r="B655" s="12" t="s">
        <v>3934</v>
      </c>
      <c r="C655" s="12" t="s">
        <v>3935</v>
      </c>
      <c r="D655" s="12" t="s">
        <v>3936</v>
      </c>
      <c r="E655" s="12">
        <v>4</v>
      </c>
      <c r="F655" s="12" t="s">
        <v>3937</v>
      </c>
      <c r="G655" s="12">
        <v>34</v>
      </c>
      <c r="H655" s="12">
        <v>0</v>
      </c>
      <c r="I655" s="12"/>
      <c r="J655" s="12" t="s">
        <v>3938</v>
      </c>
      <c r="K655" s="12" t="s">
        <v>3939</v>
      </c>
    </row>
    <row r="656" spans="1:11" x14ac:dyDescent="0.3">
      <c r="A656" s="12" t="s">
        <v>3527</v>
      </c>
      <c r="B656" s="12" t="s">
        <v>3934</v>
      </c>
      <c r="C656" s="12" t="s">
        <v>3935</v>
      </c>
      <c r="D656" s="12" t="s">
        <v>3940</v>
      </c>
      <c r="E656" s="12">
        <v>4</v>
      </c>
      <c r="F656" s="12" t="s">
        <v>3941</v>
      </c>
      <c r="G656" s="12">
        <v>1</v>
      </c>
      <c r="H656" s="12">
        <v>0</v>
      </c>
      <c r="I656" s="12"/>
      <c r="J656" s="12" t="s">
        <v>3942</v>
      </c>
      <c r="K656" s="12" t="s">
        <v>3943</v>
      </c>
    </row>
    <row r="657" spans="1:11" x14ac:dyDescent="0.3">
      <c r="A657" s="12" t="s">
        <v>3527</v>
      </c>
      <c r="B657" s="12" t="s">
        <v>3934</v>
      </c>
      <c r="C657" s="12" t="s">
        <v>3935</v>
      </c>
      <c r="D657" s="12" t="s">
        <v>3944</v>
      </c>
      <c r="E657" s="12">
        <v>4</v>
      </c>
      <c r="F657" s="12" t="s">
        <v>3945</v>
      </c>
      <c r="G657" s="12">
        <v>3</v>
      </c>
      <c r="H657" s="12">
        <v>0</v>
      </c>
      <c r="I657" s="12"/>
      <c r="J657" s="12" t="s">
        <v>3946</v>
      </c>
      <c r="K657" s="12" t="s">
        <v>3947</v>
      </c>
    </row>
    <row r="658" spans="1:11" x14ac:dyDescent="0.3">
      <c r="A658" s="12" t="s">
        <v>3527</v>
      </c>
      <c r="B658" s="12" t="s">
        <v>3934</v>
      </c>
      <c r="C658" s="12" t="s">
        <v>3935</v>
      </c>
      <c r="D658" s="12" t="s">
        <v>3948</v>
      </c>
      <c r="E658" s="12">
        <v>4</v>
      </c>
      <c r="F658" s="12" t="s">
        <v>3949</v>
      </c>
      <c r="G658" s="12">
        <v>12</v>
      </c>
      <c r="H658" s="12">
        <v>0</v>
      </c>
      <c r="I658" s="12"/>
      <c r="J658" s="12" t="s">
        <v>3950</v>
      </c>
      <c r="K658" s="12" t="s">
        <v>3951</v>
      </c>
    </row>
    <row r="659" spans="1:11" x14ac:dyDescent="0.3">
      <c r="A659" s="12" t="s">
        <v>3527</v>
      </c>
      <c r="B659" s="12" t="s">
        <v>3934</v>
      </c>
      <c r="C659" s="12" t="s">
        <v>3935</v>
      </c>
      <c r="D659" s="12" t="s">
        <v>3952</v>
      </c>
      <c r="E659" s="12">
        <v>4</v>
      </c>
      <c r="F659" s="12" t="s">
        <v>3953</v>
      </c>
      <c r="G659" s="12">
        <v>1</v>
      </c>
      <c r="H659" s="12">
        <v>0</v>
      </c>
      <c r="I659" s="12"/>
      <c r="J659" s="12" t="s">
        <v>3954</v>
      </c>
      <c r="K659" s="12" t="s">
        <v>3955</v>
      </c>
    </row>
    <row r="660" spans="1:11" x14ac:dyDescent="0.3">
      <c r="A660" s="12" t="s">
        <v>3527</v>
      </c>
      <c r="B660" s="12" t="s">
        <v>3934</v>
      </c>
      <c r="C660" s="12" t="s">
        <v>3956</v>
      </c>
      <c r="D660" s="12" t="s">
        <v>3957</v>
      </c>
      <c r="E660" s="12">
        <v>4</v>
      </c>
      <c r="F660" s="12" t="s">
        <v>3958</v>
      </c>
      <c r="G660" s="12">
        <v>14</v>
      </c>
      <c r="H660" s="12">
        <v>0</v>
      </c>
      <c r="I660" s="12"/>
      <c r="J660" s="12" t="s">
        <v>3959</v>
      </c>
      <c r="K660" s="12" t="s">
        <v>3960</v>
      </c>
    </row>
    <row r="661" spans="1:11" x14ac:dyDescent="0.3">
      <c r="A661" s="12" t="s">
        <v>3527</v>
      </c>
      <c r="B661" s="12" t="s">
        <v>3934</v>
      </c>
      <c r="C661" s="12" t="s">
        <v>3956</v>
      </c>
      <c r="D661" s="12" t="s">
        <v>3961</v>
      </c>
      <c r="E661" s="12">
        <v>4</v>
      </c>
      <c r="F661" s="12" t="s">
        <v>3962</v>
      </c>
      <c r="G661" s="12">
        <v>4</v>
      </c>
      <c r="H661" s="12">
        <v>0</v>
      </c>
      <c r="I661" s="12"/>
      <c r="J661" s="12" t="s">
        <v>3963</v>
      </c>
      <c r="K661" s="12" t="s">
        <v>3964</v>
      </c>
    </row>
    <row r="662" spans="1:11" x14ac:dyDescent="0.3">
      <c r="A662" s="12" t="s">
        <v>3527</v>
      </c>
      <c r="B662" s="12" t="s">
        <v>3934</v>
      </c>
      <c r="C662" s="12" t="s">
        <v>3956</v>
      </c>
      <c r="D662" s="12" t="s">
        <v>3965</v>
      </c>
      <c r="E662" s="12">
        <v>4</v>
      </c>
      <c r="F662" s="12" t="s">
        <v>3966</v>
      </c>
      <c r="G662" s="12">
        <v>20</v>
      </c>
      <c r="H662" s="12">
        <v>0</v>
      </c>
      <c r="I662" s="12"/>
      <c r="J662" s="12" t="s">
        <v>3967</v>
      </c>
      <c r="K662" s="12" t="s">
        <v>3968</v>
      </c>
    </row>
    <row r="663" spans="1:11" x14ac:dyDescent="0.3">
      <c r="A663" s="12" t="s">
        <v>3527</v>
      </c>
      <c r="B663" s="12" t="s">
        <v>3934</v>
      </c>
      <c r="C663" s="12" t="s">
        <v>3969</v>
      </c>
      <c r="D663" s="12" t="s">
        <v>3970</v>
      </c>
      <c r="E663" s="12">
        <v>4</v>
      </c>
      <c r="F663" s="12" t="s">
        <v>3971</v>
      </c>
      <c r="G663" s="12">
        <v>11</v>
      </c>
      <c r="H663" s="12">
        <v>0</v>
      </c>
      <c r="I663" s="12"/>
      <c r="J663" s="12" t="s">
        <v>3972</v>
      </c>
      <c r="K663" s="12" t="s">
        <v>3973</v>
      </c>
    </row>
    <row r="664" spans="1:11" x14ac:dyDescent="0.3">
      <c r="A664" s="12" t="s">
        <v>3527</v>
      </c>
      <c r="B664" s="12" t="s">
        <v>3934</v>
      </c>
      <c r="C664" s="12" t="s">
        <v>3969</v>
      </c>
      <c r="D664" s="12" t="s">
        <v>3974</v>
      </c>
      <c r="E664" s="12">
        <v>4</v>
      </c>
      <c r="F664" s="12" t="s">
        <v>3975</v>
      </c>
      <c r="G664" s="12">
        <v>1</v>
      </c>
      <c r="H664" s="12">
        <v>0</v>
      </c>
      <c r="I664" s="12"/>
      <c r="J664" s="12" t="s">
        <v>3976</v>
      </c>
      <c r="K664" s="12" t="s">
        <v>3977</v>
      </c>
    </row>
    <row r="665" spans="1:11" x14ac:dyDescent="0.3">
      <c r="A665" s="12" t="s">
        <v>3527</v>
      </c>
      <c r="B665" s="12" t="s">
        <v>3934</v>
      </c>
      <c r="C665" s="12" t="s">
        <v>3978</v>
      </c>
      <c r="D665" s="12" t="s">
        <v>3979</v>
      </c>
      <c r="E665" s="12">
        <v>4</v>
      </c>
      <c r="F665" s="12" t="s">
        <v>3980</v>
      </c>
      <c r="G665" s="12">
        <v>22</v>
      </c>
      <c r="H665" s="12">
        <v>0</v>
      </c>
      <c r="I665" s="12"/>
      <c r="J665" s="12" t="s">
        <v>3981</v>
      </c>
      <c r="K665" s="12" t="s">
        <v>3982</v>
      </c>
    </row>
    <row r="666" spans="1:11" x14ac:dyDescent="0.3">
      <c r="A666" s="12" t="s">
        <v>3527</v>
      </c>
      <c r="B666" s="12" t="s">
        <v>3934</v>
      </c>
      <c r="C666" s="12" t="s">
        <v>3978</v>
      </c>
      <c r="D666" s="12" t="s">
        <v>3983</v>
      </c>
      <c r="E666" s="12">
        <v>4</v>
      </c>
      <c r="F666" s="12" t="s">
        <v>3984</v>
      </c>
      <c r="G666" s="12">
        <v>17</v>
      </c>
      <c r="H666" s="12">
        <v>0</v>
      </c>
      <c r="I666" s="12"/>
      <c r="J666" s="12" t="s">
        <v>3985</v>
      </c>
      <c r="K666" s="12" t="s">
        <v>3986</v>
      </c>
    </row>
    <row r="667" spans="1:11" x14ac:dyDescent="0.3">
      <c r="A667" s="12" t="s">
        <v>3527</v>
      </c>
      <c r="B667" s="12" t="s">
        <v>3934</v>
      </c>
      <c r="C667" s="12" t="s">
        <v>3987</v>
      </c>
      <c r="D667" s="12" t="s">
        <v>3988</v>
      </c>
      <c r="E667" s="12">
        <v>4</v>
      </c>
      <c r="F667" s="12" t="s">
        <v>3989</v>
      </c>
      <c r="G667" s="12">
        <v>23</v>
      </c>
      <c r="H667" s="12">
        <v>0</v>
      </c>
      <c r="I667" s="12"/>
      <c r="J667" s="12" t="s">
        <v>3990</v>
      </c>
      <c r="K667" s="12" t="s">
        <v>3991</v>
      </c>
    </row>
    <row r="668" spans="1:11" x14ac:dyDescent="0.3">
      <c r="A668" s="12" t="s">
        <v>3527</v>
      </c>
      <c r="B668" s="12" t="s">
        <v>3934</v>
      </c>
      <c r="C668" s="12" t="s">
        <v>3987</v>
      </c>
      <c r="D668" s="12" t="s">
        <v>3992</v>
      </c>
      <c r="E668" s="12">
        <v>4</v>
      </c>
      <c r="F668" s="12" t="s">
        <v>3993</v>
      </c>
      <c r="G668" s="12">
        <v>3</v>
      </c>
      <c r="H668" s="12">
        <v>0</v>
      </c>
      <c r="I668" s="12"/>
      <c r="J668" s="12" t="s">
        <v>3994</v>
      </c>
      <c r="K668" s="12" t="s">
        <v>3995</v>
      </c>
    </row>
    <row r="669" spans="1:11" x14ac:dyDescent="0.3">
      <c r="A669" s="12" t="s">
        <v>3527</v>
      </c>
      <c r="B669" s="12" t="s">
        <v>3934</v>
      </c>
      <c r="C669" s="12" t="s">
        <v>3987</v>
      </c>
      <c r="D669" s="12" t="s">
        <v>3996</v>
      </c>
      <c r="E669" s="12">
        <v>4</v>
      </c>
      <c r="F669" s="12" t="s">
        <v>3997</v>
      </c>
      <c r="G669" s="12">
        <v>18</v>
      </c>
      <c r="H669" s="12">
        <v>0</v>
      </c>
      <c r="I669" s="12"/>
      <c r="J669" s="12" t="s">
        <v>3998</v>
      </c>
      <c r="K669" s="12" t="s">
        <v>3999</v>
      </c>
    </row>
    <row r="670" spans="1:11" x14ac:dyDescent="0.3">
      <c r="A670" s="12" t="s">
        <v>3527</v>
      </c>
      <c r="B670" s="12" t="s">
        <v>3934</v>
      </c>
      <c r="C670" s="12" t="s">
        <v>3987</v>
      </c>
      <c r="D670" s="12" t="s">
        <v>4000</v>
      </c>
      <c r="E670" s="12">
        <v>4</v>
      </c>
      <c r="F670" s="12" t="s">
        <v>4001</v>
      </c>
      <c r="G670" s="12">
        <v>13</v>
      </c>
      <c r="H670" s="12">
        <v>0</v>
      </c>
      <c r="I670" s="12"/>
      <c r="J670" s="12" t="s">
        <v>4002</v>
      </c>
      <c r="K670" s="12" t="s">
        <v>4003</v>
      </c>
    </row>
    <row r="671" spans="1:11" x14ac:dyDescent="0.3">
      <c r="A671" s="12" t="s">
        <v>3527</v>
      </c>
      <c r="B671" s="12" t="s">
        <v>3934</v>
      </c>
      <c r="C671" s="12" t="s">
        <v>3987</v>
      </c>
      <c r="D671" s="12" t="s">
        <v>4004</v>
      </c>
      <c r="E671" s="12">
        <v>4</v>
      </c>
      <c r="F671" s="12" t="s">
        <v>4005</v>
      </c>
      <c r="G671" s="12">
        <v>6</v>
      </c>
      <c r="H671" s="12">
        <v>0</v>
      </c>
      <c r="I671" s="12"/>
      <c r="J671" s="12" t="s">
        <v>4006</v>
      </c>
      <c r="K671" s="12" t="s">
        <v>4007</v>
      </c>
    </row>
    <row r="672" spans="1:11" x14ac:dyDescent="0.3">
      <c r="A672" s="12" t="s">
        <v>3527</v>
      </c>
      <c r="B672" s="12" t="s">
        <v>3934</v>
      </c>
      <c r="C672" s="12" t="s">
        <v>3987</v>
      </c>
      <c r="D672" s="12" t="s">
        <v>4008</v>
      </c>
      <c r="E672" s="12">
        <v>4</v>
      </c>
      <c r="F672" s="12" t="s">
        <v>4009</v>
      </c>
      <c r="G672" s="12">
        <v>1</v>
      </c>
      <c r="H672" s="12">
        <v>0</v>
      </c>
      <c r="I672" s="12"/>
      <c r="J672" s="12" t="s">
        <v>4010</v>
      </c>
      <c r="K672" s="12" t="s">
        <v>4011</v>
      </c>
    </row>
    <row r="673" spans="1:11" x14ac:dyDescent="0.3">
      <c r="A673" s="12" t="s">
        <v>3527</v>
      </c>
      <c r="B673" s="12" t="s">
        <v>3934</v>
      </c>
      <c r="C673" s="12" t="s">
        <v>3987</v>
      </c>
      <c r="D673" s="12" t="s">
        <v>4012</v>
      </c>
      <c r="E673" s="12">
        <v>4</v>
      </c>
      <c r="F673" s="12" t="s">
        <v>4013</v>
      </c>
      <c r="G673" s="12">
        <v>9</v>
      </c>
      <c r="H673" s="12">
        <v>0</v>
      </c>
      <c r="I673" s="12"/>
      <c r="J673" s="12" t="s">
        <v>4014</v>
      </c>
      <c r="K673" s="12" t="s">
        <v>4015</v>
      </c>
    </row>
    <row r="674" spans="1:11" x14ac:dyDescent="0.3">
      <c r="A674" s="12" t="s">
        <v>3527</v>
      </c>
      <c r="B674" s="12" t="s">
        <v>3934</v>
      </c>
      <c r="C674" s="12" t="s">
        <v>3987</v>
      </c>
      <c r="D674" s="12" t="s">
        <v>4016</v>
      </c>
      <c r="E674" s="12">
        <v>4</v>
      </c>
      <c r="F674" s="12" t="s">
        <v>4017</v>
      </c>
      <c r="G674" s="12">
        <v>34</v>
      </c>
      <c r="H674" s="12">
        <v>0</v>
      </c>
      <c r="I674" s="12"/>
      <c r="J674" s="12" t="s">
        <v>4018</v>
      </c>
      <c r="K674" s="12" t="s">
        <v>4019</v>
      </c>
    </row>
    <row r="675" spans="1:11" x14ac:dyDescent="0.3">
      <c r="A675" s="12" t="s">
        <v>3527</v>
      </c>
      <c r="B675" s="12" t="s">
        <v>3934</v>
      </c>
      <c r="C675" s="12" t="s">
        <v>3987</v>
      </c>
      <c r="D675" s="12" t="s">
        <v>4020</v>
      </c>
      <c r="E675" s="12">
        <v>4</v>
      </c>
      <c r="F675" s="12" t="s">
        <v>4021</v>
      </c>
      <c r="G675" s="12">
        <v>16</v>
      </c>
      <c r="H675" s="12">
        <v>0</v>
      </c>
      <c r="I675" s="12"/>
      <c r="J675" s="12" t="s">
        <v>4022</v>
      </c>
      <c r="K675" s="12" t="s">
        <v>4023</v>
      </c>
    </row>
    <row r="676" spans="1:11" x14ac:dyDescent="0.3">
      <c r="A676" s="12" t="s">
        <v>3527</v>
      </c>
      <c r="B676" s="12" t="s">
        <v>3934</v>
      </c>
      <c r="C676" s="12" t="s">
        <v>3987</v>
      </c>
      <c r="D676" s="12" t="s">
        <v>4024</v>
      </c>
      <c r="E676" s="12">
        <v>4</v>
      </c>
      <c r="F676" s="12" t="s">
        <v>4025</v>
      </c>
      <c r="G676" s="12">
        <v>9</v>
      </c>
      <c r="H676" s="12">
        <v>0</v>
      </c>
      <c r="I676" s="12"/>
      <c r="J676" s="12" t="s">
        <v>4026</v>
      </c>
      <c r="K676" s="12" t="s">
        <v>4027</v>
      </c>
    </row>
    <row r="677" spans="1:11" x14ac:dyDescent="0.3">
      <c r="A677" s="12" t="s">
        <v>3527</v>
      </c>
      <c r="B677" s="12" t="s">
        <v>4028</v>
      </c>
      <c r="C677" s="12" t="s">
        <v>4029</v>
      </c>
      <c r="D677" s="12" t="s">
        <v>4030</v>
      </c>
      <c r="E677" s="12">
        <v>4</v>
      </c>
      <c r="F677" s="12" t="s">
        <v>4031</v>
      </c>
      <c r="G677" s="12">
        <v>2</v>
      </c>
      <c r="H677" s="12">
        <v>0</v>
      </c>
      <c r="I677" s="12"/>
      <c r="J677" s="12" t="s">
        <v>4032</v>
      </c>
      <c r="K677" s="12" t="s">
        <v>4033</v>
      </c>
    </row>
    <row r="678" spans="1:11" x14ac:dyDescent="0.3">
      <c r="A678" s="12" t="s">
        <v>3527</v>
      </c>
      <c r="B678" s="12" t="s">
        <v>4028</v>
      </c>
      <c r="C678" s="12" t="s">
        <v>4029</v>
      </c>
      <c r="D678" s="12" t="s">
        <v>4034</v>
      </c>
      <c r="E678" s="12">
        <v>4</v>
      </c>
      <c r="F678" s="12" t="s">
        <v>4035</v>
      </c>
      <c r="G678" s="12">
        <v>2</v>
      </c>
      <c r="H678" s="12">
        <v>0</v>
      </c>
      <c r="I678" s="12"/>
      <c r="J678" s="12" t="s">
        <v>4036</v>
      </c>
      <c r="K678" s="12" t="s">
        <v>4037</v>
      </c>
    </row>
    <row r="679" spans="1:11" x14ac:dyDescent="0.3">
      <c r="A679" s="12" t="s">
        <v>3527</v>
      </c>
      <c r="B679" s="12" t="s">
        <v>4028</v>
      </c>
      <c r="C679" s="12" t="s">
        <v>4029</v>
      </c>
      <c r="D679" s="12" t="s">
        <v>4038</v>
      </c>
      <c r="E679" s="12">
        <v>4</v>
      </c>
      <c r="F679" s="12" t="s">
        <v>4039</v>
      </c>
      <c r="G679" s="12">
        <v>14</v>
      </c>
      <c r="H679" s="12">
        <v>0</v>
      </c>
      <c r="I679" s="12"/>
      <c r="J679" s="12" t="s">
        <v>4040</v>
      </c>
      <c r="K679" s="12" t="s">
        <v>4041</v>
      </c>
    </row>
    <row r="680" spans="1:11" x14ac:dyDescent="0.3">
      <c r="A680" s="12" t="s">
        <v>3527</v>
      </c>
      <c r="B680" s="12" t="s">
        <v>4028</v>
      </c>
      <c r="C680" s="12" t="s">
        <v>4029</v>
      </c>
      <c r="D680" s="12" t="s">
        <v>4042</v>
      </c>
      <c r="E680" s="12">
        <v>4</v>
      </c>
      <c r="F680" s="12" t="s">
        <v>4043</v>
      </c>
      <c r="G680" s="12">
        <v>13</v>
      </c>
      <c r="H680" s="12">
        <v>0</v>
      </c>
      <c r="I680" s="12"/>
      <c r="J680" s="12" t="s">
        <v>4044</v>
      </c>
      <c r="K680" s="12" t="s">
        <v>4045</v>
      </c>
    </row>
    <row r="681" spans="1:11" x14ac:dyDescent="0.3">
      <c r="A681" s="12" t="s">
        <v>3527</v>
      </c>
      <c r="B681" s="12" t="s">
        <v>4046</v>
      </c>
      <c r="C681" s="12" t="s">
        <v>4047</v>
      </c>
      <c r="D681" s="12"/>
      <c r="E681" s="12">
        <v>3</v>
      </c>
      <c r="F681" s="12" t="s">
        <v>4048</v>
      </c>
      <c r="G681" s="12">
        <v>21</v>
      </c>
      <c r="H681" s="12">
        <v>0</v>
      </c>
      <c r="I681" s="12"/>
      <c r="J681" s="12" t="s">
        <v>4049</v>
      </c>
      <c r="K681" s="12" t="s">
        <v>4050</v>
      </c>
    </row>
    <row r="682" spans="1:11" x14ac:dyDescent="0.3">
      <c r="A682" s="12" t="s">
        <v>3527</v>
      </c>
      <c r="B682" s="12" t="s">
        <v>4046</v>
      </c>
      <c r="C682" s="12" t="s">
        <v>4051</v>
      </c>
      <c r="D682" s="12"/>
      <c r="E682" s="12">
        <v>3</v>
      </c>
      <c r="F682" s="12" t="s">
        <v>4052</v>
      </c>
      <c r="G682" s="12">
        <v>17</v>
      </c>
      <c r="H682" s="12">
        <v>0</v>
      </c>
      <c r="I682" s="12"/>
      <c r="J682" s="12" t="s">
        <v>4053</v>
      </c>
      <c r="K682" s="12" t="s">
        <v>4054</v>
      </c>
    </row>
    <row r="683" spans="1:11" x14ac:dyDescent="0.3">
      <c r="A683" s="12" t="s">
        <v>3527</v>
      </c>
      <c r="B683" s="12" t="s">
        <v>4046</v>
      </c>
      <c r="C683" s="12" t="s">
        <v>4055</v>
      </c>
      <c r="D683" s="12"/>
      <c r="E683" s="12">
        <v>3</v>
      </c>
      <c r="F683" s="12" t="s">
        <v>4056</v>
      </c>
      <c r="G683" s="12">
        <v>6</v>
      </c>
      <c r="H683" s="12">
        <v>0</v>
      </c>
      <c r="I683" s="12"/>
      <c r="J683" s="12" t="s">
        <v>4057</v>
      </c>
      <c r="K683" s="12" t="s">
        <v>4058</v>
      </c>
    </row>
    <row r="684" spans="1:11" x14ac:dyDescent="0.3">
      <c r="A684" s="12" t="s">
        <v>3527</v>
      </c>
      <c r="B684" s="12" t="s">
        <v>4059</v>
      </c>
      <c r="C684" s="12" t="s">
        <v>4060</v>
      </c>
      <c r="D684" s="12" t="s">
        <v>4061</v>
      </c>
      <c r="E684" s="12">
        <v>4</v>
      </c>
      <c r="F684" s="12" t="s">
        <v>4062</v>
      </c>
      <c r="G684" s="12">
        <v>1</v>
      </c>
      <c r="H684" s="12">
        <v>0</v>
      </c>
      <c r="I684" s="12"/>
      <c r="J684" s="12" t="s">
        <v>4063</v>
      </c>
      <c r="K684" s="12" t="s">
        <v>4064</v>
      </c>
    </row>
    <row r="685" spans="1:11" x14ac:dyDescent="0.3">
      <c r="A685" s="12" t="s">
        <v>3527</v>
      </c>
      <c r="B685" s="12" t="s">
        <v>4059</v>
      </c>
      <c r="C685" s="12" t="s">
        <v>4065</v>
      </c>
      <c r="D685" s="12" t="s">
        <v>4066</v>
      </c>
      <c r="E685" s="12">
        <v>4</v>
      </c>
      <c r="F685" s="12" t="s">
        <v>4067</v>
      </c>
      <c r="G685" s="12">
        <v>5</v>
      </c>
      <c r="H685" s="12">
        <v>0</v>
      </c>
      <c r="I685" s="12"/>
      <c r="J685" s="12" t="s">
        <v>4068</v>
      </c>
      <c r="K685" s="12" t="s">
        <v>4069</v>
      </c>
    </row>
    <row r="686" spans="1:11" x14ac:dyDescent="0.3">
      <c r="A686" s="12" t="s">
        <v>3527</v>
      </c>
      <c r="B686" s="12" t="s">
        <v>4070</v>
      </c>
      <c r="C686" s="12" t="s">
        <v>4071</v>
      </c>
      <c r="D686" s="12" t="s">
        <v>4072</v>
      </c>
      <c r="E686" s="12">
        <v>4</v>
      </c>
      <c r="F686" s="12" t="s">
        <v>4073</v>
      </c>
      <c r="G686" s="12">
        <v>4</v>
      </c>
      <c r="H686" s="12">
        <v>0</v>
      </c>
      <c r="I686" s="12"/>
      <c r="J686" s="12" t="s">
        <v>4074</v>
      </c>
      <c r="K686" s="12" t="s">
        <v>4075</v>
      </c>
    </row>
    <row r="687" spans="1:11" x14ac:dyDescent="0.3">
      <c r="A687" s="12" t="s">
        <v>3527</v>
      </c>
      <c r="B687" s="12" t="s">
        <v>4070</v>
      </c>
      <c r="C687" s="12" t="s">
        <v>4071</v>
      </c>
      <c r="D687" s="12" t="s">
        <v>4076</v>
      </c>
      <c r="E687" s="12">
        <v>4</v>
      </c>
      <c r="F687" s="12" t="s">
        <v>4077</v>
      </c>
      <c r="G687" s="12">
        <v>13</v>
      </c>
      <c r="H687" s="12">
        <v>0</v>
      </c>
      <c r="I687" s="12"/>
      <c r="J687" s="12" t="s">
        <v>4078</v>
      </c>
      <c r="K687" s="12" t="s">
        <v>4079</v>
      </c>
    </row>
    <row r="688" spans="1:11" x14ac:dyDescent="0.3">
      <c r="A688" s="12" t="s">
        <v>3527</v>
      </c>
      <c r="B688" s="12" t="s">
        <v>4070</v>
      </c>
      <c r="C688" s="12" t="s">
        <v>4071</v>
      </c>
      <c r="D688" s="12" t="s">
        <v>4080</v>
      </c>
      <c r="E688" s="12">
        <v>4</v>
      </c>
      <c r="F688" s="12" t="s">
        <v>4081</v>
      </c>
      <c r="G688" s="12">
        <v>17</v>
      </c>
      <c r="H688" s="12">
        <v>0</v>
      </c>
      <c r="I688" s="12"/>
      <c r="J688" s="12" t="s">
        <v>4082</v>
      </c>
      <c r="K688" s="12" t="s">
        <v>4083</v>
      </c>
    </row>
    <row r="689" spans="1:11" x14ac:dyDescent="0.3">
      <c r="A689" s="12" t="s">
        <v>3527</v>
      </c>
      <c r="B689" s="12" t="s">
        <v>4070</v>
      </c>
      <c r="C689" s="12" t="s">
        <v>4071</v>
      </c>
      <c r="D689" s="12" t="s">
        <v>4084</v>
      </c>
      <c r="E689" s="12">
        <v>4</v>
      </c>
      <c r="F689" s="12" t="s">
        <v>4085</v>
      </c>
      <c r="G689" s="12">
        <v>11</v>
      </c>
      <c r="H689" s="12">
        <v>0</v>
      </c>
      <c r="I689" s="12"/>
      <c r="J689" s="12" t="s">
        <v>4086</v>
      </c>
      <c r="K689" s="12" t="s">
        <v>4087</v>
      </c>
    </row>
    <row r="690" spans="1:11" x14ac:dyDescent="0.3">
      <c r="A690" s="12" t="s">
        <v>3527</v>
      </c>
      <c r="B690" s="12" t="s">
        <v>4070</v>
      </c>
      <c r="C690" s="12" t="s">
        <v>4071</v>
      </c>
      <c r="D690" s="12" t="s">
        <v>4088</v>
      </c>
      <c r="E690" s="12">
        <v>4</v>
      </c>
      <c r="F690" s="12" t="s">
        <v>4089</v>
      </c>
      <c r="G690" s="12">
        <v>1</v>
      </c>
      <c r="H690" s="12">
        <v>0</v>
      </c>
      <c r="I690" s="12"/>
      <c r="J690" s="12" t="s">
        <v>4090</v>
      </c>
      <c r="K690" s="12" t="s">
        <v>4091</v>
      </c>
    </row>
    <row r="691" spans="1:11" x14ac:dyDescent="0.3">
      <c r="A691" s="12" t="s">
        <v>3527</v>
      </c>
      <c r="B691" s="12" t="s">
        <v>4070</v>
      </c>
      <c r="C691" s="12" t="s">
        <v>4071</v>
      </c>
      <c r="D691" s="12" t="s">
        <v>4092</v>
      </c>
      <c r="E691" s="12">
        <v>4</v>
      </c>
      <c r="F691" s="12" t="s">
        <v>4093</v>
      </c>
      <c r="G691" s="12">
        <v>15</v>
      </c>
      <c r="H691" s="12">
        <v>0</v>
      </c>
      <c r="I691" s="12"/>
      <c r="J691" s="12" t="s">
        <v>4094</v>
      </c>
      <c r="K691" s="12" t="s">
        <v>4095</v>
      </c>
    </row>
    <row r="692" spans="1:11" x14ac:dyDescent="0.3">
      <c r="A692" s="12" t="s">
        <v>3527</v>
      </c>
      <c r="B692" s="12" t="s">
        <v>4070</v>
      </c>
      <c r="C692" s="12" t="s">
        <v>4071</v>
      </c>
      <c r="D692" s="12" t="s">
        <v>4096</v>
      </c>
      <c r="E692" s="12">
        <v>4</v>
      </c>
      <c r="F692" s="12" t="s">
        <v>4097</v>
      </c>
      <c r="G692" s="12">
        <v>4</v>
      </c>
      <c r="H692" s="12">
        <v>0</v>
      </c>
      <c r="I692" s="12"/>
      <c r="J692" s="12" t="s">
        <v>4098</v>
      </c>
      <c r="K692" s="12" t="s">
        <v>4099</v>
      </c>
    </row>
    <row r="693" spans="1:11" x14ac:dyDescent="0.3">
      <c r="A693" s="12" t="s">
        <v>3527</v>
      </c>
      <c r="B693" s="12" t="s">
        <v>4070</v>
      </c>
      <c r="C693" s="12" t="s">
        <v>4071</v>
      </c>
      <c r="D693" s="12" t="s">
        <v>4100</v>
      </c>
      <c r="E693" s="12">
        <v>4</v>
      </c>
      <c r="F693" s="12" t="s">
        <v>4101</v>
      </c>
      <c r="G693" s="12">
        <v>4</v>
      </c>
      <c r="H693" s="12">
        <v>0</v>
      </c>
      <c r="I693" s="12"/>
      <c r="J693" s="12" t="s">
        <v>4102</v>
      </c>
      <c r="K693" s="12" t="s">
        <v>4103</v>
      </c>
    </row>
    <row r="694" spans="1:11" x14ac:dyDescent="0.3">
      <c r="A694" s="12" t="s">
        <v>3527</v>
      </c>
      <c r="B694" s="12" t="s">
        <v>4070</v>
      </c>
      <c r="C694" s="12" t="s">
        <v>4071</v>
      </c>
      <c r="D694" s="12" t="s">
        <v>4104</v>
      </c>
      <c r="E694" s="12">
        <v>4</v>
      </c>
      <c r="F694" s="12" t="s">
        <v>4105</v>
      </c>
      <c r="G694" s="12">
        <v>1</v>
      </c>
      <c r="H694" s="12">
        <v>0</v>
      </c>
      <c r="I694" s="12"/>
      <c r="J694" s="12" t="s">
        <v>4106</v>
      </c>
      <c r="K694" s="12" t="s">
        <v>4107</v>
      </c>
    </row>
    <row r="695" spans="1:11" x14ac:dyDescent="0.3">
      <c r="A695" s="12" t="s">
        <v>3527</v>
      </c>
      <c r="B695" s="12" t="s">
        <v>4070</v>
      </c>
      <c r="C695" s="12" t="s">
        <v>4108</v>
      </c>
      <c r="D695" s="12" t="s">
        <v>4109</v>
      </c>
      <c r="E695" s="12">
        <v>4</v>
      </c>
      <c r="F695" s="12" t="s">
        <v>4110</v>
      </c>
      <c r="G695" s="12">
        <v>8</v>
      </c>
      <c r="H695" s="12">
        <v>0</v>
      </c>
      <c r="I695" s="12"/>
      <c r="J695" s="12" t="s">
        <v>4111</v>
      </c>
      <c r="K695" s="12" t="s">
        <v>4112</v>
      </c>
    </row>
    <row r="696" spans="1:11" x14ac:dyDescent="0.3">
      <c r="A696" s="12" t="s">
        <v>3527</v>
      </c>
      <c r="B696" s="12" t="s">
        <v>4070</v>
      </c>
      <c r="C696" s="12" t="s">
        <v>4108</v>
      </c>
      <c r="D696" s="12" t="s">
        <v>4113</v>
      </c>
      <c r="E696" s="12">
        <v>4</v>
      </c>
      <c r="F696" s="12" t="s">
        <v>4114</v>
      </c>
      <c r="G696" s="12">
        <v>6</v>
      </c>
      <c r="H696" s="12">
        <v>0</v>
      </c>
      <c r="I696" s="12"/>
      <c r="J696" s="12" t="s">
        <v>4115</v>
      </c>
      <c r="K696" s="12" t="s">
        <v>4116</v>
      </c>
    </row>
    <row r="697" spans="1:11" x14ac:dyDescent="0.3">
      <c r="A697" s="12" t="s">
        <v>3527</v>
      </c>
      <c r="B697" s="12" t="s">
        <v>4070</v>
      </c>
      <c r="C697" s="12" t="s">
        <v>4108</v>
      </c>
      <c r="D697" s="12" t="s">
        <v>4117</v>
      </c>
      <c r="E697" s="12">
        <v>4</v>
      </c>
      <c r="F697" s="12" t="s">
        <v>4118</v>
      </c>
      <c r="G697" s="12">
        <v>10</v>
      </c>
      <c r="H697" s="12">
        <v>0</v>
      </c>
      <c r="I697" s="12"/>
      <c r="J697" s="12" t="s">
        <v>4119</v>
      </c>
      <c r="K697" s="12" t="s">
        <v>4120</v>
      </c>
    </row>
    <row r="698" spans="1:11" x14ac:dyDescent="0.3">
      <c r="A698" s="12" t="s">
        <v>3527</v>
      </c>
      <c r="B698" s="12" t="s">
        <v>4070</v>
      </c>
      <c r="C698" s="12" t="s">
        <v>4108</v>
      </c>
      <c r="D698" s="12" t="s">
        <v>4121</v>
      </c>
      <c r="E698" s="12">
        <v>4</v>
      </c>
      <c r="F698" s="12" t="s">
        <v>4122</v>
      </c>
      <c r="G698" s="12">
        <v>13</v>
      </c>
      <c r="H698" s="12">
        <v>0</v>
      </c>
      <c r="I698" s="12"/>
      <c r="J698" s="12" t="s">
        <v>4123</v>
      </c>
      <c r="K698" s="12" t="s">
        <v>4124</v>
      </c>
    </row>
    <row r="699" spans="1:11" x14ac:dyDescent="0.3">
      <c r="A699" s="12" t="s">
        <v>3527</v>
      </c>
      <c r="B699" s="12" t="s">
        <v>4070</v>
      </c>
      <c r="C699" s="12" t="s">
        <v>4108</v>
      </c>
      <c r="D699" s="12" t="s">
        <v>4125</v>
      </c>
      <c r="E699" s="12">
        <v>4</v>
      </c>
      <c r="F699" s="12" t="s">
        <v>4126</v>
      </c>
      <c r="G699" s="12">
        <v>18</v>
      </c>
      <c r="H699" s="12">
        <v>0</v>
      </c>
      <c r="I699" s="12"/>
      <c r="J699" s="12" t="s">
        <v>4127</v>
      </c>
      <c r="K699" s="12" t="s">
        <v>4128</v>
      </c>
    </row>
    <row r="700" spans="1:11" x14ac:dyDescent="0.3">
      <c r="A700" s="12" t="s">
        <v>3527</v>
      </c>
      <c r="B700" s="12" t="s">
        <v>4070</v>
      </c>
      <c r="C700" s="12" t="s">
        <v>4108</v>
      </c>
      <c r="D700" s="12" t="s">
        <v>4129</v>
      </c>
      <c r="E700" s="12">
        <v>4</v>
      </c>
      <c r="F700" s="12" t="s">
        <v>4130</v>
      </c>
      <c r="G700" s="12">
        <v>3</v>
      </c>
      <c r="H700" s="12">
        <v>0</v>
      </c>
      <c r="I700" s="12"/>
      <c r="J700" s="12" t="s">
        <v>4131</v>
      </c>
      <c r="K700" s="12" t="s">
        <v>4132</v>
      </c>
    </row>
    <row r="701" spans="1:11" x14ac:dyDescent="0.3">
      <c r="A701" s="12" t="s">
        <v>3527</v>
      </c>
      <c r="B701" s="12" t="s">
        <v>4070</v>
      </c>
      <c r="C701" s="12" t="s">
        <v>4108</v>
      </c>
      <c r="D701" s="12" t="s">
        <v>4133</v>
      </c>
      <c r="E701" s="12">
        <v>4</v>
      </c>
      <c r="F701" s="12" t="s">
        <v>4134</v>
      </c>
      <c r="G701" s="12">
        <v>4</v>
      </c>
      <c r="H701" s="12">
        <v>0</v>
      </c>
      <c r="I701" s="12"/>
      <c r="J701" s="12" t="s">
        <v>4135</v>
      </c>
      <c r="K701" s="12" t="s">
        <v>4136</v>
      </c>
    </row>
    <row r="702" spans="1:11" x14ac:dyDescent="0.3">
      <c r="A702" s="12" t="s">
        <v>3527</v>
      </c>
      <c r="B702" s="12" t="s">
        <v>4070</v>
      </c>
      <c r="C702" s="12" t="s">
        <v>4137</v>
      </c>
      <c r="D702" s="12" t="s">
        <v>4138</v>
      </c>
      <c r="E702" s="12">
        <v>4</v>
      </c>
      <c r="F702" s="12" t="s">
        <v>4139</v>
      </c>
      <c r="G702" s="12">
        <v>92</v>
      </c>
      <c r="H702" s="12">
        <v>0</v>
      </c>
      <c r="I702" s="12"/>
      <c r="J702" s="12" t="s">
        <v>4140</v>
      </c>
      <c r="K702" s="12" t="s">
        <v>4141</v>
      </c>
    </row>
    <row r="703" spans="1:11" x14ac:dyDescent="0.3">
      <c r="A703" s="12" t="s">
        <v>3527</v>
      </c>
      <c r="B703" s="12" t="s">
        <v>4070</v>
      </c>
      <c r="C703" s="12" t="s">
        <v>4137</v>
      </c>
      <c r="D703" s="12" t="s">
        <v>4142</v>
      </c>
      <c r="E703" s="12">
        <v>4</v>
      </c>
      <c r="F703" s="12" t="s">
        <v>4143</v>
      </c>
      <c r="G703" s="12">
        <v>8</v>
      </c>
      <c r="H703" s="12">
        <v>0</v>
      </c>
      <c r="I703" s="12"/>
      <c r="J703" s="12" t="s">
        <v>4144</v>
      </c>
      <c r="K703" s="12" t="s">
        <v>4145</v>
      </c>
    </row>
    <row r="704" spans="1:11" x14ac:dyDescent="0.3">
      <c r="A704" s="12" t="s">
        <v>3527</v>
      </c>
      <c r="B704" s="12" t="s">
        <v>4070</v>
      </c>
      <c r="C704" s="12" t="s">
        <v>4137</v>
      </c>
      <c r="D704" s="12" t="s">
        <v>4146</v>
      </c>
      <c r="E704" s="12">
        <v>4</v>
      </c>
      <c r="F704" s="12" t="s">
        <v>4147</v>
      </c>
      <c r="G704" s="12">
        <v>19</v>
      </c>
      <c r="H704" s="12">
        <v>0</v>
      </c>
      <c r="I704" s="12"/>
      <c r="J704" s="12" t="s">
        <v>4148</v>
      </c>
      <c r="K704" s="12" t="s">
        <v>4149</v>
      </c>
    </row>
    <row r="705" spans="1:11" x14ac:dyDescent="0.3">
      <c r="A705" s="12" t="s">
        <v>3527</v>
      </c>
      <c r="B705" s="12" t="s">
        <v>4070</v>
      </c>
      <c r="C705" s="12" t="s">
        <v>4137</v>
      </c>
      <c r="D705" s="12" t="s">
        <v>4150</v>
      </c>
      <c r="E705" s="12">
        <v>4</v>
      </c>
      <c r="F705" s="12" t="s">
        <v>4151</v>
      </c>
      <c r="G705" s="12">
        <v>3</v>
      </c>
      <c r="H705" s="12">
        <v>0</v>
      </c>
      <c r="I705" s="12"/>
      <c r="J705" s="12" t="s">
        <v>4152</v>
      </c>
      <c r="K705" s="12" t="s">
        <v>4153</v>
      </c>
    </row>
    <row r="706" spans="1:11" x14ac:dyDescent="0.3">
      <c r="A706" s="12" t="s">
        <v>3527</v>
      </c>
      <c r="B706" s="12" t="s">
        <v>4070</v>
      </c>
      <c r="C706" s="12" t="s">
        <v>4137</v>
      </c>
      <c r="D706" s="12" t="s">
        <v>4154</v>
      </c>
      <c r="E706" s="12">
        <v>4</v>
      </c>
      <c r="F706" s="12" t="s">
        <v>4155</v>
      </c>
      <c r="G706" s="12">
        <v>24</v>
      </c>
      <c r="H706" s="12">
        <v>0</v>
      </c>
      <c r="I706" s="12"/>
      <c r="J706" s="12" t="s">
        <v>4156</v>
      </c>
      <c r="K706" s="12" t="s">
        <v>4157</v>
      </c>
    </row>
    <row r="707" spans="1:11" x14ac:dyDescent="0.3">
      <c r="A707" s="12" t="s">
        <v>3527</v>
      </c>
      <c r="B707" s="12" t="s">
        <v>4070</v>
      </c>
      <c r="C707" s="12" t="s">
        <v>4137</v>
      </c>
      <c r="D707" s="12" t="s">
        <v>4158</v>
      </c>
      <c r="E707" s="12">
        <v>4</v>
      </c>
      <c r="F707" s="12" t="s">
        <v>4159</v>
      </c>
      <c r="G707" s="12">
        <v>3</v>
      </c>
      <c r="H707" s="12">
        <v>0</v>
      </c>
      <c r="I707" s="12"/>
      <c r="J707" s="12" t="s">
        <v>4160</v>
      </c>
      <c r="K707" s="12" t="s">
        <v>4161</v>
      </c>
    </row>
    <row r="708" spans="1:11" x14ac:dyDescent="0.3">
      <c r="A708" s="12" t="s">
        <v>3527</v>
      </c>
      <c r="B708" s="12" t="s">
        <v>4070</v>
      </c>
      <c r="C708" s="12" t="s">
        <v>4162</v>
      </c>
      <c r="D708" s="12" t="s">
        <v>4163</v>
      </c>
      <c r="E708" s="12">
        <v>4</v>
      </c>
      <c r="F708" s="12" t="s">
        <v>4164</v>
      </c>
      <c r="G708" s="12">
        <v>1</v>
      </c>
      <c r="H708" s="12">
        <v>0</v>
      </c>
      <c r="I708" s="12"/>
      <c r="J708" s="12" t="s">
        <v>4165</v>
      </c>
      <c r="K708" s="12" t="s">
        <v>4166</v>
      </c>
    </row>
    <row r="709" spans="1:11" x14ac:dyDescent="0.3">
      <c r="A709" s="12" t="s">
        <v>3527</v>
      </c>
      <c r="B709" s="12" t="s">
        <v>4070</v>
      </c>
      <c r="C709" s="12" t="s">
        <v>4162</v>
      </c>
      <c r="D709" s="12" t="s">
        <v>4167</v>
      </c>
      <c r="E709" s="12">
        <v>4</v>
      </c>
      <c r="F709" s="12" t="s">
        <v>4168</v>
      </c>
      <c r="G709" s="12">
        <v>14</v>
      </c>
      <c r="H709" s="12">
        <v>0</v>
      </c>
      <c r="I709" s="12"/>
      <c r="J709" s="12" t="s">
        <v>4169</v>
      </c>
      <c r="K709" s="12" t="s">
        <v>4170</v>
      </c>
    </row>
    <row r="710" spans="1:11" x14ac:dyDescent="0.3">
      <c r="A710" s="12" t="s">
        <v>3527</v>
      </c>
      <c r="B710" s="12" t="s">
        <v>4070</v>
      </c>
      <c r="C710" s="12" t="s">
        <v>4162</v>
      </c>
      <c r="D710" s="12" t="s">
        <v>4171</v>
      </c>
      <c r="E710" s="12">
        <v>4</v>
      </c>
      <c r="F710" s="12" t="s">
        <v>4172</v>
      </c>
      <c r="G710" s="12">
        <v>59</v>
      </c>
      <c r="H710" s="12">
        <v>0</v>
      </c>
      <c r="I710" s="12"/>
      <c r="J710" s="12" t="s">
        <v>4173</v>
      </c>
      <c r="K710" s="12" t="s">
        <v>4174</v>
      </c>
    </row>
    <row r="711" spans="1:11" x14ac:dyDescent="0.3">
      <c r="A711" s="12" t="s">
        <v>4175</v>
      </c>
      <c r="B711" s="12" t="s">
        <v>4176</v>
      </c>
      <c r="C711" s="12"/>
      <c r="D711" s="12"/>
      <c r="E711" s="12">
        <v>2</v>
      </c>
      <c r="F711" s="12" t="s">
        <v>4177</v>
      </c>
      <c r="G711" s="12">
        <v>1</v>
      </c>
      <c r="H711" s="12">
        <v>0</v>
      </c>
      <c r="I711" s="12"/>
      <c r="J711" s="12" t="s">
        <v>4178</v>
      </c>
      <c r="K711" s="12" t="s">
        <v>4179</v>
      </c>
    </row>
    <row r="712" spans="1:11" x14ac:dyDescent="0.3">
      <c r="A712" s="12" t="s">
        <v>4175</v>
      </c>
      <c r="B712" s="12" t="s">
        <v>4180</v>
      </c>
      <c r="C712" s="12" t="s">
        <v>4181</v>
      </c>
      <c r="D712" s="12"/>
      <c r="E712" s="12">
        <v>3</v>
      </c>
      <c r="F712" s="12" t="s">
        <v>4182</v>
      </c>
      <c r="G712" s="12">
        <v>1</v>
      </c>
      <c r="H712" s="12">
        <v>0</v>
      </c>
      <c r="I712" s="12"/>
      <c r="J712" s="12" t="s">
        <v>4183</v>
      </c>
      <c r="K712" s="12" t="s">
        <v>4184</v>
      </c>
    </row>
    <row r="713" spans="1:11" x14ac:dyDescent="0.3">
      <c r="A713" s="12" t="s">
        <v>4175</v>
      </c>
      <c r="B713" s="12" t="s">
        <v>4180</v>
      </c>
      <c r="C713" s="12" t="s">
        <v>4185</v>
      </c>
      <c r="D713" s="12"/>
      <c r="E713" s="12">
        <v>3</v>
      </c>
      <c r="F713" s="12" t="s">
        <v>4186</v>
      </c>
      <c r="G713" s="12">
        <v>12</v>
      </c>
      <c r="H713" s="12">
        <v>0</v>
      </c>
      <c r="I713" s="12"/>
      <c r="J713" s="12" t="s">
        <v>4187</v>
      </c>
      <c r="K713" s="12" t="s">
        <v>4188</v>
      </c>
    </row>
    <row r="714" spans="1:11" x14ac:dyDescent="0.3">
      <c r="A714" s="12" t="s">
        <v>4175</v>
      </c>
      <c r="B714" s="12" t="s">
        <v>4189</v>
      </c>
      <c r="C714" s="12" t="s">
        <v>4190</v>
      </c>
      <c r="D714" s="12"/>
      <c r="E714" s="12">
        <v>3</v>
      </c>
      <c r="F714" s="12" t="s">
        <v>4191</v>
      </c>
      <c r="G714" s="12">
        <v>5</v>
      </c>
      <c r="H714" s="12">
        <v>0</v>
      </c>
      <c r="I714" s="12"/>
      <c r="J714" s="12" t="s">
        <v>4192</v>
      </c>
      <c r="K714" s="12" t="s">
        <v>4193</v>
      </c>
    </row>
    <row r="715" spans="1:11" x14ac:dyDescent="0.3">
      <c r="A715" s="12" t="s">
        <v>4175</v>
      </c>
      <c r="B715" s="12" t="s">
        <v>4189</v>
      </c>
      <c r="C715" s="12" t="s">
        <v>4194</v>
      </c>
      <c r="D715" s="12"/>
      <c r="E715" s="12">
        <v>3</v>
      </c>
      <c r="F715" s="12" t="s">
        <v>4195</v>
      </c>
      <c r="G715" s="12">
        <v>1</v>
      </c>
      <c r="H715" s="12">
        <v>0</v>
      </c>
      <c r="I715" s="12"/>
      <c r="J715" s="12" t="s">
        <v>4196</v>
      </c>
      <c r="K715" s="12" t="s">
        <v>4197</v>
      </c>
    </row>
    <row r="716" spans="1:11" x14ac:dyDescent="0.3">
      <c r="A716" s="12" t="s">
        <v>4175</v>
      </c>
      <c r="B716" s="12" t="s">
        <v>4189</v>
      </c>
      <c r="C716" s="12" t="s">
        <v>4198</v>
      </c>
      <c r="D716" s="12"/>
      <c r="E716" s="12">
        <v>3</v>
      </c>
      <c r="F716" s="12" t="s">
        <v>4199</v>
      </c>
      <c r="G716" s="12">
        <v>5</v>
      </c>
      <c r="H716" s="12">
        <v>0</v>
      </c>
      <c r="I716" s="12"/>
      <c r="J716" s="12" t="s">
        <v>4200</v>
      </c>
      <c r="K716" s="12" t="s">
        <v>4201</v>
      </c>
    </row>
    <row r="717" spans="1:11" x14ac:dyDescent="0.3">
      <c r="A717" s="12" t="s">
        <v>4175</v>
      </c>
      <c r="B717" s="12" t="s">
        <v>4189</v>
      </c>
      <c r="C717" s="12" t="s">
        <v>4202</v>
      </c>
      <c r="D717" s="12"/>
      <c r="E717" s="12">
        <v>3</v>
      </c>
      <c r="F717" s="12" t="s">
        <v>4203</v>
      </c>
      <c r="G717" s="12">
        <v>9</v>
      </c>
      <c r="H717" s="12">
        <v>0</v>
      </c>
      <c r="I717" s="12"/>
      <c r="J717" s="12" t="s">
        <v>4204</v>
      </c>
      <c r="K717" s="12" t="s">
        <v>4205</v>
      </c>
    </row>
    <row r="718" spans="1:11" x14ac:dyDescent="0.3">
      <c r="A718" s="12" t="s">
        <v>4175</v>
      </c>
      <c r="B718" s="12" t="s">
        <v>4189</v>
      </c>
      <c r="C718" s="12" t="s">
        <v>4206</v>
      </c>
      <c r="D718" s="12"/>
      <c r="E718" s="12">
        <v>3</v>
      </c>
      <c r="F718" s="12" t="s">
        <v>4207</v>
      </c>
      <c r="G718" s="12">
        <v>4</v>
      </c>
      <c r="H718" s="12">
        <v>0</v>
      </c>
      <c r="I718" s="12"/>
      <c r="J718" s="12" t="s">
        <v>4208</v>
      </c>
      <c r="K718" s="12" t="s">
        <v>4209</v>
      </c>
    </row>
    <row r="719" spans="1:11" x14ac:dyDescent="0.3">
      <c r="A719" s="12" t="s">
        <v>4175</v>
      </c>
      <c r="B719" s="12" t="s">
        <v>4210</v>
      </c>
      <c r="C719" s="12" t="s">
        <v>4211</v>
      </c>
      <c r="D719" s="12"/>
      <c r="E719" s="12">
        <v>3</v>
      </c>
      <c r="F719" s="12" t="s">
        <v>4212</v>
      </c>
      <c r="G719" s="12">
        <v>3</v>
      </c>
      <c r="H719" s="12">
        <v>0</v>
      </c>
      <c r="I719" s="12"/>
      <c r="J719" s="12" t="s">
        <v>4213</v>
      </c>
      <c r="K719" s="12" t="s">
        <v>4214</v>
      </c>
    </row>
    <row r="720" spans="1:11" x14ac:dyDescent="0.3">
      <c r="A720" s="12" t="s">
        <v>4175</v>
      </c>
      <c r="B720" s="12" t="s">
        <v>4215</v>
      </c>
      <c r="C720" s="12" t="s">
        <v>4216</v>
      </c>
      <c r="D720" s="12"/>
      <c r="E720" s="12">
        <v>3</v>
      </c>
      <c r="F720" s="12" t="s">
        <v>4217</v>
      </c>
      <c r="G720" s="12">
        <v>1</v>
      </c>
      <c r="H720" s="12">
        <v>0</v>
      </c>
      <c r="I720" s="12"/>
      <c r="J720" s="12" t="s">
        <v>4218</v>
      </c>
      <c r="K720" s="12" t="s">
        <v>4219</v>
      </c>
    </row>
    <row r="721" spans="1:11" x14ac:dyDescent="0.3">
      <c r="A721" s="12" t="s">
        <v>4175</v>
      </c>
      <c r="B721" s="12" t="s">
        <v>4215</v>
      </c>
      <c r="C721" s="12" t="s">
        <v>919</v>
      </c>
      <c r="D721" s="12"/>
      <c r="E721" s="12">
        <v>3</v>
      </c>
      <c r="F721" s="12" t="s">
        <v>4220</v>
      </c>
      <c r="G721" s="12">
        <v>5</v>
      </c>
      <c r="H721" s="12">
        <v>0</v>
      </c>
      <c r="I721" s="12"/>
      <c r="J721" s="12" t="s">
        <v>4221</v>
      </c>
      <c r="K721" s="12" t="s">
        <v>4222</v>
      </c>
    </row>
    <row r="722" spans="1:11" x14ac:dyDescent="0.3">
      <c r="A722" s="12" t="s">
        <v>4175</v>
      </c>
      <c r="B722" s="12" t="s">
        <v>4215</v>
      </c>
      <c r="C722" s="12" t="s">
        <v>4223</v>
      </c>
      <c r="D722" s="12"/>
      <c r="E722" s="12">
        <v>3</v>
      </c>
      <c r="F722" s="12" t="s">
        <v>4224</v>
      </c>
      <c r="G722" s="12">
        <v>1</v>
      </c>
      <c r="H722" s="12">
        <v>0</v>
      </c>
      <c r="I722" s="12"/>
      <c r="J722" s="12" t="s">
        <v>4225</v>
      </c>
      <c r="K722" s="12" t="s">
        <v>4226</v>
      </c>
    </row>
    <row r="723" spans="1:11" x14ac:dyDescent="0.3">
      <c r="A723" s="12" t="s">
        <v>4175</v>
      </c>
      <c r="B723" s="12" t="s">
        <v>4215</v>
      </c>
      <c r="C723" s="12" t="s">
        <v>4227</v>
      </c>
      <c r="D723" s="12"/>
      <c r="E723" s="12">
        <v>3</v>
      </c>
      <c r="F723" s="12" t="s">
        <v>4228</v>
      </c>
      <c r="G723" s="12">
        <v>3</v>
      </c>
      <c r="H723" s="12">
        <v>0</v>
      </c>
      <c r="I723" s="12"/>
      <c r="J723" s="12" t="s">
        <v>4229</v>
      </c>
      <c r="K723" s="12" t="s">
        <v>4230</v>
      </c>
    </row>
    <row r="724" spans="1:11" x14ac:dyDescent="0.3">
      <c r="A724" s="12" t="s">
        <v>4231</v>
      </c>
      <c r="B724" s="12" t="s">
        <v>4232</v>
      </c>
      <c r="C724" s="12"/>
      <c r="D724" s="12"/>
      <c r="E724" s="12">
        <v>2</v>
      </c>
      <c r="F724" s="12" t="s">
        <v>4233</v>
      </c>
      <c r="G724" s="12">
        <v>382</v>
      </c>
      <c r="H724" s="12">
        <v>0</v>
      </c>
      <c r="I724" s="12"/>
      <c r="J724" s="12" t="s">
        <v>4234</v>
      </c>
      <c r="K724" s="12" t="s">
        <v>4235</v>
      </c>
    </row>
    <row r="725" spans="1:11" x14ac:dyDescent="0.3">
      <c r="A725" s="12" t="s">
        <v>4231</v>
      </c>
      <c r="B725" s="12" t="s">
        <v>4236</v>
      </c>
      <c r="C725" s="12"/>
      <c r="D725" s="12"/>
      <c r="E725" s="12">
        <v>2</v>
      </c>
      <c r="F725" s="12" t="s">
        <v>4237</v>
      </c>
      <c r="G725" s="12">
        <v>62</v>
      </c>
      <c r="H725" s="12">
        <v>0</v>
      </c>
      <c r="I725" s="12"/>
      <c r="J725" s="12" t="s">
        <v>4238</v>
      </c>
      <c r="K725" s="12" t="s">
        <v>4239</v>
      </c>
    </row>
    <row r="726" spans="1:11" x14ac:dyDescent="0.3">
      <c r="A726" s="12" t="s">
        <v>4231</v>
      </c>
      <c r="B726" s="12" t="s">
        <v>4240</v>
      </c>
      <c r="C726" s="12"/>
      <c r="D726" s="12"/>
      <c r="E726" s="12">
        <v>2</v>
      </c>
      <c r="F726" s="12" t="s">
        <v>4241</v>
      </c>
      <c r="G726" s="12">
        <v>37</v>
      </c>
      <c r="H726" s="12">
        <v>0</v>
      </c>
      <c r="I726" s="12"/>
      <c r="J726" s="12" t="s">
        <v>4242</v>
      </c>
      <c r="K726" s="12" t="s">
        <v>4243</v>
      </c>
    </row>
    <row r="727" spans="1:11" x14ac:dyDescent="0.3">
      <c r="A727" s="12" t="s">
        <v>4231</v>
      </c>
      <c r="B727" s="12" t="s">
        <v>4244</v>
      </c>
      <c r="C727" s="12"/>
      <c r="D727" s="12"/>
      <c r="E727" s="12">
        <v>2</v>
      </c>
      <c r="F727" s="12" t="s">
        <v>4245</v>
      </c>
      <c r="G727" s="12">
        <v>9</v>
      </c>
      <c r="H727" s="12">
        <v>0</v>
      </c>
      <c r="I727" s="12"/>
      <c r="J727" s="12" t="s">
        <v>4246</v>
      </c>
      <c r="K727" s="12" t="s">
        <v>4247</v>
      </c>
    </row>
    <row r="728" spans="1:11" x14ac:dyDescent="0.3">
      <c r="A728" s="12" t="s">
        <v>4231</v>
      </c>
      <c r="B728" s="12" t="s">
        <v>4248</v>
      </c>
      <c r="C728" s="12"/>
      <c r="D728" s="12"/>
      <c r="E728" s="12">
        <v>2</v>
      </c>
      <c r="F728" s="12" t="s">
        <v>4249</v>
      </c>
      <c r="G728" s="12">
        <v>15</v>
      </c>
      <c r="H728" s="12">
        <v>0</v>
      </c>
      <c r="I728" s="12"/>
      <c r="J728" s="12" t="s">
        <v>4250</v>
      </c>
      <c r="K728" s="12" t="s">
        <v>4251</v>
      </c>
    </row>
    <row r="729" spans="1:11" x14ac:dyDescent="0.3">
      <c r="A729" s="12" t="s">
        <v>4231</v>
      </c>
      <c r="B729" s="12" t="s">
        <v>4252</v>
      </c>
      <c r="C729" s="12"/>
      <c r="D729" s="12"/>
      <c r="E729" s="12">
        <v>2</v>
      </c>
      <c r="F729" s="12" t="s">
        <v>4253</v>
      </c>
      <c r="G729" s="12">
        <v>201</v>
      </c>
      <c r="H729" s="12">
        <v>0</v>
      </c>
      <c r="I729" s="12"/>
      <c r="J729" s="12" t="s">
        <v>4254</v>
      </c>
      <c r="K729" s="12" t="s">
        <v>4255</v>
      </c>
    </row>
    <row r="730" spans="1:11" x14ac:dyDescent="0.3">
      <c r="A730" s="12" t="s">
        <v>4231</v>
      </c>
      <c r="B730" s="12" t="s">
        <v>4256</v>
      </c>
      <c r="C730" s="12"/>
      <c r="D730" s="12"/>
      <c r="E730" s="12">
        <v>2</v>
      </c>
      <c r="F730" s="12" t="s">
        <v>4257</v>
      </c>
      <c r="G730" s="12">
        <v>49</v>
      </c>
      <c r="H730" s="12">
        <v>0</v>
      </c>
      <c r="I730" s="12"/>
      <c r="J730" s="12" t="s">
        <v>4258</v>
      </c>
      <c r="K730" s="12" t="s">
        <v>4259</v>
      </c>
    </row>
    <row r="731" spans="1:11" x14ac:dyDescent="0.3">
      <c r="A731" s="12" t="s">
        <v>4231</v>
      </c>
      <c r="B731" s="12" t="s">
        <v>4260</v>
      </c>
      <c r="C731" s="12"/>
      <c r="D731" s="12"/>
      <c r="E731" s="12">
        <v>2</v>
      </c>
      <c r="F731" s="12" t="s">
        <v>4261</v>
      </c>
      <c r="G731" s="12">
        <v>332</v>
      </c>
      <c r="H731" s="12">
        <v>0</v>
      </c>
      <c r="I731" s="12"/>
      <c r="J731" s="12" t="s">
        <v>4262</v>
      </c>
      <c r="K731" s="12" t="s">
        <v>4263</v>
      </c>
    </row>
    <row r="732" spans="1:11" x14ac:dyDescent="0.3">
      <c r="A732" s="12" t="s">
        <v>4231</v>
      </c>
      <c r="B732" s="12" t="s">
        <v>4264</v>
      </c>
      <c r="C732" s="12"/>
      <c r="D732" s="12"/>
      <c r="E732" s="12">
        <v>2</v>
      </c>
      <c r="F732" s="12" t="s">
        <v>4265</v>
      </c>
      <c r="G732" s="12">
        <v>349</v>
      </c>
      <c r="H732" s="12">
        <v>0</v>
      </c>
      <c r="I732" s="12"/>
      <c r="J732" s="12" t="s">
        <v>4266</v>
      </c>
      <c r="K732" s="12" t="s">
        <v>4267</v>
      </c>
    </row>
    <row r="733" spans="1:11" x14ac:dyDescent="0.3">
      <c r="A733" s="12" t="s">
        <v>4231</v>
      </c>
      <c r="B733" s="12" t="s">
        <v>4268</v>
      </c>
      <c r="C733" s="12"/>
      <c r="D733" s="12"/>
      <c r="E733" s="12">
        <v>2</v>
      </c>
      <c r="F733" s="12" t="s">
        <v>4269</v>
      </c>
      <c r="G733" s="12">
        <v>106</v>
      </c>
      <c r="H733" s="12">
        <v>0</v>
      </c>
      <c r="I733" s="12"/>
      <c r="J733" s="12" t="s">
        <v>4270</v>
      </c>
      <c r="K733" s="12" t="s">
        <v>4271</v>
      </c>
    </row>
    <row r="734" spans="1:11" x14ac:dyDescent="0.3">
      <c r="A734" s="12" t="s">
        <v>4231</v>
      </c>
      <c r="B734" s="12" t="s">
        <v>4272</v>
      </c>
      <c r="C734" s="12"/>
      <c r="D734" s="12"/>
      <c r="E734" s="12">
        <v>2</v>
      </c>
      <c r="F734" s="12" t="s">
        <v>4273</v>
      </c>
      <c r="G734" s="12">
        <v>49</v>
      </c>
      <c r="H734" s="12">
        <v>0</v>
      </c>
      <c r="I734" s="12"/>
      <c r="J734" s="12" t="s">
        <v>4274</v>
      </c>
      <c r="K734" s="12" t="s">
        <v>4275</v>
      </c>
    </row>
    <row r="735" spans="1:11" x14ac:dyDescent="0.3">
      <c r="A735" s="12" t="s">
        <v>4231</v>
      </c>
      <c r="B735" s="12" t="s">
        <v>4276</v>
      </c>
      <c r="C735" s="12"/>
      <c r="D735" s="12"/>
      <c r="E735" s="12">
        <v>2</v>
      </c>
      <c r="F735" s="12" t="s">
        <v>4277</v>
      </c>
      <c r="G735" s="12">
        <v>110</v>
      </c>
      <c r="H735" s="12">
        <v>0</v>
      </c>
      <c r="I735" s="12"/>
      <c r="J735" s="12" t="s">
        <v>4278</v>
      </c>
      <c r="K735" s="12" t="s">
        <v>4279</v>
      </c>
    </row>
    <row r="736" spans="1:11" x14ac:dyDescent="0.3">
      <c r="A736" s="12" t="s">
        <v>759</v>
      </c>
      <c r="B736" s="12" t="s">
        <v>4280</v>
      </c>
      <c r="C736" s="12"/>
      <c r="D736" s="12"/>
      <c r="E736" s="12">
        <v>2</v>
      </c>
      <c r="F736" s="12" t="s">
        <v>4281</v>
      </c>
      <c r="G736" s="12">
        <v>520</v>
      </c>
      <c r="H736" s="12">
        <v>0</v>
      </c>
      <c r="I736" s="12"/>
      <c r="J736" s="12" t="s">
        <v>4282</v>
      </c>
      <c r="K736" s="12" t="s">
        <v>4283</v>
      </c>
    </row>
    <row r="737" spans="1:11" x14ac:dyDescent="0.3">
      <c r="A737" s="12" t="s">
        <v>759</v>
      </c>
      <c r="B737" s="12" t="s">
        <v>4284</v>
      </c>
      <c r="C737" s="12"/>
      <c r="D737" s="12"/>
      <c r="E737" s="12">
        <v>2</v>
      </c>
      <c r="F737" s="12" t="s">
        <v>4285</v>
      </c>
      <c r="G737" s="12">
        <v>875</v>
      </c>
      <c r="H737" s="12">
        <v>0</v>
      </c>
      <c r="I737" s="12"/>
      <c r="J737" s="12" t="s">
        <v>4286</v>
      </c>
      <c r="K737" s="12" t="s">
        <v>4287</v>
      </c>
    </row>
    <row r="738" spans="1:11" x14ac:dyDescent="0.3">
      <c r="A738" s="12" t="s">
        <v>759</v>
      </c>
      <c r="B738" s="12" t="s">
        <v>760</v>
      </c>
      <c r="C738" s="12" t="s">
        <v>869</v>
      </c>
      <c r="D738" s="12"/>
      <c r="E738" s="12">
        <v>3</v>
      </c>
      <c r="F738" s="12" t="s">
        <v>287</v>
      </c>
      <c r="G738" s="12">
        <v>1234</v>
      </c>
      <c r="H738" s="12">
        <v>0</v>
      </c>
      <c r="I738" s="3" t="s">
        <v>285</v>
      </c>
      <c r="J738" s="12" t="s">
        <v>286</v>
      </c>
      <c r="K738" s="12" t="s">
        <v>490</v>
      </c>
    </row>
    <row r="739" spans="1:11" x14ac:dyDescent="0.3">
      <c r="A739" s="12" t="s">
        <v>759</v>
      </c>
      <c r="B739" s="12" t="s">
        <v>760</v>
      </c>
      <c r="C739" s="12" t="s">
        <v>4288</v>
      </c>
      <c r="D739" s="12"/>
      <c r="E739" s="12">
        <v>3</v>
      </c>
      <c r="F739" s="12" t="s">
        <v>4289</v>
      </c>
      <c r="G739" s="12">
        <v>44</v>
      </c>
      <c r="H739" s="12">
        <v>0</v>
      </c>
      <c r="I739" s="12"/>
      <c r="J739" s="12" t="s">
        <v>4290</v>
      </c>
      <c r="K739" s="12" t="s">
        <v>4291</v>
      </c>
    </row>
    <row r="740" spans="1:11" x14ac:dyDescent="0.3">
      <c r="A740" s="12" t="s">
        <v>759</v>
      </c>
      <c r="B740" s="12" t="s">
        <v>760</v>
      </c>
      <c r="C740" s="12" t="s">
        <v>761</v>
      </c>
      <c r="D740" s="12"/>
      <c r="E740" s="12">
        <v>3</v>
      </c>
      <c r="F740" s="12" t="s">
        <v>275</v>
      </c>
      <c r="G740" s="12">
        <v>1037</v>
      </c>
      <c r="H740" s="12">
        <v>1016</v>
      </c>
      <c r="I740" s="3" t="s">
        <v>274</v>
      </c>
      <c r="J740" s="12" t="s">
        <v>20</v>
      </c>
      <c r="K740" s="12" t="s">
        <v>311</v>
      </c>
    </row>
    <row r="741" spans="1:11" x14ac:dyDescent="0.3">
      <c r="A741" s="12" t="s">
        <v>759</v>
      </c>
      <c r="B741" s="12" t="s">
        <v>4292</v>
      </c>
      <c r="C741" s="12" t="s">
        <v>4293</v>
      </c>
      <c r="D741" s="12"/>
      <c r="E741" s="12">
        <v>3</v>
      </c>
      <c r="F741" s="12" t="s">
        <v>4294</v>
      </c>
      <c r="G741" s="12">
        <v>182</v>
      </c>
      <c r="H741" s="12">
        <v>0</v>
      </c>
      <c r="I741" s="12"/>
      <c r="J741" s="12" t="s">
        <v>4295</v>
      </c>
      <c r="K741" s="12" t="s">
        <v>4296</v>
      </c>
    </row>
    <row r="742" spans="1:11" x14ac:dyDescent="0.3">
      <c r="A742" s="12" t="s">
        <v>759</v>
      </c>
      <c r="B742" s="12" t="s">
        <v>4292</v>
      </c>
      <c r="C742" s="12" t="s">
        <v>4297</v>
      </c>
      <c r="D742" s="12"/>
      <c r="E742" s="12">
        <v>3</v>
      </c>
      <c r="F742" s="12" t="s">
        <v>4298</v>
      </c>
      <c r="G742" s="12">
        <v>81</v>
      </c>
      <c r="H742" s="12">
        <v>0</v>
      </c>
      <c r="I742" s="12"/>
      <c r="J742" s="12" t="s">
        <v>4299</v>
      </c>
      <c r="K742" s="12" t="s">
        <v>4300</v>
      </c>
    </row>
    <row r="743" spans="1:11" x14ac:dyDescent="0.3">
      <c r="A743" s="12" t="s">
        <v>759</v>
      </c>
      <c r="B743" s="12" t="s">
        <v>4292</v>
      </c>
      <c r="C743" s="12" t="s">
        <v>4301</v>
      </c>
      <c r="D743" s="12"/>
      <c r="E743" s="12">
        <v>3</v>
      </c>
      <c r="F743" s="12" t="s">
        <v>4302</v>
      </c>
      <c r="G743" s="12">
        <v>60</v>
      </c>
      <c r="H743" s="12">
        <v>0</v>
      </c>
      <c r="I743" s="12"/>
      <c r="J743" s="12" t="s">
        <v>4303</v>
      </c>
      <c r="K743" s="12" t="s">
        <v>4304</v>
      </c>
    </row>
    <row r="744" spans="1:11" x14ac:dyDescent="0.3">
      <c r="A744" s="12" t="s">
        <v>759</v>
      </c>
      <c r="B744" s="12" t="s">
        <v>4292</v>
      </c>
      <c r="C744" s="12" t="s">
        <v>4305</v>
      </c>
      <c r="D744" s="12"/>
      <c r="E744" s="12">
        <v>3</v>
      </c>
      <c r="F744" s="12" t="s">
        <v>4306</v>
      </c>
      <c r="G744" s="12">
        <v>128</v>
      </c>
      <c r="H744" s="12">
        <v>0</v>
      </c>
      <c r="I744" s="12"/>
      <c r="J744" s="12" t="s">
        <v>4307</v>
      </c>
      <c r="K744" s="12" t="s">
        <v>4308</v>
      </c>
    </row>
    <row r="745" spans="1:11" x14ac:dyDescent="0.3">
      <c r="A745" s="12" t="s">
        <v>759</v>
      </c>
      <c r="B745" s="12" t="s">
        <v>4292</v>
      </c>
      <c r="C745" s="12" t="s">
        <v>4309</v>
      </c>
      <c r="D745" s="12"/>
      <c r="E745" s="12">
        <v>3</v>
      </c>
      <c r="F745" s="12" t="s">
        <v>4310</v>
      </c>
      <c r="G745" s="12">
        <v>43</v>
      </c>
      <c r="H745" s="12">
        <v>0</v>
      </c>
      <c r="I745" s="12"/>
      <c r="J745" s="12" t="s">
        <v>4311</v>
      </c>
      <c r="K745" s="12" t="s">
        <v>4312</v>
      </c>
    </row>
    <row r="746" spans="1:11" x14ac:dyDescent="0.3">
      <c r="A746" s="12" t="s">
        <v>759</v>
      </c>
      <c r="B746" s="12" t="s">
        <v>4313</v>
      </c>
      <c r="C746" s="12"/>
      <c r="D746" s="12"/>
      <c r="E746" s="12">
        <v>2</v>
      </c>
      <c r="F746" s="12" t="s">
        <v>4314</v>
      </c>
      <c r="G746" s="12">
        <v>902</v>
      </c>
      <c r="H746" s="12">
        <v>0</v>
      </c>
      <c r="I746" s="12"/>
      <c r="J746" s="12" t="s">
        <v>4315</v>
      </c>
      <c r="K746" s="12" t="s">
        <v>4316</v>
      </c>
    </row>
    <row r="747" spans="1:11" x14ac:dyDescent="0.3">
      <c r="A747" s="12" t="s">
        <v>759</v>
      </c>
      <c r="B747" s="12" t="s">
        <v>766</v>
      </c>
      <c r="C747" s="12" t="s">
        <v>4317</v>
      </c>
      <c r="D747" s="12"/>
      <c r="E747" s="12">
        <v>3</v>
      </c>
      <c r="F747" s="12" t="s">
        <v>4318</v>
      </c>
      <c r="G747" s="12">
        <v>29</v>
      </c>
      <c r="H747" s="12">
        <v>0</v>
      </c>
      <c r="I747" s="12"/>
      <c r="J747" s="12" t="s">
        <v>4319</v>
      </c>
      <c r="K747" s="12" t="s">
        <v>4320</v>
      </c>
    </row>
    <row r="748" spans="1:11" x14ac:dyDescent="0.3">
      <c r="A748" s="12" t="s">
        <v>759</v>
      </c>
      <c r="B748" s="12" t="s">
        <v>766</v>
      </c>
      <c r="C748" s="12" t="s">
        <v>4321</v>
      </c>
      <c r="D748" s="12"/>
      <c r="E748" s="12">
        <v>3</v>
      </c>
      <c r="F748" s="12" t="s">
        <v>4322</v>
      </c>
      <c r="G748" s="12">
        <v>27</v>
      </c>
      <c r="H748" s="12">
        <v>0</v>
      </c>
      <c r="I748" s="12"/>
      <c r="J748" s="12" t="s">
        <v>4323</v>
      </c>
      <c r="K748" s="12" t="s">
        <v>4324</v>
      </c>
    </row>
    <row r="749" spans="1:11" x14ac:dyDescent="0.3">
      <c r="A749" s="12" t="s">
        <v>759</v>
      </c>
      <c r="B749" s="12" t="s">
        <v>766</v>
      </c>
      <c r="C749" s="12" t="s">
        <v>4325</v>
      </c>
      <c r="D749" s="12"/>
      <c r="E749" s="12">
        <v>3</v>
      </c>
      <c r="F749" s="12" t="s">
        <v>4326</v>
      </c>
      <c r="G749" s="12">
        <v>81</v>
      </c>
      <c r="H749" s="12">
        <v>0</v>
      </c>
      <c r="I749" s="12"/>
      <c r="J749" s="12" t="s">
        <v>4327</v>
      </c>
      <c r="K749" s="12" t="s">
        <v>4328</v>
      </c>
    </row>
    <row r="750" spans="1:11" x14ac:dyDescent="0.3">
      <c r="A750" s="12" t="s">
        <v>759</v>
      </c>
      <c r="B750" s="12" t="s">
        <v>766</v>
      </c>
      <c r="C750" s="12" t="s">
        <v>4329</v>
      </c>
      <c r="D750" s="12"/>
      <c r="E750" s="12">
        <v>3</v>
      </c>
      <c r="F750" s="12" t="s">
        <v>4330</v>
      </c>
      <c r="G750" s="12">
        <v>51</v>
      </c>
      <c r="H750" s="12">
        <v>0</v>
      </c>
      <c r="I750" s="12"/>
      <c r="J750" s="12" t="s">
        <v>4331</v>
      </c>
      <c r="K750" s="12" t="s">
        <v>4332</v>
      </c>
    </row>
    <row r="751" spans="1:11" x14ac:dyDescent="0.3">
      <c r="A751" s="12" t="s">
        <v>759</v>
      </c>
      <c r="B751" s="12" t="s">
        <v>766</v>
      </c>
      <c r="C751" s="12" t="s">
        <v>767</v>
      </c>
      <c r="D751" s="12"/>
      <c r="E751" s="12">
        <v>3</v>
      </c>
      <c r="F751" s="12" t="s">
        <v>312</v>
      </c>
      <c r="G751" s="12">
        <v>342</v>
      </c>
      <c r="H751" s="12">
        <v>0</v>
      </c>
      <c r="I751" s="3" t="s">
        <v>765</v>
      </c>
      <c r="J751" s="12" t="s">
        <v>24</v>
      </c>
      <c r="K751" s="12" t="s">
        <v>317</v>
      </c>
    </row>
    <row r="752" spans="1:11" x14ac:dyDescent="0.3">
      <c r="A752" s="12" t="s">
        <v>759</v>
      </c>
      <c r="B752" s="12" t="s">
        <v>766</v>
      </c>
      <c r="C752" s="12" t="s">
        <v>852</v>
      </c>
      <c r="D752" s="12"/>
      <c r="E752" s="12">
        <v>3</v>
      </c>
      <c r="F752" s="12" t="s">
        <v>853</v>
      </c>
      <c r="G752" s="12">
        <v>82</v>
      </c>
      <c r="H752" s="12">
        <v>0</v>
      </c>
      <c r="I752" s="3" t="s">
        <v>850</v>
      </c>
      <c r="J752" s="12" t="s">
        <v>851</v>
      </c>
      <c r="K752" s="12" t="s">
        <v>4333</v>
      </c>
    </row>
    <row r="753" spans="1:11" x14ac:dyDescent="0.3">
      <c r="A753" s="12" t="s">
        <v>759</v>
      </c>
      <c r="B753" s="12" t="s">
        <v>766</v>
      </c>
      <c r="C753" s="12" t="s">
        <v>4334</v>
      </c>
      <c r="D753" s="12"/>
      <c r="E753" s="12">
        <v>3</v>
      </c>
      <c r="F753" s="12" t="s">
        <v>4335</v>
      </c>
      <c r="G753" s="12">
        <v>51</v>
      </c>
      <c r="H753" s="12">
        <v>0</v>
      </c>
      <c r="I753" s="12"/>
      <c r="J753" s="12" t="s">
        <v>4336</v>
      </c>
      <c r="K753" s="12" t="s">
        <v>4337</v>
      </c>
    </row>
    <row r="754" spans="1:11" x14ac:dyDescent="0.3">
      <c r="A754" s="12" t="s">
        <v>759</v>
      </c>
      <c r="B754" s="12" t="s">
        <v>766</v>
      </c>
      <c r="C754" s="12" t="s">
        <v>4338</v>
      </c>
      <c r="D754" s="12"/>
      <c r="E754" s="12">
        <v>3</v>
      </c>
      <c r="F754" s="12" t="s">
        <v>4339</v>
      </c>
      <c r="G754" s="12">
        <v>165</v>
      </c>
      <c r="H754" s="12">
        <v>0</v>
      </c>
      <c r="I754" s="12"/>
      <c r="J754" s="12" t="s">
        <v>4340</v>
      </c>
      <c r="K754" s="12" t="s">
        <v>4341</v>
      </c>
    </row>
    <row r="755" spans="1:11" x14ac:dyDescent="0.3">
      <c r="A755" s="12" t="s">
        <v>759</v>
      </c>
      <c r="B755" s="12" t="s">
        <v>766</v>
      </c>
      <c r="C755" s="12" t="s">
        <v>4342</v>
      </c>
      <c r="D755" s="12"/>
      <c r="E755" s="12">
        <v>3</v>
      </c>
      <c r="F755" s="12" t="s">
        <v>4343</v>
      </c>
      <c r="G755" s="12">
        <v>21</v>
      </c>
      <c r="H755" s="12">
        <v>0</v>
      </c>
      <c r="I755" s="12"/>
      <c r="J755" s="12" t="s">
        <v>4344</v>
      </c>
      <c r="K755" s="12" t="s">
        <v>4345</v>
      </c>
    </row>
    <row r="756" spans="1:11" x14ac:dyDescent="0.3">
      <c r="A756" s="12" t="s">
        <v>759</v>
      </c>
      <c r="B756" s="12" t="s">
        <v>766</v>
      </c>
      <c r="C756" s="12" t="s">
        <v>4346</v>
      </c>
      <c r="D756" s="12"/>
      <c r="E756" s="12">
        <v>3</v>
      </c>
      <c r="F756" s="12" t="s">
        <v>4347</v>
      </c>
      <c r="G756" s="12">
        <v>172</v>
      </c>
      <c r="H756" s="12">
        <v>0</v>
      </c>
      <c r="I756" s="12"/>
      <c r="J756" s="12" t="s">
        <v>4348</v>
      </c>
      <c r="K756" s="12" t="s">
        <v>4349</v>
      </c>
    </row>
    <row r="757" spans="1:11" x14ac:dyDescent="0.3">
      <c r="A757" s="12" t="s">
        <v>759</v>
      </c>
      <c r="B757" s="12" t="s">
        <v>766</v>
      </c>
      <c r="C757" s="12" t="s">
        <v>4350</v>
      </c>
      <c r="D757" s="12"/>
      <c r="E757" s="12">
        <v>3</v>
      </c>
      <c r="F757" s="12" t="s">
        <v>4351</v>
      </c>
      <c r="G757" s="12">
        <v>41</v>
      </c>
      <c r="H757" s="12">
        <v>0</v>
      </c>
      <c r="I757" s="12"/>
      <c r="J757" s="12" t="s">
        <v>4352</v>
      </c>
      <c r="K757" s="12" t="s">
        <v>4353</v>
      </c>
    </row>
    <row r="758" spans="1:11" x14ac:dyDescent="0.3">
      <c r="A758" s="12" t="s">
        <v>759</v>
      </c>
      <c r="B758" s="12" t="s">
        <v>766</v>
      </c>
      <c r="C758" s="12" t="s">
        <v>4354</v>
      </c>
      <c r="D758" s="12"/>
      <c r="E758" s="12">
        <v>3</v>
      </c>
      <c r="F758" s="12" t="s">
        <v>4355</v>
      </c>
      <c r="G758" s="12">
        <v>97</v>
      </c>
      <c r="H758" s="12">
        <v>0</v>
      </c>
      <c r="I758" s="12"/>
      <c r="J758" s="12" t="s">
        <v>4356</v>
      </c>
      <c r="K758" s="12" t="s">
        <v>4357</v>
      </c>
    </row>
    <row r="759" spans="1:11" x14ac:dyDescent="0.3">
      <c r="A759" s="12" t="s">
        <v>759</v>
      </c>
      <c r="B759" s="12" t="s">
        <v>4358</v>
      </c>
      <c r="C759" s="12" t="s">
        <v>4359</v>
      </c>
      <c r="D759" s="12"/>
      <c r="E759" s="12">
        <v>3</v>
      </c>
      <c r="F759" s="12" t="s">
        <v>4360</v>
      </c>
      <c r="G759" s="12">
        <v>595</v>
      </c>
      <c r="H759" s="12">
        <v>0</v>
      </c>
      <c r="I759" s="12"/>
      <c r="J759" s="12" t="s">
        <v>4361</v>
      </c>
      <c r="K759" s="12" t="s">
        <v>4362</v>
      </c>
    </row>
    <row r="760" spans="1:11" x14ac:dyDescent="0.3">
      <c r="A760" s="12" t="s">
        <v>759</v>
      </c>
      <c r="B760" s="12" t="s">
        <v>4358</v>
      </c>
      <c r="C760" s="12" t="s">
        <v>4363</v>
      </c>
      <c r="D760" s="12"/>
      <c r="E760" s="12">
        <v>3</v>
      </c>
      <c r="F760" s="12" t="s">
        <v>4364</v>
      </c>
      <c r="G760" s="12">
        <v>458</v>
      </c>
      <c r="H760" s="12">
        <v>0</v>
      </c>
      <c r="I760" s="12"/>
      <c r="J760" s="12" t="s">
        <v>4365</v>
      </c>
      <c r="K760" s="12" t="s">
        <v>4366</v>
      </c>
    </row>
    <row r="761" spans="1:11" x14ac:dyDescent="0.3">
      <c r="A761" s="12" t="s">
        <v>759</v>
      </c>
      <c r="B761" s="12" t="s">
        <v>4358</v>
      </c>
      <c r="C761" s="12" t="s">
        <v>4367</v>
      </c>
      <c r="D761" s="12"/>
      <c r="E761" s="12">
        <v>3</v>
      </c>
      <c r="F761" s="12" t="s">
        <v>4368</v>
      </c>
      <c r="G761" s="12">
        <v>902</v>
      </c>
      <c r="H761" s="12">
        <v>0</v>
      </c>
      <c r="I761" s="12"/>
      <c r="J761" s="12" t="s">
        <v>4369</v>
      </c>
      <c r="K761" s="12" t="s">
        <v>4370</v>
      </c>
    </row>
    <row r="762" spans="1:11" x14ac:dyDescent="0.3">
      <c r="A762" s="12" t="s">
        <v>759</v>
      </c>
      <c r="B762" s="12" t="s">
        <v>4358</v>
      </c>
      <c r="C762" s="12" t="s">
        <v>4371</v>
      </c>
      <c r="D762" s="12"/>
      <c r="E762" s="12">
        <v>3</v>
      </c>
      <c r="F762" s="12" t="s">
        <v>4372</v>
      </c>
      <c r="G762" s="12">
        <v>410</v>
      </c>
      <c r="H762" s="12">
        <v>0</v>
      </c>
      <c r="I762" s="12"/>
      <c r="J762" s="12" t="s">
        <v>4373</v>
      </c>
      <c r="K762" s="12" t="s">
        <v>4374</v>
      </c>
    </row>
    <row r="763" spans="1:11" x14ac:dyDescent="0.3">
      <c r="A763" s="12" t="s">
        <v>759</v>
      </c>
      <c r="B763" s="12" t="s">
        <v>4358</v>
      </c>
      <c r="C763" s="12" t="s">
        <v>4375</v>
      </c>
      <c r="D763" s="12"/>
      <c r="E763" s="12">
        <v>3</v>
      </c>
      <c r="F763" s="12" t="s">
        <v>4376</v>
      </c>
      <c r="G763" s="12">
        <v>204</v>
      </c>
      <c r="H763" s="12">
        <v>0</v>
      </c>
      <c r="I763" s="12"/>
      <c r="J763" s="12" t="s">
        <v>4377</v>
      </c>
      <c r="K763" s="12" t="s">
        <v>4378</v>
      </c>
    </row>
    <row r="764" spans="1:11" x14ac:dyDescent="0.3">
      <c r="A764" s="12" t="s">
        <v>759</v>
      </c>
      <c r="B764" s="12" t="s">
        <v>4358</v>
      </c>
      <c r="C764" s="12" t="s">
        <v>4379</v>
      </c>
      <c r="D764" s="12"/>
      <c r="E764" s="12">
        <v>3</v>
      </c>
      <c r="F764" s="12" t="s">
        <v>4380</v>
      </c>
      <c r="G764" s="12">
        <v>111</v>
      </c>
      <c r="H764" s="12">
        <v>0</v>
      </c>
      <c r="I764" s="12"/>
      <c r="J764" s="12" t="s">
        <v>4381</v>
      </c>
      <c r="K764" s="12" t="s">
        <v>4382</v>
      </c>
    </row>
    <row r="765" spans="1:11" x14ac:dyDescent="0.3">
      <c r="A765" s="12" t="s">
        <v>759</v>
      </c>
      <c r="B765" s="12" t="s">
        <v>4358</v>
      </c>
      <c r="C765" s="12" t="s">
        <v>4383</v>
      </c>
      <c r="D765" s="12"/>
      <c r="E765" s="12">
        <v>3</v>
      </c>
      <c r="F765" s="12" t="s">
        <v>4384</v>
      </c>
      <c r="G765" s="12">
        <v>292</v>
      </c>
      <c r="H765" s="12">
        <v>0</v>
      </c>
      <c r="I765" s="12"/>
      <c r="J765" s="12" t="s">
        <v>4385</v>
      </c>
      <c r="K765" s="12" t="s">
        <v>4386</v>
      </c>
    </row>
    <row r="766" spans="1:11" x14ac:dyDescent="0.3">
      <c r="A766" s="12" t="s">
        <v>759</v>
      </c>
      <c r="B766" s="12" t="s">
        <v>4358</v>
      </c>
      <c r="C766" s="12" t="s">
        <v>4387</v>
      </c>
      <c r="D766" s="12" t="s">
        <v>4388</v>
      </c>
      <c r="E766" s="12">
        <v>4</v>
      </c>
      <c r="F766" s="12" t="s">
        <v>4389</v>
      </c>
      <c r="G766" s="12">
        <v>447</v>
      </c>
      <c r="H766" s="12">
        <v>0</v>
      </c>
      <c r="I766" s="12"/>
      <c r="J766" s="12" t="s">
        <v>4390</v>
      </c>
      <c r="K766" s="12" t="s">
        <v>4391</v>
      </c>
    </row>
    <row r="767" spans="1:11" x14ac:dyDescent="0.3">
      <c r="A767" s="12" t="s">
        <v>759</v>
      </c>
      <c r="B767" s="12" t="s">
        <v>4358</v>
      </c>
      <c r="C767" s="12" t="s">
        <v>4387</v>
      </c>
      <c r="D767" s="12" t="s">
        <v>4392</v>
      </c>
      <c r="E767" s="12">
        <v>4</v>
      </c>
      <c r="F767" s="12" t="s">
        <v>4393</v>
      </c>
      <c r="G767" s="12">
        <v>19</v>
      </c>
      <c r="H767" s="12">
        <v>0</v>
      </c>
      <c r="I767" s="12"/>
      <c r="J767" s="12" t="s">
        <v>4394</v>
      </c>
      <c r="K767" s="12" t="s">
        <v>4395</v>
      </c>
    </row>
    <row r="768" spans="1:11" x14ac:dyDescent="0.3">
      <c r="A768" s="12" t="s">
        <v>759</v>
      </c>
      <c r="B768" s="12" t="s">
        <v>4358</v>
      </c>
      <c r="C768" s="12" t="s">
        <v>4387</v>
      </c>
      <c r="D768" s="12" t="s">
        <v>4396</v>
      </c>
      <c r="E768" s="12">
        <v>4</v>
      </c>
      <c r="F768" s="12" t="s">
        <v>4397</v>
      </c>
      <c r="G768" s="12">
        <v>137</v>
      </c>
      <c r="H768" s="12">
        <v>0</v>
      </c>
      <c r="I768" s="12"/>
      <c r="J768" s="12" t="s">
        <v>4398</v>
      </c>
      <c r="K768" s="12" t="s">
        <v>4399</v>
      </c>
    </row>
    <row r="769" spans="1:11" x14ac:dyDescent="0.3">
      <c r="A769" s="12" t="s">
        <v>759</v>
      </c>
      <c r="B769" s="12" t="s">
        <v>4400</v>
      </c>
      <c r="C769" s="12" t="s">
        <v>4401</v>
      </c>
      <c r="D769" s="12"/>
      <c r="E769" s="12">
        <v>3</v>
      </c>
      <c r="F769" s="12" t="s">
        <v>4402</v>
      </c>
      <c r="G769" s="12">
        <v>144</v>
      </c>
      <c r="H769" s="12">
        <v>0</v>
      </c>
      <c r="I769" s="12"/>
      <c r="J769" s="12" t="s">
        <v>4403</v>
      </c>
      <c r="K769" s="12" t="s">
        <v>4404</v>
      </c>
    </row>
    <row r="770" spans="1:11" x14ac:dyDescent="0.3">
      <c r="A770" s="12" t="s">
        <v>759</v>
      </c>
      <c r="B770" s="12" t="s">
        <v>4400</v>
      </c>
      <c r="C770" s="12" t="s">
        <v>4405</v>
      </c>
      <c r="D770" s="12"/>
      <c r="E770" s="12">
        <v>3</v>
      </c>
      <c r="F770" s="12" t="s">
        <v>4406</v>
      </c>
      <c r="G770" s="12">
        <v>143</v>
      </c>
      <c r="H770" s="12">
        <v>0</v>
      </c>
      <c r="I770" s="12"/>
      <c r="J770" s="12" t="s">
        <v>4407</v>
      </c>
      <c r="K770" s="12" t="s">
        <v>4408</v>
      </c>
    </row>
    <row r="771" spans="1:11" x14ac:dyDescent="0.3">
      <c r="A771" s="12" t="s">
        <v>759</v>
      </c>
      <c r="B771" s="12" t="s">
        <v>4400</v>
      </c>
      <c r="C771" s="12" t="s">
        <v>4409</v>
      </c>
      <c r="D771" s="12"/>
      <c r="E771" s="12">
        <v>3</v>
      </c>
      <c r="F771" s="12" t="s">
        <v>4410</v>
      </c>
      <c r="G771" s="12">
        <v>6</v>
      </c>
      <c r="H771" s="12">
        <v>0</v>
      </c>
      <c r="I771" s="12"/>
      <c r="J771" s="12" t="s">
        <v>4411</v>
      </c>
      <c r="K771" s="12" t="s">
        <v>4412</v>
      </c>
    </row>
    <row r="772" spans="1:11" x14ac:dyDescent="0.3">
      <c r="A772" s="12" t="s">
        <v>759</v>
      </c>
      <c r="B772" s="12" t="s">
        <v>4400</v>
      </c>
      <c r="C772" s="12" t="s">
        <v>4413</v>
      </c>
      <c r="D772" s="12"/>
      <c r="E772" s="12">
        <v>3</v>
      </c>
      <c r="F772" s="12" t="s">
        <v>4414</v>
      </c>
      <c r="G772" s="12">
        <v>112</v>
      </c>
      <c r="H772" s="12">
        <v>0</v>
      </c>
      <c r="I772" s="12"/>
      <c r="J772" s="12" t="s">
        <v>4415</v>
      </c>
      <c r="K772" s="12" t="s">
        <v>4416</v>
      </c>
    </row>
    <row r="773" spans="1:11" x14ac:dyDescent="0.3">
      <c r="A773" s="12" t="s">
        <v>759</v>
      </c>
      <c r="B773" s="12" t="s">
        <v>4400</v>
      </c>
      <c r="C773" s="12" t="s">
        <v>4417</v>
      </c>
      <c r="D773" s="12"/>
      <c r="E773" s="12">
        <v>3</v>
      </c>
      <c r="F773" s="12" t="s">
        <v>4418</v>
      </c>
      <c r="G773" s="12">
        <v>62</v>
      </c>
      <c r="H773" s="12">
        <v>0</v>
      </c>
      <c r="I773" s="12"/>
      <c r="J773" s="12" t="s">
        <v>4419</v>
      </c>
      <c r="K773" s="12" t="s">
        <v>4420</v>
      </c>
    </row>
    <row r="774" spans="1:11" x14ac:dyDescent="0.3">
      <c r="A774" s="12" t="s">
        <v>759</v>
      </c>
      <c r="B774" s="12" t="s">
        <v>4400</v>
      </c>
      <c r="C774" s="12" t="s">
        <v>4421</v>
      </c>
      <c r="D774" s="12"/>
      <c r="E774" s="12">
        <v>3</v>
      </c>
      <c r="F774" s="12" t="s">
        <v>4422</v>
      </c>
      <c r="G774" s="12">
        <v>144</v>
      </c>
      <c r="H774" s="12">
        <v>0</v>
      </c>
      <c r="I774" s="12"/>
      <c r="J774" s="12" t="s">
        <v>4423</v>
      </c>
      <c r="K774" s="12" t="s">
        <v>4424</v>
      </c>
    </row>
    <row r="775" spans="1:11" x14ac:dyDescent="0.3">
      <c r="A775" s="12" t="s">
        <v>759</v>
      </c>
      <c r="B775" s="12" t="s">
        <v>876</v>
      </c>
      <c r="C775" s="12" t="s">
        <v>4425</v>
      </c>
      <c r="D775" s="12"/>
      <c r="E775" s="12">
        <v>3</v>
      </c>
      <c r="F775" s="12" t="s">
        <v>4426</v>
      </c>
      <c r="G775" s="12">
        <v>85</v>
      </c>
      <c r="H775" s="12">
        <v>50</v>
      </c>
      <c r="I775" s="12"/>
      <c r="J775" s="12" t="s">
        <v>4427</v>
      </c>
      <c r="K775" s="12" t="s">
        <v>4428</v>
      </c>
    </row>
    <row r="776" spans="1:11" x14ac:dyDescent="0.3">
      <c r="A776" s="12" t="s">
        <v>759</v>
      </c>
      <c r="B776" s="12" t="s">
        <v>876</v>
      </c>
      <c r="C776" s="12" t="s">
        <v>4429</v>
      </c>
      <c r="D776" s="12"/>
      <c r="E776" s="12">
        <v>3</v>
      </c>
      <c r="F776" s="12" t="s">
        <v>4430</v>
      </c>
      <c r="G776" s="12">
        <v>427</v>
      </c>
      <c r="H776" s="12">
        <v>400</v>
      </c>
      <c r="I776" s="12"/>
      <c r="J776" s="12" t="s">
        <v>4431</v>
      </c>
      <c r="K776" s="12" t="s">
        <v>4432</v>
      </c>
    </row>
    <row r="777" spans="1:11" x14ac:dyDescent="0.3">
      <c r="A777" s="12" t="s">
        <v>759</v>
      </c>
      <c r="B777" s="12" t="s">
        <v>876</v>
      </c>
      <c r="C777" s="12" t="s">
        <v>877</v>
      </c>
      <c r="D777" s="12"/>
      <c r="E777" s="12">
        <v>3</v>
      </c>
      <c r="F777" s="12" t="s">
        <v>259</v>
      </c>
      <c r="G777" s="12">
        <v>148</v>
      </c>
      <c r="H777" s="12">
        <v>103</v>
      </c>
      <c r="I777" s="3" t="s">
        <v>257</v>
      </c>
      <c r="J777" s="12" t="s">
        <v>258</v>
      </c>
      <c r="K777" s="12" t="s">
        <v>509</v>
      </c>
    </row>
    <row r="778" spans="1:11" x14ac:dyDescent="0.3">
      <c r="A778" s="12" t="s">
        <v>759</v>
      </c>
      <c r="B778" s="12" t="s">
        <v>1000</v>
      </c>
      <c r="C778" s="12"/>
      <c r="D778" s="12"/>
      <c r="E778" s="12">
        <v>2</v>
      </c>
      <c r="F778" s="12" t="s">
        <v>265</v>
      </c>
      <c r="G778" s="12">
        <v>11493</v>
      </c>
      <c r="H778" s="12">
        <v>9862</v>
      </c>
      <c r="I778" s="3" t="s">
        <v>263</v>
      </c>
      <c r="J778" s="12" t="s">
        <v>264</v>
      </c>
      <c r="K778" s="12" t="s">
        <v>4433</v>
      </c>
    </row>
    <row r="779" spans="1:11" x14ac:dyDescent="0.3">
      <c r="A779" s="12" t="s">
        <v>759</v>
      </c>
      <c r="B779" s="12" t="s">
        <v>4434</v>
      </c>
      <c r="C779" s="12" t="s">
        <v>4435</v>
      </c>
      <c r="D779" s="12"/>
      <c r="E779" s="12">
        <v>3</v>
      </c>
      <c r="F779" s="12" t="s">
        <v>4436</v>
      </c>
      <c r="G779" s="12">
        <v>31</v>
      </c>
      <c r="H779" s="12">
        <v>0</v>
      </c>
      <c r="I779" s="12"/>
      <c r="J779" s="12" t="s">
        <v>4437</v>
      </c>
      <c r="K779" s="12" t="s">
        <v>4438</v>
      </c>
    </row>
    <row r="780" spans="1:11" x14ac:dyDescent="0.3">
      <c r="A780" s="12" t="s">
        <v>759</v>
      </c>
      <c r="B780" s="12" t="s">
        <v>4434</v>
      </c>
      <c r="C780" s="12" t="s">
        <v>4439</v>
      </c>
      <c r="D780" s="12"/>
      <c r="E780" s="12">
        <v>3</v>
      </c>
      <c r="F780" s="12" t="s">
        <v>4440</v>
      </c>
      <c r="G780" s="12">
        <v>135</v>
      </c>
      <c r="H780" s="12">
        <v>0</v>
      </c>
      <c r="I780" s="12"/>
      <c r="J780" s="12" t="s">
        <v>4441</v>
      </c>
      <c r="K780" s="12" t="s">
        <v>4442</v>
      </c>
    </row>
    <row r="781" spans="1:11" x14ac:dyDescent="0.3">
      <c r="A781" s="12" t="s">
        <v>759</v>
      </c>
      <c r="B781" s="12" t="s">
        <v>812</v>
      </c>
      <c r="C781" s="12" t="s">
        <v>813</v>
      </c>
      <c r="D781" s="12"/>
      <c r="E781" s="12">
        <v>3</v>
      </c>
      <c r="F781" s="12" t="s">
        <v>278</v>
      </c>
      <c r="G781" s="12">
        <v>253</v>
      </c>
      <c r="H781" s="12">
        <v>0</v>
      </c>
      <c r="I781" s="3" t="s">
        <v>276</v>
      </c>
      <c r="J781" s="12" t="s">
        <v>277</v>
      </c>
      <c r="K781" s="12" t="s">
        <v>388</v>
      </c>
    </row>
    <row r="782" spans="1:11" x14ac:dyDescent="0.3">
      <c r="A782" s="12" t="s">
        <v>759</v>
      </c>
      <c r="B782" s="12" t="s">
        <v>812</v>
      </c>
      <c r="C782" s="12" t="s">
        <v>4443</v>
      </c>
      <c r="D782" s="12"/>
      <c r="E782" s="12">
        <v>3</v>
      </c>
      <c r="F782" s="12" t="s">
        <v>4444</v>
      </c>
      <c r="G782" s="12">
        <v>529</v>
      </c>
      <c r="H782" s="12">
        <v>0</v>
      </c>
      <c r="I782" s="12"/>
      <c r="J782" s="12" t="s">
        <v>4445</v>
      </c>
      <c r="K782" s="12" t="s">
        <v>4446</v>
      </c>
    </row>
    <row r="783" spans="1:11" x14ac:dyDescent="0.3">
      <c r="A783" s="12" t="s">
        <v>759</v>
      </c>
      <c r="B783" s="12" t="s">
        <v>4447</v>
      </c>
      <c r="C783" s="12" t="s">
        <v>4448</v>
      </c>
      <c r="D783" s="12"/>
      <c r="E783" s="12">
        <v>3</v>
      </c>
      <c r="F783" s="12" t="s">
        <v>4449</v>
      </c>
      <c r="G783" s="12">
        <v>124</v>
      </c>
      <c r="H783" s="12">
        <v>0</v>
      </c>
      <c r="I783" s="12"/>
      <c r="J783" s="12" t="s">
        <v>4450</v>
      </c>
      <c r="K783" s="12" t="s">
        <v>4451</v>
      </c>
    </row>
    <row r="784" spans="1:11" x14ac:dyDescent="0.3">
      <c r="A784" s="12" t="s">
        <v>759</v>
      </c>
      <c r="B784" s="12" t="s">
        <v>4447</v>
      </c>
      <c r="C784" s="12" t="s">
        <v>4452</v>
      </c>
      <c r="D784" s="12"/>
      <c r="E784" s="12">
        <v>3</v>
      </c>
      <c r="F784" s="12" t="s">
        <v>4453</v>
      </c>
      <c r="G784" s="12">
        <v>15</v>
      </c>
      <c r="H784" s="12">
        <v>0</v>
      </c>
      <c r="I784" s="12"/>
      <c r="J784" s="12" t="s">
        <v>4454</v>
      </c>
      <c r="K784" s="12" t="s">
        <v>4455</v>
      </c>
    </row>
    <row r="785" spans="1:11" x14ac:dyDescent="0.3">
      <c r="A785" s="12" t="s">
        <v>759</v>
      </c>
      <c r="B785" s="12" t="s">
        <v>4447</v>
      </c>
      <c r="C785" s="12" t="s">
        <v>4456</v>
      </c>
      <c r="D785" s="12"/>
      <c r="E785" s="12">
        <v>3</v>
      </c>
      <c r="F785" s="12" t="s">
        <v>4457</v>
      </c>
      <c r="G785" s="12">
        <v>340</v>
      </c>
      <c r="H785" s="12">
        <v>0</v>
      </c>
      <c r="I785" s="12"/>
      <c r="J785" s="12" t="s">
        <v>4458</v>
      </c>
      <c r="K785" s="12" t="s">
        <v>4459</v>
      </c>
    </row>
    <row r="786" spans="1:11" x14ac:dyDescent="0.3">
      <c r="A786" s="12" t="s">
        <v>759</v>
      </c>
      <c r="B786" s="12" t="s">
        <v>4447</v>
      </c>
      <c r="C786" s="12" t="s">
        <v>4460</v>
      </c>
      <c r="D786" s="12"/>
      <c r="E786" s="12">
        <v>3</v>
      </c>
      <c r="F786" s="12" t="s">
        <v>4461</v>
      </c>
      <c r="G786" s="12">
        <v>143</v>
      </c>
      <c r="H786" s="12">
        <v>0</v>
      </c>
      <c r="I786" s="12"/>
      <c r="J786" s="12" t="s">
        <v>4462</v>
      </c>
      <c r="K786" s="12" t="s">
        <v>4463</v>
      </c>
    </row>
    <row r="787" spans="1:11" x14ac:dyDescent="0.3">
      <c r="A787" s="12" t="s">
        <v>759</v>
      </c>
      <c r="B787" s="12" t="s">
        <v>4447</v>
      </c>
      <c r="C787" s="12" t="s">
        <v>4464</v>
      </c>
      <c r="D787" s="12"/>
      <c r="E787" s="12">
        <v>3</v>
      </c>
      <c r="F787" s="12" t="s">
        <v>4465</v>
      </c>
      <c r="G787" s="12">
        <v>18</v>
      </c>
      <c r="H787" s="12">
        <v>0</v>
      </c>
      <c r="I787" s="12"/>
      <c r="J787" s="12" t="s">
        <v>4466</v>
      </c>
      <c r="K787" s="12" t="s">
        <v>4467</v>
      </c>
    </row>
    <row r="788" spans="1:11" x14ac:dyDescent="0.3">
      <c r="A788" s="12" t="s">
        <v>759</v>
      </c>
      <c r="B788" s="12" t="s">
        <v>4447</v>
      </c>
      <c r="C788" s="12" t="s">
        <v>4468</v>
      </c>
      <c r="D788" s="12"/>
      <c r="E788" s="12">
        <v>3</v>
      </c>
      <c r="F788" s="12" t="s">
        <v>4469</v>
      </c>
      <c r="G788" s="12">
        <v>97</v>
      </c>
      <c r="H788" s="12">
        <v>0</v>
      </c>
      <c r="I788" s="12"/>
      <c r="J788" s="12" t="s">
        <v>4470</v>
      </c>
      <c r="K788" s="12" t="s">
        <v>4471</v>
      </c>
    </row>
    <row r="789" spans="1:11" x14ac:dyDescent="0.3">
      <c r="A789" s="12" t="s">
        <v>759</v>
      </c>
      <c r="B789" s="12" t="s">
        <v>4472</v>
      </c>
      <c r="C789" s="12" t="s">
        <v>4473</v>
      </c>
      <c r="D789" s="12"/>
      <c r="E789" s="12">
        <v>3</v>
      </c>
      <c r="F789" s="12" t="s">
        <v>4474</v>
      </c>
      <c r="G789" s="12">
        <v>74</v>
      </c>
      <c r="H789" s="12">
        <v>0</v>
      </c>
      <c r="I789" s="12"/>
      <c r="J789" s="12" t="s">
        <v>4475</v>
      </c>
      <c r="K789" s="12" t="s">
        <v>4476</v>
      </c>
    </row>
    <row r="790" spans="1:11" x14ac:dyDescent="0.3">
      <c r="A790" s="12" t="s">
        <v>759</v>
      </c>
      <c r="B790" s="12" t="s">
        <v>4472</v>
      </c>
      <c r="C790" s="12" t="s">
        <v>4477</v>
      </c>
      <c r="D790" s="12"/>
      <c r="E790" s="12">
        <v>3</v>
      </c>
      <c r="F790" s="12" t="s">
        <v>4478</v>
      </c>
      <c r="G790" s="12">
        <v>77</v>
      </c>
      <c r="H790" s="12">
        <v>0</v>
      </c>
      <c r="I790" s="12"/>
      <c r="J790" s="12" t="s">
        <v>4479</v>
      </c>
      <c r="K790" s="12" t="s">
        <v>4480</v>
      </c>
    </row>
    <row r="791" spans="1:11" x14ac:dyDescent="0.3">
      <c r="A791" s="12" t="s">
        <v>759</v>
      </c>
      <c r="B791" s="12" t="s">
        <v>4472</v>
      </c>
      <c r="C791" s="12" t="s">
        <v>4481</v>
      </c>
      <c r="D791" s="12"/>
      <c r="E791" s="12">
        <v>3</v>
      </c>
      <c r="F791" s="12" t="s">
        <v>4482</v>
      </c>
      <c r="G791" s="12">
        <v>134</v>
      </c>
      <c r="H791" s="12">
        <v>0</v>
      </c>
      <c r="I791" s="12"/>
      <c r="J791" s="12" t="s">
        <v>4483</v>
      </c>
      <c r="K791" s="12" t="s">
        <v>4484</v>
      </c>
    </row>
    <row r="792" spans="1:11" x14ac:dyDescent="0.3">
      <c r="A792" s="12" t="s">
        <v>759</v>
      </c>
      <c r="B792" s="12" t="s">
        <v>4485</v>
      </c>
      <c r="C792" s="12"/>
      <c r="D792" s="12"/>
      <c r="E792" s="12">
        <v>2</v>
      </c>
      <c r="F792" s="12" t="s">
        <v>4486</v>
      </c>
      <c r="G792" s="12">
        <v>196</v>
      </c>
      <c r="H792" s="12">
        <v>0</v>
      </c>
      <c r="I792" s="12"/>
      <c r="J792" s="12" t="s">
        <v>4487</v>
      </c>
      <c r="K792" s="12" t="s">
        <v>4488</v>
      </c>
    </row>
    <row r="793" spans="1:11" x14ac:dyDescent="0.3">
      <c r="A793" s="12" t="s">
        <v>759</v>
      </c>
      <c r="B793" s="12" t="s">
        <v>4489</v>
      </c>
      <c r="C793" s="12"/>
      <c r="D793" s="12"/>
      <c r="E793" s="12">
        <v>2</v>
      </c>
      <c r="F793" s="12" t="s">
        <v>4490</v>
      </c>
      <c r="G793" s="12">
        <v>200</v>
      </c>
      <c r="H793" s="12">
        <v>0</v>
      </c>
      <c r="I793" s="12"/>
      <c r="J793" s="12" t="s">
        <v>4491</v>
      </c>
      <c r="K793" s="12" t="s">
        <v>4492</v>
      </c>
    </row>
    <row r="794" spans="1:11" x14ac:dyDescent="0.3">
      <c r="A794" s="12" t="s">
        <v>759</v>
      </c>
      <c r="B794" s="12" t="s">
        <v>4493</v>
      </c>
      <c r="C794" s="12" t="s">
        <v>4494</v>
      </c>
      <c r="D794" s="12"/>
      <c r="E794" s="12">
        <v>3</v>
      </c>
      <c r="F794" s="12" t="s">
        <v>4495</v>
      </c>
      <c r="G794" s="12">
        <v>11</v>
      </c>
      <c r="H794" s="12">
        <v>0</v>
      </c>
      <c r="I794" s="12"/>
      <c r="J794" s="12" t="s">
        <v>4496</v>
      </c>
      <c r="K794" s="12" t="s">
        <v>4497</v>
      </c>
    </row>
    <row r="795" spans="1:11" x14ac:dyDescent="0.3">
      <c r="A795" s="12" t="s">
        <v>759</v>
      </c>
      <c r="B795" s="12" t="s">
        <v>4493</v>
      </c>
      <c r="C795" s="12" t="s">
        <v>4498</v>
      </c>
      <c r="D795" s="12"/>
      <c r="E795" s="12">
        <v>3</v>
      </c>
      <c r="F795" s="12" t="s">
        <v>4499</v>
      </c>
      <c r="G795" s="12">
        <v>186</v>
      </c>
      <c r="H795" s="12">
        <v>0</v>
      </c>
      <c r="I795" s="12"/>
      <c r="J795" s="12" t="s">
        <v>4500</v>
      </c>
      <c r="K795" s="12" t="s">
        <v>4501</v>
      </c>
    </row>
    <row r="796" spans="1:11" x14ac:dyDescent="0.3">
      <c r="A796" s="12" t="s">
        <v>759</v>
      </c>
      <c r="B796" s="12" t="s">
        <v>4493</v>
      </c>
      <c r="C796" s="12" t="s">
        <v>4502</v>
      </c>
      <c r="D796" s="12"/>
      <c r="E796" s="12">
        <v>3</v>
      </c>
      <c r="F796" s="12" t="s">
        <v>4503</v>
      </c>
      <c r="G796" s="12">
        <v>68</v>
      </c>
      <c r="H796" s="12">
        <v>0</v>
      </c>
      <c r="I796" s="12"/>
      <c r="J796" s="12" t="s">
        <v>4504</v>
      </c>
      <c r="K796" s="12" t="s">
        <v>4505</v>
      </c>
    </row>
    <row r="797" spans="1:11" x14ac:dyDescent="0.3">
      <c r="A797" s="12" t="s">
        <v>759</v>
      </c>
      <c r="B797" s="12" t="s">
        <v>802</v>
      </c>
      <c r="C797" s="12" t="s">
        <v>803</v>
      </c>
      <c r="D797" s="12"/>
      <c r="E797" s="12">
        <v>3</v>
      </c>
      <c r="F797" s="12" t="s">
        <v>355</v>
      </c>
      <c r="G797" s="12">
        <v>95</v>
      </c>
      <c r="H797" s="12">
        <v>0</v>
      </c>
      <c r="I797" s="3" t="s">
        <v>801</v>
      </c>
      <c r="J797" s="12" t="s">
        <v>49</v>
      </c>
      <c r="K797" s="12" t="s">
        <v>360</v>
      </c>
    </row>
    <row r="798" spans="1:11" x14ac:dyDescent="0.3">
      <c r="A798" s="12" t="s">
        <v>759</v>
      </c>
      <c r="B798" s="12" t="s">
        <v>802</v>
      </c>
      <c r="C798" s="12" t="s">
        <v>883</v>
      </c>
      <c r="D798" s="12"/>
      <c r="E798" s="12">
        <v>3</v>
      </c>
      <c r="F798" s="12" t="s">
        <v>296</v>
      </c>
      <c r="G798" s="12">
        <v>660</v>
      </c>
      <c r="H798" s="12">
        <v>0</v>
      </c>
      <c r="I798" s="3" t="s">
        <v>294</v>
      </c>
      <c r="J798" s="12" t="s">
        <v>295</v>
      </c>
      <c r="K798" s="12" t="s">
        <v>523</v>
      </c>
    </row>
    <row r="799" spans="1:11" x14ac:dyDescent="0.3">
      <c r="A799" s="12" t="s">
        <v>759</v>
      </c>
      <c r="B799" s="12" t="s">
        <v>802</v>
      </c>
      <c r="C799" s="12" t="s">
        <v>4506</v>
      </c>
      <c r="D799" s="12"/>
      <c r="E799" s="12">
        <v>3</v>
      </c>
      <c r="F799" s="12" t="s">
        <v>4507</v>
      </c>
      <c r="G799" s="12">
        <v>428</v>
      </c>
      <c r="H799" s="12">
        <v>0</v>
      </c>
      <c r="I799" s="12"/>
      <c r="J799" s="12" t="s">
        <v>4508</v>
      </c>
      <c r="K799" s="12" t="s">
        <v>4509</v>
      </c>
    </row>
    <row r="800" spans="1:11" x14ac:dyDescent="0.3">
      <c r="A800" s="12" t="s">
        <v>759</v>
      </c>
      <c r="B800" s="12" t="s">
        <v>802</v>
      </c>
      <c r="C800" s="12" t="s">
        <v>4510</v>
      </c>
      <c r="D800" s="12"/>
      <c r="E800" s="12">
        <v>3</v>
      </c>
      <c r="F800" s="12" t="s">
        <v>4511</v>
      </c>
      <c r="G800" s="12">
        <v>89</v>
      </c>
      <c r="H800" s="12">
        <v>0</v>
      </c>
      <c r="I800" s="12"/>
      <c r="J800" s="12" t="s">
        <v>4512</v>
      </c>
      <c r="K800" s="12" t="s">
        <v>4513</v>
      </c>
    </row>
    <row r="801" spans="1:11" x14ac:dyDescent="0.3">
      <c r="A801" s="12" t="s">
        <v>759</v>
      </c>
      <c r="B801" s="12" t="s">
        <v>820</v>
      </c>
      <c r="C801" s="12" t="s">
        <v>4514</v>
      </c>
      <c r="D801" s="12"/>
      <c r="E801" s="12">
        <v>3</v>
      </c>
      <c r="F801" s="12" t="s">
        <v>4515</v>
      </c>
      <c r="G801" s="12">
        <v>36</v>
      </c>
      <c r="H801" s="12">
        <v>0</v>
      </c>
      <c r="I801" s="12"/>
      <c r="J801" s="12" t="s">
        <v>4516</v>
      </c>
      <c r="K801" s="12" t="s">
        <v>4517</v>
      </c>
    </row>
    <row r="802" spans="1:11" x14ac:dyDescent="0.3">
      <c r="A802" s="12" t="s">
        <v>759</v>
      </c>
      <c r="B802" s="12" t="s">
        <v>820</v>
      </c>
      <c r="C802" s="12" t="s">
        <v>4518</v>
      </c>
      <c r="D802" s="12"/>
      <c r="E802" s="12">
        <v>3</v>
      </c>
      <c r="F802" s="12" t="s">
        <v>4519</v>
      </c>
      <c r="G802" s="12">
        <v>185</v>
      </c>
      <c r="H802" s="12">
        <v>0</v>
      </c>
      <c r="I802" s="12"/>
      <c r="J802" s="12" t="s">
        <v>4520</v>
      </c>
      <c r="K802" s="12" t="s">
        <v>4521</v>
      </c>
    </row>
    <row r="803" spans="1:11" x14ac:dyDescent="0.3">
      <c r="A803" s="12" t="s">
        <v>759</v>
      </c>
      <c r="B803" s="12" t="s">
        <v>820</v>
      </c>
      <c r="C803" s="12" t="s">
        <v>4522</v>
      </c>
      <c r="D803" s="12"/>
      <c r="E803" s="12">
        <v>3</v>
      </c>
      <c r="F803" s="12" t="s">
        <v>4523</v>
      </c>
      <c r="G803" s="12">
        <v>42</v>
      </c>
      <c r="H803" s="12">
        <v>0</v>
      </c>
      <c r="I803" s="12"/>
      <c r="J803" s="12" t="s">
        <v>4524</v>
      </c>
      <c r="K803" s="12" t="s">
        <v>4525</v>
      </c>
    </row>
    <row r="804" spans="1:11" x14ac:dyDescent="0.3">
      <c r="A804" s="12" t="s">
        <v>759</v>
      </c>
      <c r="B804" s="12" t="s">
        <v>820</v>
      </c>
      <c r="C804" s="12" t="s">
        <v>4526</v>
      </c>
      <c r="D804" s="12" t="s">
        <v>4527</v>
      </c>
      <c r="E804" s="12">
        <v>4</v>
      </c>
      <c r="F804" s="12" t="s">
        <v>4528</v>
      </c>
      <c r="G804" s="12">
        <v>99</v>
      </c>
      <c r="H804" s="12">
        <v>0</v>
      </c>
      <c r="I804" s="12"/>
      <c r="J804" s="12" t="s">
        <v>4529</v>
      </c>
      <c r="K804" s="12" t="s">
        <v>4530</v>
      </c>
    </row>
    <row r="805" spans="1:11" x14ac:dyDescent="0.3">
      <c r="A805" s="12" t="s">
        <v>759</v>
      </c>
      <c r="B805" s="12" t="s">
        <v>820</v>
      </c>
      <c r="C805" s="12" t="s">
        <v>4526</v>
      </c>
      <c r="D805" s="12" t="s">
        <v>4531</v>
      </c>
      <c r="E805" s="12">
        <v>4</v>
      </c>
      <c r="F805" s="12" t="s">
        <v>4532</v>
      </c>
      <c r="G805" s="12">
        <v>165</v>
      </c>
      <c r="H805" s="12">
        <v>0</v>
      </c>
      <c r="I805" s="12"/>
      <c r="J805" s="12" t="s">
        <v>4533</v>
      </c>
      <c r="K805" s="12" t="s">
        <v>4534</v>
      </c>
    </row>
    <row r="806" spans="1:11" x14ac:dyDescent="0.3">
      <c r="A806" s="12" t="s">
        <v>759</v>
      </c>
      <c r="B806" s="12" t="s">
        <v>820</v>
      </c>
      <c r="C806" s="12" t="s">
        <v>4526</v>
      </c>
      <c r="D806" s="12" t="s">
        <v>4535</v>
      </c>
      <c r="E806" s="12">
        <v>4</v>
      </c>
      <c r="F806" s="12" t="s">
        <v>4536</v>
      </c>
      <c r="G806" s="12">
        <v>17</v>
      </c>
      <c r="H806" s="12">
        <v>0</v>
      </c>
      <c r="I806" s="12"/>
      <c r="J806" s="12" t="s">
        <v>4537</v>
      </c>
      <c r="K806" s="12" t="s">
        <v>4538</v>
      </c>
    </row>
    <row r="807" spans="1:11" x14ac:dyDescent="0.3">
      <c r="A807" s="12" t="s">
        <v>759</v>
      </c>
      <c r="B807" s="12" t="s">
        <v>820</v>
      </c>
      <c r="C807" s="12" t="s">
        <v>821</v>
      </c>
      <c r="D807" s="12" t="s">
        <v>822</v>
      </c>
      <c r="E807" s="12">
        <v>4</v>
      </c>
      <c r="F807" s="12" t="s">
        <v>284</v>
      </c>
      <c r="G807" s="12">
        <v>32</v>
      </c>
      <c r="H807" s="12">
        <v>0</v>
      </c>
      <c r="I807" s="3" t="s">
        <v>282</v>
      </c>
      <c r="J807" s="12" t="s">
        <v>283</v>
      </c>
      <c r="K807" s="12" t="s">
        <v>404</v>
      </c>
    </row>
    <row r="808" spans="1:11" x14ac:dyDescent="0.3">
      <c r="A808" s="12" t="s">
        <v>759</v>
      </c>
      <c r="B808" s="12" t="s">
        <v>820</v>
      </c>
      <c r="C808" s="12" t="s">
        <v>821</v>
      </c>
      <c r="D808" s="12" t="s">
        <v>4539</v>
      </c>
      <c r="E808" s="12">
        <v>4</v>
      </c>
      <c r="F808" s="12" t="s">
        <v>4540</v>
      </c>
      <c r="G808" s="12">
        <v>100</v>
      </c>
      <c r="H808" s="12">
        <v>0</v>
      </c>
      <c r="I808" s="12"/>
      <c r="J808" s="12" t="s">
        <v>4541</v>
      </c>
      <c r="K808" s="12" t="s">
        <v>4542</v>
      </c>
    </row>
    <row r="809" spans="1:11" x14ac:dyDescent="0.3">
      <c r="A809" s="12" t="s">
        <v>759</v>
      </c>
      <c r="B809" s="12" t="s">
        <v>820</v>
      </c>
      <c r="C809" s="12" t="s">
        <v>821</v>
      </c>
      <c r="D809" s="12" t="s">
        <v>4543</v>
      </c>
      <c r="E809" s="12">
        <v>4</v>
      </c>
      <c r="F809" s="12" t="s">
        <v>4544</v>
      </c>
      <c r="G809" s="12">
        <v>22</v>
      </c>
      <c r="H809" s="12">
        <v>0</v>
      </c>
      <c r="I809" s="12"/>
      <c r="J809" s="12" t="s">
        <v>4545</v>
      </c>
      <c r="K809" s="12" t="s">
        <v>4546</v>
      </c>
    </row>
    <row r="810" spans="1:11" x14ac:dyDescent="0.3">
      <c r="A810" s="12" t="s">
        <v>759</v>
      </c>
      <c r="B810" s="12" t="s">
        <v>820</v>
      </c>
      <c r="C810" s="12" t="s">
        <v>821</v>
      </c>
      <c r="D810" s="12" t="s">
        <v>4547</v>
      </c>
      <c r="E810" s="12">
        <v>4</v>
      </c>
      <c r="F810" s="12" t="s">
        <v>4548</v>
      </c>
      <c r="G810" s="12">
        <v>52</v>
      </c>
      <c r="H810" s="12">
        <v>0</v>
      </c>
      <c r="I810" s="12"/>
      <c r="J810" s="12" t="s">
        <v>4549</v>
      </c>
      <c r="K810" s="12" t="s">
        <v>4550</v>
      </c>
    </row>
    <row r="811" spans="1:11" x14ac:dyDescent="0.3">
      <c r="A811" s="12" t="s">
        <v>759</v>
      </c>
      <c r="B811" s="12" t="s">
        <v>820</v>
      </c>
      <c r="C811" s="12" t="s">
        <v>821</v>
      </c>
      <c r="D811" s="12" t="s">
        <v>4551</v>
      </c>
      <c r="E811" s="12">
        <v>4</v>
      </c>
      <c r="F811" s="12" t="s">
        <v>4552</v>
      </c>
      <c r="G811" s="12">
        <v>26</v>
      </c>
      <c r="H811" s="12">
        <v>0</v>
      </c>
      <c r="I811" s="12"/>
      <c r="J811" s="12" t="s">
        <v>4553</v>
      </c>
      <c r="K811" s="12" t="s">
        <v>4554</v>
      </c>
    </row>
    <row r="812" spans="1:11" x14ac:dyDescent="0.3">
      <c r="A812" s="12" t="s">
        <v>759</v>
      </c>
      <c r="B812" s="12" t="s">
        <v>820</v>
      </c>
      <c r="C812" s="12" t="s">
        <v>821</v>
      </c>
      <c r="D812" s="12" t="s">
        <v>4555</v>
      </c>
      <c r="E812" s="12">
        <v>4</v>
      </c>
      <c r="F812" s="12" t="s">
        <v>4556</v>
      </c>
      <c r="G812" s="12">
        <v>149</v>
      </c>
      <c r="H812" s="12">
        <v>0</v>
      </c>
      <c r="I812" s="12"/>
      <c r="J812" s="12" t="s">
        <v>4557</v>
      </c>
      <c r="K812" s="12" t="s">
        <v>4558</v>
      </c>
    </row>
    <row r="813" spans="1:11" x14ac:dyDescent="0.3">
      <c r="A813" s="12" t="s">
        <v>759</v>
      </c>
      <c r="B813" s="12" t="s">
        <v>820</v>
      </c>
      <c r="C813" s="12" t="s">
        <v>821</v>
      </c>
      <c r="D813" s="12" t="s">
        <v>4559</v>
      </c>
      <c r="E813" s="12">
        <v>4</v>
      </c>
      <c r="F813" s="12" t="s">
        <v>4560</v>
      </c>
      <c r="G813" s="12">
        <v>45</v>
      </c>
      <c r="H813" s="12">
        <v>0</v>
      </c>
      <c r="I813" s="12"/>
      <c r="J813" s="12" t="s">
        <v>4561</v>
      </c>
      <c r="K813" s="12" t="s">
        <v>4562</v>
      </c>
    </row>
    <row r="814" spans="1:11" x14ac:dyDescent="0.3">
      <c r="A814" s="12" t="s">
        <v>759</v>
      </c>
      <c r="B814" s="12" t="s">
        <v>820</v>
      </c>
      <c r="C814" s="12" t="s">
        <v>821</v>
      </c>
      <c r="D814" s="12" t="s">
        <v>4563</v>
      </c>
      <c r="E814" s="12">
        <v>4</v>
      </c>
      <c r="F814" s="12" t="s">
        <v>4564</v>
      </c>
      <c r="G814" s="12">
        <v>271</v>
      </c>
      <c r="H814" s="12">
        <v>254</v>
      </c>
      <c r="I814" s="12"/>
      <c r="J814" s="12" t="s">
        <v>4565</v>
      </c>
      <c r="K814" s="12" t="s">
        <v>4566</v>
      </c>
    </row>
    <row r="815" spans="1:11" x14ac:dyDescent="0.3">
      <c r="A815" s="12" t="s">
        <v>759</v>
      </c>
      <c r="B815" s="12" t="s">
        <v>820</v>
      </c>
      <c r="C815" s="12" t="s">
        <v>821</v>
      </c>
      <c r="D815" s="12" t="s">
        <v>4567</v>
      </c>
      <c r="E815" s="12">
        <v>4</v>
      </c>
      <c r="F815" s="12" t="s">
        <v>4568</v>
      </c>
      <c r="G815" s="12">
        <v>226</v>
      </c>
      <c r="H815" s="12">
        <v>0</v>
      </c>
      <c r="I815" s="12"/>
      <c r="J815" s="12" t="s">
        <v>4569</v>
      </c>
      <c r="K815" s="12" t="s">
        <v>4570</v>
      </c>
    </row>
    <row r="816" spans="1:11" x14ac:dyDescent="0.3">
      <c r="A816" s="12" t="s">
        <v>759</v>
      </c>
      <c r="B816" s="12" t="s">
        <v>820</v>
      </c>
      <c r="C816" s="12" t="s">
        <v>821</v>
      </c>
      <c r="D816" s="12" t="s">
        <v>4571</v>
      </c>
      <c r="E816" s="12">
        <v>4</v>
      </c>
      <c r="F816" s="12" t="s">
        <v>4572</v>
      </c>
      <c r="G816" s="12">
        <v>38</v>
      </c>
      <c r="H816" s="12">
        <v>0</v>
      </c>
      <c r="I816" s="12"/>
      <c r="J816" s="12" t="s">
        <v>4573</v>
      </c>
      <c r="K816" s="12" t="s">
        <v>4574</v>
      </c>
    </row>
    <row r="817" spans="1:11" x14ac:dyDescent="0.3">
      <c r="A817" s="12" t="s">
        <v>759</v>
      </c>
      <c r="B817" s="12" t="s">
        <v>820</v>
      </c>
      <c r="C817" s="12" t="s">
        <v>821</v>
      </c>
      <c r="D817" s="12" t="s">
        <v>4575</v>
      </c>
      <c r="E817" s="12">
        <v>4</v>
      </c>
      <c r="F817" s="12" t="s">
        <v>4576</v>
      </c>
      <c r="G817" s="12">
        <v>80</v>
      </c>
      <c r="H817" s="12">
        <v>0</v>
      </c>
      <c r="I817" s="12"/>
      <c r="J817" s="12" t="s">
        <v>4577</v>
      </c>
      <c r="K817" s="12" t="s">
        <v>4578</v>
      </c>
    </row>
    <row r="818" spans="1:11" x14ac:dyDescent="0.3">
      <c r="A818" s="12" t="s">
        <v>759</v>
      </c>
      <c r="B818" s="12" t="s">
        <v>820</v>
      </c>
      <c r="C818" s="12" t="s">
        <v>4579</v>
      </c>
      <c r="D818" s="12"/>
      <c r="E818" s="12">
        <v>3</v>
      </c>
      <c r="F818" s="12" t="s">
        <v>4580</v>
      </c>
      <c r="G818" s="12">
        <v>28</v>
      </c>
      <c r="H818" s="12">
        <v>0</v>
      </c>
      <c r="I818" s="12"/>
      <c r="J818" s="12" t="s">
        <v>4581</v>
      </c>
      <c r="K818" s="12" t="s">
        <v>4582</v>
      </c>
    </row>
    <row r="819" spans="1:11" x14ac:dyDescent="0.3">
      <c r="A819" s="12" t="s">
        <v>759</v>
      </c>
      <c r="B819" s="12" t="s">
        <v>783</v>
      </c>
      <c r="C819" s="12" t="s">
        <v>4583</v>
      </c>
      <c r="D819" s="12"/>
      <c r="E819" s="12">
        <v>3</v>
      </c>
      <c r="F819" s="12" t="s">
        <v>4584</v>
      </c>
      <c r="G819" s="12">
        <v>63</v>
      </c>
      <c r="H819" s="12">
        <v>0</v>
      </c>
      <c r="I819" s="12"/>
      <c r="J819" s="12" t="s">
        <v>4585</v>
      </c>
      <c r="K819" s="12" t="s">
        <v>4586</v>
      </c>
    </row>
    <row r="820" spans="1:11" x14ac:dyDescent="0.3">
      <c r="A820" s="12" t="s">
        <v>759</v>
      </c>
      <c r="B820" s="12" t="s">
        <v>783</v>
      </c>
      <c r="C820" s="12" t="s">
        <v>4587</v>
      </c>
      <c r="D820" s="12"/>
      <c r="E820" s="12">
        <v>3</v>
      </c>
      <c r="F820" s="12" t="s">
        <v>4588</v>
      </c>
      <c r="G820" s="12">
        <v>66</v>
      </c>
      <c r="H820" s="12">
        <v>0</v>
      </c>
      <c r="I820" s="12"/>
      <c r="J820" s="12" t="s">
        <v>4589</v>
      </c>
      <c r="K820" s="12" t="s">
        <v>4590</v>
      </c>
    </row>
    <row r="821" spans="1:11" x14ac:dyDescent="0.3">
      <c r="A821" s="12" t="s">
        <v>759</v>
      </c>
      <c r="B821" s="12" t="s">
        <v>783</v>
      </c>
      <c r="C821" s="12" t="s">
        <v>4591</v>
      </c>
      <c r="D821" s="12"/>
      <c r="E821" s="12">
        <v>3</v>
      </c>
      <c r="F821" s="12" t="s">
        <v>4592</v>
      </c>
      <c r="G821" s="12">
        <v>154</v>
      </c>
      <c r="H821" s="12">
        <v>0</v>
      </c>
      <c r="I821" s="12"/>
      <c r="J821" s="12" t="s">
        <v>4593</v>
      </c>
      <c r="K821" s="12" t="s">
        <v>4594</v>
      </c>
    </row>
    <row r="822" spans="1:11" x14ac:dyDescent="0.3">
      <c r="A822" s="12" t="s">
        <v>759</v>
      </c>
      <c r="B822" s="12" t="s">
        <v>783</v>
      </c>
      <c r="C822" s="12" t="s">
        <v>4595</v>
      </c>
      <c r="D822" s="12"/>
      <c r="E822" s="12">
        <v>3</v>
      </c>
      <c r="F822" s="12" t="s">
        <v>4596</v>
      </c>
      <c r="G822" s="12">
        <v>470</v>
      </c>
      <c r="H822" s="12">
        <v>0</v>
      </c>
      <c r="I822" s="12"/>
      <c r="J822" s="12" t="s">
        <v>4597</v>
      </c>
      <c r="K822" s="12" t="s">
        <v>4598</v>
      </c>
    </row>
    <row r="823" spans="1:11" x14ac:dyDescent="0.3">
      <c r="A823" s="12" t="s">
        <v>759</v>
      </c>
      <c r="B823" s="12" t="s">
        <v>783</v>
      </c>
      <c r="C823" s="12" t="s">
        <v>784</v>
      </c>
      <c r="D823" s="12" t="s">
        <v>784</v>
      </c>
      <c r="E823" s="12">
        <v>4</v>
      </c>
      <c r="F823" s="12" t="s">
        <v>4599</v>
      </c>
      <c r="G823" s="12">
        <v>26</v>
      </c>
      <c r="H823" s="12">
        <v>0</v>
      </c>
      <c r="I823" s="12"/>
      <c r="J823" s="12" t="s">
        <v>4600</v>
      </c>
      <c r="K823" s="12" t="s">
        <v>4601</v>
      </c>
    </row>
    <row r="824" spans="1:11" x14ac:dyDescent="0.3">
      <c r="A824" s="12" t="s">
        <v>759</v>
      </c>
      <c r="B824" s="12" t="s">
        <v>783</v>
      </c>
      <c r="C824" s="12" t="s">
        <v>784</v>
      </c>
      <c r="D824" s="12" t="s">
        <v>785</v>
      </c>
      <c r="E824" s="12">
        <v>4</v>
      </c>
      <c r="F824" s="12" t="s">
        <v>333</v>
      </c>
      <c r="G824" s="12">
        <v>107</v>
      </c>
      <c r="H824" s="12">
        <v>0</v>
      </c>
      <c r="I824" s="3" t="s">
        <v>782</v>
      </c>
      <c r="J824" s="12" t="s">
        <v>36</v>
      </c>
      <c r="K824" s="12" t="s">
        <v>338</v>
      </c>
    </row>
    <row r="825" spans="1:11" x14ac:dyDescent="0.3">
      <c r="A825" s="12" t="s">
        <v>759</v>
      </c>
      <c r="B825" s="12" t="s">
        <v>783</v>
      </c>
      <c r="C825" s="12" t="s">
        <v>784</v>
      </c>
      <c r="D825" s="12" t="s">
        <v>4602</v>
      </c>
      <c r="E825" s="12">
        <v>4</v>
      </c>
      <c r="F825" s="12" t="s">
        <v>4603</v>
      </c>
      <c r="G825" s="12">
        <v>69</v>
      </c>
      <c r="H825" s="12">
        <v>0</v>
      </c>
      <c r="I825" s="12"/>
      <c r="J825" s="12" t="s">
        <v>4604</v>
      </c>
      <c r="K825" s="12" t="s">
        <v>4605</v>
      </c>
    </row>
    <row r="826" spans="1:11" x14ac:dyDescent="0.3">
      <c r="A826" s="12" t="s">
        <v>759</v>
      </c>
      <c r="B826" s="12" t="s">
        <v>783</v>
      </c>
      <c r="C826" s="12" t="s">
        <v>4606</v>
      </c>
      <c r="D826" s="12"/>
      <c r="E826" s="12">
        <v>3</v>
      </c>
      <c r="F826" s="12" t="s">
        <v>4607</v>
      </c>
      <c r="G826" s="12">
        <v>376</v>
      </c>
      <c r="H826" s="12">
        <v>0</v>
      </c>
      <c r="I826" s="12"/>
      <c r="J826" s="12" t="s">
        <v>4608</v>
      </c>
      <c r="K826" s="12" t="s">
        <v>4609</v>
      </c>
    </row>
    <row r="827" spans="1:11" x14ac:dyDescent="0.3">
      <c r="A827" s="12" t="s">
        <v>759</v>
      </c>
      <c r="B827" s="12" t="s">
        <v>783</v>
      </c>
      <c r="C827" s="12" t="s">
        <v>897</v>
      </c>
      <c r="D827" s="12"/>
      <c r="E827" s="12">
        <v>3</v>
      </c>
      <c r="F827" s="12" t="s">
        <v>898</v>
      </c>
      <c r="G827" s="12">
        <v>1504</v>
      </c>
      <c r="H827" s="12">
        <v>0</v>
      </c>
      <c r="I827" s="3" t="s">
        <v>895</v>
      </c>
      <c r="J827" s="12" t="s">
        <v>896</v>
      </c>
      <c r="K827" s="12" t="s">
        <v>4610</v>
      </c>
    </row>
    <row r="828" spans="1:11" x14ac:dyDescent="0.3">
      <c r="A828" s="12" t="s">
        <v>4611</v>
      </c>
      <c r="B828" s="12" t="s">
        <v>4612</v>
      </c>
      <c r="C828" s="12"/>
      <c r="D828" s="12"/>
      <c r="E828" s="12">
        <v>2</v>
      </c>
      <c r="F828" s="12" t="s">
        <v>4613</v>
      </c>
      <c r="G828" s="12">
        <v>826</v>
      </c>
      <c r="H828" s="12">
        <v>0</v>
      </c>
      <c r="I828" s="12"/>
      <c r="J828" s="12" t="s">
        <v>4614</v>
      </c>
      <c r="K828" s="12" t="s">
        <v>4615</v>
      </c>
    </row>
    <row r="829" spans="1:11" x14ac:dyDescent="0.3">
      <c r="A829" s="12" t="s">
        <v>4611</v>
      </c>
      <c r="B829" s="12" t="s">
        <v>4616</v>
      </c>
      <c r="C829" s="12"/>
      <c r="D829" s="12"/>
      <c r="E829" s="12">
        <v>2</v>
      </c>
      <c r="F829" s="12" t="s">
        <v>4617</v>
      </c>
      <c r="G829" s="12">
        <v>634</v>
      </c>
      <c r="H829" s="12">
        <v>0</v>
      </c>
      <c r="I829" s="12"/>
      <c r="J829" s="12" t="s">
        <v>4618</v>
      </c>
      <c r="K829" s="12" t="s">
        <v>4619</v>
      </c>
    </row>
    <row r="830" spans="1:11" x14ac:dyDescent="0.3">
      <c r="A830" s="12" t="s">
        <v>4611</v>
      </c>
      <c r="B830" s="12" t="s">
        <v>4620</v>
      </c>
      <c r="C830" s="12"/>
      <c r="D830" s="12"/>
      <c r="E830" s="12">
        <v>2</v>
      </c>
      <c r="F830" s="12" t="s">
        <v>4621</v>
      </c>
      <c r="G830" s="12">
        <v>223</v>
      </c>
      <c r="H830" s="12">
        <v>0</v>
      </c>
      <c r="I830" s="12"/>
      <c r="J830" s="12" t="s">
        <v>4622</v>
      </c>
      <c r="K830" s="12" t="s">
        <v>4623</v>
      </c>
    </row>
    <row r="831" spans="1:11" x14ac:dyDescent="0.3">
      <c r="A831" s="12" t="s">
        <v>4611</v>
      </c>
      <c r="B831" s="12" t="s">
        <v>4624</v>
      </c>
      <c r="C831" s="12"/>
      <c r="D831" s="12"/>
      <c r="E831" s="12">
        <v>2</v>
      </c>
      <c r="F831" s="12" t="s">
        <v>4625</v>
      </c>
      <c r="G831" s="12">
        <v>146</v>
      </c>
      <c r="H831" s="12">
        <v>0</v>
      </c>
      <c r="I831" s="12"/>
      <c r="J831" s="12" t="s">
        <v>4626</v>
      </c>
      <c r="K831" s="12" t="s">
        <v>4627</v>
      </c>
    </row>
    <row r="832" spans="1:11" x14ac:dyDescent="0.3">
      <c r="A832" s="12" t="s">
        <v>4611</v>
      </c>
      <c r="B832" s="12" t="s">
        <v>4628</v>
      </c>
      <c r="C832" s="12"/>
      <c r="D832" s="12"/>
      <c r="E832" s="12">
        <v>2</v>
      </c>
      <c r="F832" s="12" t="s">
        <v>4629</v>
      </c>
      <c r="G832" s="12">
        <v>301</v>
      </c>
      <c r="H832" s="12">
        <v>0</v>
      </c>
      <c r="I832" s="12"/>
      <c r="J832" s="12" t="s">
        <v>4630</v>
      </c>
      <c r="K832" s="12" t="s">
        <v>4631</v>
      </c>
    </row>
    <row r="833" spans="1:11" x14ac:dyDescent="0.3">
      <c r="A833" s="12" t="s">
        <v>4611</v>
      </c>
      <c r="B833" s="12" t="s">
        <v>4632</v>
      </c>
      <c r="C833" s="12"/>
      <c r="D833" s="12"/>
      <c r="E833" s="12">
        <v>2</v>
      </c>
      <c r="F833" s="12" t="s">
        <v>4633</v>
      </c>
      <c r="G833" s="12">
        <v>62</v>
      </c>
      <c r="H833" s="12">
        <v>0</v>
      </c>
      <c r="I833" s="12"/>
      <c r="J833" s="12" t="s">
        <v>4634</v>
      </c>
      <c r="K833" s="12" t="s">
        <v>4635</v>
      </c>
    </row>
    <row r="834" spans="1:11" x14ac:dyDescent="0.3">
      <c r="A834" s="12" t="s">
        <v>4611</v>
      </c>
      <c r="B834" s="12" t="s">
        <v>4636</v>
      </c>
      <c r="C834" s="12" t="s">
        <v>4636</v>
      </c>
      <c r="D834" s="12"/>
      <c r="E834" s="12">
        <v>3</v>
      </c>
      <c r="F834" s="12" t="s">
        <v>4637</v>
      </c>
      <c r="G834" s="12">
        <v>4812</v>
      </c>
      <c r="H834" s="12">
        <v>0</v>
      </c>
      <c r="I834" s="12"/>
      <c r="J834" s="12" t="s">
        <v>4638</v>
      </c>
      <c r="K834" s="12" t="s">
        <v>4639</v>
      </c>
    </row>
    <row r="835" spans="1:11" x14ac:dyDescent="0.3">
      <c r="A835" s="12" t="s">
        <v>4611</v>
      </c>
      <c r="B835" s="12" t="s">
        <v>4636</v>
      </c>
      <c r="C835" s="12" t="s">
        <v>4640</v>
      </c>
      <c r="D835" s="12"/>
      <c r="E835" s="12">
        <v>3</v>
      </c>
      <c r="F835" s="12" t="s">
        <v>4641</v>
      </c>
      <c r="G835" s="12">
        <v>42</v>
      </c>
      <c r="H835" s="12">
        <v>0</v>
      </c>
      <c r="I835" s="12"/>
      <c r="J835" s="12" t="s">
        <v>4642</v>
      </c>
      <c r="K835" s="12" t="s">
        <v>4643</v>
      </c>
    </row>
    <row r="836" spans="1:11" x14ac:dyDescent="0.3">
      <c r="A836" s="12" t="s">
        <v>4611</v>
      </c>
      <c r="B836" s="12" t="s">
        <v>4644</v>
      </c>
      <c r="C836" s="12"/>
      <c r="D836" s="12"/>
      <c r="E836" s="12">
        <v>2</v>
      </c>
      <c r="F836" s="12" t="s">
        <v>4645</v>
      </c>
      <c r="G836" s="12">
        <v>89</v>
      </c>
      <c r="H836" s="12">
        <v>0</v>
      </c>
      <c r="I836" s="12"/>
      <c r="J836" s="12" t="s">
        <v>4646</v>
      </c>
      <c r="K836" s="12" t="s">
        <v>4647</v>
      </c>
    </row>
    <row r="837" spans="1:11" x14ac:dyDescent="0.3">
      <c r="A837" s="12" t="s">
        <v>4611</v>
      </c>
      <c r="B837" s="12" t="s">
        <v>4648</v>
      </c>
      <c r="C837" s="12"/>
      <c r="D837" s="12"/>
      <c r="E837" s="12">
        <v>2</v>
      </c>
      <c r="F837" s="12" t="s">
        <v>4649</v>
      </c>
      <c r="G837" s="12">
        <v>105</v>
      </c>
      <c r="H837" s="12">
        <v>0</v>
      </c>
      <c r="I837" s="12"/>
      <c r="J837" s="12" t="s">
        <v>4650</v>
      </c>
      <c r="K837" s="12" t="s">
        <v>4651</v>
      </c>
    </row>
    <row r="838" spans="1:11" x14ac:dyDescent="0.3">
      <c r="A838" s="12" t="s">
        <v>4611</v>
      </c>
      <c r="B838" s="12" t="s">
        <v>4652</v>
      </c>
      <c r="C838" s="12"/>
      <c r="D838" s="12"/>
      <c r="E838" s="12">
        <v>2</v>
      </c>
      <c r="F838" s="12" t="s">
        <v>4653</v>
      </c>
      <c r="G838" s="12">
        <v>72</v>
      </c>
      <c r="H838" s="12">
        <v>0</v>
      </c>
      <c r="I838" s="12"/>
      <c r="J838" s="12" t="s">
        <v>4654</v>
      </c>
      <c r="K838" s="12" t="s">
        <v>4655</v>
      </c>
    </row>
    <row r="839" spans="1:11" x14ac:dyDescent="0.3">
      <c r="A839" s="12" t="s">
        <v>4611</v>
      </c>
      <c r="B839" s="12" t="s">
        <v>4656</v>
      </c>
      <c r="C839" s="12"/>
      <c r="D839" s="12"/>
      <c r="E839" s="12">
        <v>2</v>
      </c>
      <c r="F839" s="12" t="s">
        <v>4657</v>
      </c>
      <c r="G839" s="12">
        <v>830</v>
      </c>
      <c r="H839" s="12">
        <v>0</v>
      </c>
      <c r="I839" s="12"/>
      <c r="J839" s="12" t="s">
        <v>4658</v>
      </c>
      <c r="K839" s="12" t="s">
        <v>4659</v>
      </c>
    </row>
    <row r="840" spans="1:11" x14ac:dyDescent="0.3">
      <c r="A840" s="12" t="s">
        <v>4611</v>
      </c>
      <c r="B840" s="12" t="s">
        <v>4660</v>
      </c>
      <c r="C840" s="12" t="s">
        <v>4661</v>
      </c>
      <c r="D840" s="12"/>
      <c r="E840" s="12">
        <v>3</v>
      </c>
      <c r="F840" s="12" t="s">
        <v>4662</v>
      </c>
      <c r="G840" s="12">
        <v>173</v>
      </c>
      <c r="H840" s="12">
        <v>0</v>
      </c>
      <c r="I840" s="12"/>
      <c r="J840" s="12" t="s">
        <v>4663</v>
      </c>
      <c r="K840" s="12" t="s">
        <v>4664</v>
      </c>
    </row>
    <row r="841" spans="1:11" x14ac:dyDescent="0.3">
      <c r="A841" s="12" t="s">
        <v>4611</v>
      </c>
      <c r="B841" s="12" t="s">
        <v>4660</v>
      </c>
      <c r="C841" s="12" t="s">
        <v>4665</v>
      </c>
      <c r="D841" s="12"/>
      <c r="E841" s="12">
        <v>3</v>
      </c>
      <c r="F841" s="12" t="s">
        <v>4666</v>
      </c>
      <c r="G841" s="12">
        <v>130</v>
      </c>
      <c r="H841" s="12">
        <v>0</v>
      </c>
      <c r="I841" s="12"/>
      <c r="J841" s="12" t="s">
        <v>4667</v>
      </c>
      <c r="K841" s="12" t="s">
        <v>4668</v>
      </c>
    </row>
    <row r="842" spans="1:11" x14ac:dyDescent="0.3">
      <c r="A842" s="12" t="s">
        <v>4611</v>
      </c>
      <c r="B842" s="12" t="s">
        <v>4660</v>
      </c>
      <c r="C842" s="12" t="s">
        <v>4669</v>
      </c>
      <c r="D842" s="12"/>
      <c r="E842" s="12">
        <v>3</v>
      </c>
      <c r="F842" s="12" t="s">
        <v>4670</v>
      </c>
      <c r="G842" s="12">
        <v>37</v>
      </c>
      <c r="H842" s="12">
        <v>0</v>
      </c>
      <c r="I842" s="12"/>
      <c r="J842" s="12" t="s">
        <v>4671</v>
      </c>
      <c r="K842" s="12" t="s">
        <v>4672</v>
      </c>
    </row>
    <row r="843" spans="1:11" x14ac:dyDescent="0.3">
      <c r="A843" s="12" t="s">
        <v>4611</v>
      </c>
      <c r="B843" s="12" t="s">
        <v>4673</v>
      </c>
      <c r="C843" s="12"/>
      <c r="D843" s="12"/>
      <c r="E843" s="12">
        <v>2</v>
      </c>
      <c r="F843" s="12" t="s">
        <v>4674</v>
      </c>
      <c r="G843" s="12">
        <v>2</v>
      </c>
      <c r="H843" s="12">
        <v>0</v>
      </c>
      <c r="I843" s="12"/>
      <c r="J843" s="12" t="s">
        <v>4675</v>
      </c>
      <c r="K843" s="12" t="s">
        <v>4676</v>
      </c>
    </row>
    <row r="844" spans="1:11" x14ac:dyDescent="0.3">
      <c r="A844" s="12" t="s">
        <v>4611</v>
      </c>
      <c r="B844" s="12" t="s">
        <v>4677</v>
      </c>
      <c r="C844" s="12"/>
      <c r="D844" s="12"/>
      <c r="E844" s="12">
        <v>2</v>
      </c>
      <c r="F844" s="12" t="s">
        <v>4678</v>
      </c>
      <c r="G844" s="12">
        <v>174</v>
      </c>
      <c r="H844" s="12">
        <v>0</v>
      </c>
      <c r="I844" s="12"/>
      <c r="J844" s="12" t="s">
        <v>4679</v>
      </c>
      <c r="K844" s="12" t="s">
        <v>4680</v>
      </c>
    </row>
    <row r="845" spans="1:11" x14ac:dyDescent="0.3">
      <c r="A845" s="12" t="s">
        <v>1002</v>
      </c>
      <c r="B845" s="12" t="s">
        <v>4681</v>
      </c>
      <c r="C845" s="12"/>
      <c r="D845" s="12"/>
      <c r="E845" s="12">
        <v>2</v>
      </c>
      <c r="F845" s="12" t="s">
        <v>4682</v>
      </c>
      <c r="G845" s="12">
        <v>13</v>
      </c>
      <c r="H845" s="12">
        <v>0</v>
      </c>
      <c r="I845" s="12"/>
      <c r="J845" s="12" t="s">
        <v>4683</v>
      </c>
      <c r="K845" s="12" t="s">
        <v>4684</v>
      </c>
    </row>
    <row r="846" spans="1:11" x14ac:dyDescent="0.3">
      <c r="A846" s="12" t="s">
        <v>1002</v>
      </c>
      <c r="B846" s="12" t="s">
        <v>4685</v>
      </c>
      <c r="C846" s="12" t="s">
        <v>4686</v>
      </c>
      <c r="D846" s="12"/>
      <c r="E846" s="12">
        <v>3</v>
      </c>
      <c r="F846" s="12" t="s">
        <v>4687</v>
      </c>
      <c r="G846" s="12">
        <v>12</v>
      </c>
      <c r="H846" s="12">
        <v>0</v>
      </c>
      <c r="I846" s="12"/>
      <c r="J846" s="12" t="s">
        <v>4688</v>
      </c>
      <c r="K846" s="12" t="s">
        <v>4689</v>
      </c>
    </row>
    <row r="847" spans="1:11" x14ac:dyDescent="0.3">
      <c r="A847" s="12" t="s">
        <v>1002</v>
      </c>
      <c r="B847" s="12" t="s">
        <v>4685</v>
      </c>
      <c r="C847" s="12" t="s">
        <v>4690</v>
      </c>
      <c r="D847" s="12"/>
      <c r="E847" s="12">
        <v>3</v>
      </c>
      <c r="F847" s="12" t="s">
        <v>4691</v>
      </c>
      <c r="G847" s="12">
        <v>454</v>
      </c>
      <c r="H847" s="12">
        <v>0</v>
      </c>
      <c r="I847" s="12"/>
      <c r="J847" s="12" t="s">
        <v>4692</v>
      </c>
      <c r="K847" s="12" t="s">
        <v>4693</v>
      </c>
    </row>
    <row r="848" spans="1:11" x14ac:dyDescent="0.3">
      <c r="A848" s="12" t="s">
        <v>1002</v>
      </c>
      <c r="B848" s="12" t="s">
        <v>4694</v>
      </c>
      <c r="C848" s="12"/>
      <c r="D848" s="12"/>
      <c r="E848" s="12">
        <v>2</v>
      </c>
      <c r="F848" s="12" t="s">
        <v>4695</v>
      </c>
      <c r="G848" s="12">
        <v>35</v>
      </c>
      <c r="H848" s="12">
        <v>0</v>
      </c>
      <c r="I848" s="12"/>
      <c r="J848" s="12" t="s">
        <v>4696</v>
      </c>
      <c r="K848" s="12" t="s">
        <v>4697</v>
      </c>
    </row>
    <row r="849" spans="1:11" x14ac:dyDescent="0.3">
      <c r="A849" s="12" t="s">
        <v>1002</v>
      </c>
      <c r="B849" s="12" t="s">
        <v>4698</v>
      </c>
      <c r="C849" s="12"/>
      <c r="D849" s="12"/>
      <c r="E849" s="12">
        <v>2</v>
      </c>
      <c r="F849" s="12" t="s">
        <v>4699</v>
      </c>
      <c r="G849" s="12">
        <v>47</v>
      </c>
      <c r="H849" s="12">
        <v>0</v>
      </c>
      <c r="I849" s="12"/>
      <c r="J849" s="12" t="s">
        <v>4700</v>
      </c>
      <c r="K849" s="12" t="s">
        <v>4701</v>
      </c>
    </row>
    <row r="850" spans="1:11" x14ac:dyDescent="0.3">
      <c r="A850" s="12" t="s">
        <v>1002</v>
      </c>
      <c r="B850" s="12" t="s">
        <v>4702</v>
      </c>
      <c r="C850" s="12"/>
      <c r="D850" s="12"/>
      <c r="E850" s="12">
        <v>2</v>
      </c>
      <c r="F850" s="12" t="s">
        <v>4703</v>
      </c>
      <c r="G850" s="12">
        <v>217</v>
      </c>
      <c r="H850" s="12">
        <v>0</v>
      </c>
      <c r="I850" s="12"/>
      <c r="J850" s="12" t="s">
        <v>4704</v>
      </c>
      <c r="K850" s="12" t="s">
        <v>4705</v>
      </c>
    </row>
    <row r="851" spans="1:11" x14ac:dyDescent="0.3">
      <c r="A851" s="12" t="s">
        <v>1002</v>
      </c>
      <c r="B851" s="12" t="s">
        <v>4706</v>
      </c>
      <c r="C851" s="12"/>
      <c r="D851" s="12"/>
      <c r="E851" s="12">
        <v>2</v>
      </c>
      <c r="F851" s="12" t="s">
        <v>4707</v>
      </c>
      <c r="G851" s="12">
        <v>146</v>
      </c>
      <c r="H851" s="12">
        <v>0</v>
      </c>
      <c r="I851" s="12"/>
      <c r="J851" s="12" t="s">
        <v>4708</v>
      </c>
      <c r="K851" s="12" t="s">
        <v>4709</v>
      </c>
    </row>
    <row r="852" spans="1:11" x14ac:dyDescent="0.3">
      <c r="A852" s="12" t="s">
        <v>1002</v>
      </c>
      <c r="B852" s="12" t="s">
        <v>4710</v>
      </c>
      <c r="C852" s="12"/>
      <c r="D852" s="12"/>
      <c r="E852" s="12">
        <v>2</v>
      </c>
      <c r="F852" s="12" t="s">
        <v>4711</v>
      </c>
      <c r="G852" s="12">
        <v>251</v>
      </c>
      <c r="H852" s="12">
        <v>0</v>
      </c>
      <c r="I852" s="12"/>
      <c r="J852" s="12" t="s">
        <v>4712</v>
      </c>
      <c r="K852" s="12" t="s">
        <v>4713</v>
      </c>
    </row>
    <row r="853" spans="1:11" x14ac:dyDescent="0.3">
      <c r="A853" s="12" t="s">
        <v>1002</v>
      </c>
      <c r="B853" s="12" t="s">
        <v>4714</v>
      </c>
      <c r="C853" s="12"/>
      <c r="D853" s="12"/>
      <c r="E853" s="12">
        <v>2</v>
      </c>
      <c r="F853" s="12" t="s">
        <v>4715</v>
      </c>
      <c r="G853" s="12">
        <v>224</v>
      </c>
      <c r="H853" s="12">
        <v>0</v>
      </c>
      <c r="I853" s="12"/>
      <c r="J853" s="12" t="s">
        <v>4716</v>
      </c>
      <c r="K853" s="12" t="s">
        <v>4717</v>
      </c>
    </row>
    <row r="854" spans="1:11" x14ac:dyDescent="0.3">
      <c r="A854" s="12" t="s">
        <v>1002</v>
      </c>
      <c r="B854" s="12" t="s">
        <v>4718</v>
      </c>
      <c r="C854" s="12"/>
      <c r="D854" s="12"/>
      <c r="E854" s="12">
        <v>2</v>
      </c>
      <c r="F854" s="12" t="s">
        <v>4719</v>
      </c>
      <c r="G854" s="12">
        <v>319</v>
      </c>
      <c r="H854" s="12">
        <v>0</v>
      </c>
      <c r="I854" s="12"/>
      <c r="J854" s="12" t="s">
        <v>4720</v>
      </c>
      <c r="K854" s="12" t="s">
        <v>4721</v>
      </c>
    </row>
    <row r="855" spans="1:11" x14ac:dyDescent="0.3">
      <c r="A855" s="12" t="s">
        <v>1002</v>
      </c>
      <c r="B855" s="12" t="s">
        <v>4722</v>
      </c>
      <c r="C855" s="12" t="s">
        <v>4723</v>
      </c>
      <c r="D855" s="12"/>
      <c r="E855" s="12">
        <v>3</v>
      </c>
      <c r="F855" s="12" t="s">
        <v>4724</v>
      </c>
      <c r="G855" s="12">
        <v>121</v>
      </c>
      <c r="H855" s="12">
        <v>0</v>
      </c>
      <c r="I855" s="12"/>
      <c r="J855" s="12" t="s">
        <v>4725</v>
      </c>
      <c r="K855" s="12" t="s">
        <v>4726</v>
      </c>
    </row>
    <row r="856" spans="1:11" x14ac:dyDescent="0.3">
      <c r="A856" s="12" t="s">
        <v>1002</v>
      </c>
      <c r="B856" s="12" t="s">
        <v>4722</v>
      </c>
      <c r="C856" s="12" t="s">
        <v>4727</v>
      </c>
      <c r="D856" s="12"/>
      <c r="E856" s="12">
        <v>3</v>
      </c>
      <c r="F856" s="12" t="s">
        <v>4728</v>
      </c>
      <c r="G856" s="12">
        <v>33</v>
      </c>
      <c r="H856" s="12">
        <v>0</v>
      </c>
      <c r="I856" s="12"/>
      <c r="J856" s="12" t="s">
        <v>4729</v>
      </c>
      <c r="K856" s="12" t="s">
        <v>4730</v>
      </c>
    </row>
    <row r="857" spans="1:11" x14ac:dyDescent="0.3">
      <c r="A857" s="12" t="s">
        <v>1002</v>
      </c>
      <c r="B857" s="12" t="s">
        <v>4722</v>
      </c>
      <c r="C857" s="12" t="s">
        <v>4731</v>
      </c>
      <c r="D857" s="12"/>
      <c r="E857" s="12">
        <v>3</v>
      </c>
      <c r="F857" s="12" t="s">
        <v>4732</v>
      </c>
      <c r="G857" s="12">
        <v>131</v>
      </c>
      <c r="H857" s="12">
        <v>0</v>
      </c>
      <c r="I857" s="12"/>
      <c r="J857" s="12" t="s">
        <v>4733</v>
      </c>
      <c r="K857" s="12" t="s">
        <v>4734</v>
      </c>
    </row>
    <row r="858" spans="1:11" x14ac:dyDescent="0.3">
      <c r="A858" s="12" t="s">
        <v>1002</v>
      </c>
      <c r="B858" s="12" t="s">
        <v>4735</v>
      </c>
      <c r="C858" s="12"/>
      <c r="D858" s="12"/>
      <c r="E858" s="12">
        <v>2</v>
      </c>
      <c r="F858" s="12" t="s">
        <v>4736</v>
      </c>
      <c r="G858" s="12">
        <v>64</v>
      </c>
      <c r="H858" s="12">
        <v>0</v>
      </c>
      <c r="I858" s="12"/>
      <c r="J858" s="12" t="s">
        <v>4737</v>
      </c>
      <c r="K858" s="12" t="s">
        <v>4738</v>
      </c>
    </row>
    <row r="859" spans="1:11" x14ac:dyDescent="0.3">
      <c r="A859" s="12" t="s">
        <v>1002</v>
      </c>
      <c r="B859" s="12" t="s">
        <v>4739</v>
      </c>
      <c r="C859" s="12"/>
      <c r="D859" s="12"/>
      <c r="E859" s="12">
        <v>2</v>
      </c>
      <c r="F859" s="12" t="s">
        <v>4740</v>
      </c>
      <c r="G859" s="12">
        <v>191</v>
      </c>
      <c r="H859" s="12">
        <v>0</v>
      </c>
      <c r="I859" s="12"/>
      <c r="J859" s="12" t="s">
        <v>4741</v>
      </c>
      <c r="K859" s="12" t="s">
        <v>4742</v>
      </c>
    </row>
    <row r="860" spans="1:11" x14ac:dyDescent="0.3">
      <c r="A860" s="12" t="s">
        <v>1002</v>
      </c>
      <c r="B860" s="12" t="s">
        <v>4743</v>
      </c>
      <c r="C860" s="12"/>
      <c r="D860" s="12"/>
      <c r="E860" s="12">
        <v>2</v>
      </c>
      <c r="F860" s="12" t="s">
        <v>4744</v>
      </c>
      <c r="G860" s="12">
        <v>23</v>
      </c>
      <c r="H860" s="12">
        <v>0</v>
      </c>
      <c r="I860" s="12"/>
      <c r="J860" s="12" t="s">
        <v>4745</v>
      </c>
      <c r="K860" s="12" t="s">
        <v>4746</v>
      </c>
    </row>
    <row r="861" spans="1:11" x14ac:dyDescent="0.3">
      <c r="A861" s="12" t="s">
        <v>1002</v>
      </c>
      <c r="B861" s="12" t="s">
        <v>4747</v>
      </c>
      <c r="C861" s="12" t="s">
        <v>4748</v>
      </c>
      <c r="D861" s="12"/>
      <c r="E861" s="12">
        <v>3</v>
      </c>
      <c r="F861" s="12" t="s">
        <v>4749</v>
      </c>
      <c r="G861" s="12">
        <v>46</v>
      </c>
      <c r="H861" s="12">
        <v>0</v>
      </c>
      <c r="I861" s="12"/>
      <c r="J861" s="12" t="s">
        <v>4750</v>
      </c>
      <c r="K861" s="12" t="s">
        <v>4751</v>
      </c>
    </row>
    <row r="862" spans="1:11" x14ac:dyDescent="0.3">
      <c r="A862" s="12" t="s">
        <v>1002</v>
      </c>
      <c r="B862" s="12" t="s">
        <v>4747</v>
      </c>
      <c r="C862" s="12" t="s">
        <v>4752</v>
      </c>
      <c r="D862" s="12"/>
      <c r="E862" s="12">
        <v>3</v>
      </c>
      <c r="F862" s="12" t="s">
        <v>4753</v>
      </c>
      <c r="G862" s="12">
        <v>15</v>
      </c>
      <c r="H862" s="12">
        <v>0</v>
      </c>
      <c r="I862" s="12"/>
      <c r="J862" s="12" t="s">
        <v>4754</v>
      </c>
      <c r="K862" s="12" t="s">
        <v>4755</v>
      </c>
    </row>
    <row r="863" spans="1:11" x14ac:dyDescent="0.3">
      <c r="A863" s="12" t="s">
        <v>1002</v>
      </c>
      <c r="B863" s="12" t="s">
        <v>4747</v>
      </c>
      <c r="C863" s="12" t="s">
        <v>4756</v>
      </c>
      <c r="D863" s="12"/>
      <c r="E863" s="12">
        <v>3</v>
      </c>
      <c r="F863" s="12" t="s">
        <v>4757</v>
      </c>
      <c r="G863" s="12">
        <v>5</v>
      </c>
      <c r="H863" s="12">
        <v>0</v>
      </c>
      <c r="I863" s="12"/>
      <c r="J863" s="12" t="s">
        <v>4758</v>
      </c>
      <c r="K863" s="12" t="s">
        <v>4759</v>
      </c>
    </row>
    <row r="864" spans="1:11" x14ac:dyDescent="0.3">
      <c r="A864" s="12" t="s">
        <v>1002</v>
      </c>
      <c r="B864" s="12" t="s">
        <v>1003</v>
      </c>
      <c r="C864" s="12" t="s">
        <v>4760</v>
      </c>
      <c r="D864" s="12"/>
      <c r="E864" s="12">
        <v>3</v>
      </c>
      <c r="F864" s="12" t="s">
        <v>4761</v>
      </c>
      <c r="G864" s="12">
        <v>103</v>
      </c>
      <c r="H864" s="12">
        <v>0</v>
      </c>
      <c r="I864" s="12"/>
      <c r="J864" s="12" t="s">
        <v>4762</v>
      </c>
      <c r="K864" s="12" t="s">
        <v>4763</v>
      </c>
    </row>
    <row r="865" spans="1:11" x14ac:dyDescent="0.3">
      <c r="A865" s="12" t="s">
        <v>1002</v>
      </c>
      <c r="B865" s="12" t="s">
        <v>1003</v>
      </c>
      <c r="C865" s="12" t="s">
        <v>4764</v>
      </c>
      <c r="D865" s="12"/>
      <c r="E865" s="12">
        <v>3</v>
      </c>
      <c r="F865" s="12" t="s">
        <v>4765</v>
      </c>
      <c r="G865" s="12">
        <v>37</v>
      </c>
      <c r="H865" s="12">
        <v>0</v>
      </c>
      <c r="I865" s="12"/>
      <c r="J865" s="12" t="s">
        <v>4766</v>
      </c>
      <c r="K865" s="12" t="s">
        <v>4767</v>
      </c>
    </row>
    <row r="866" spans="1:11" x14ac:dyDescent="0.3">
      <c r="A866" s="12" t="s">
        <v>1002</v>
      </c>
      <c r="B866" s="12" t="s">
        <v>1003</v>
      </c>
      <c r="C866" s="12" t="s">
        <v>1004</v>
      </c>
      <c r="D866" s="12"/>
      <c r="E866" s="12">
        <v>3</v>
      </c>
      <c r="F866" s="12" t="s">
        <v>269</v>
      </c>
      <c r="G866" s="12">
        <v>123</v>
      </c>
      <c r="H866" s="12">
        <v>0</v>
      </c>
      <c r="I866" s="3" t="s">
        <v>267</v>
      </c>
      <c r="J866" s="12" t="s">
        <v>268</v>
      </c>
      <c r="K866" s="12" t="s">
        <v>4768</v>
      </c>
    </row>
    <row r="867" spans="1:11" x14ac:dyDescent="0.3">
      <c r="A867" s="12" t="s">
        <v>1002</v>
      </c>
      <c r="B867" s="12" t="s">
        <v>1003</v>
      </c>
      <c r="C867" s="12" t="s">
        <v>1007</v>
      </c>
      <c r="D867" s="12"/>
      <c r="E867" s="12">
        <v>3</v>
      </c>
      <c r="F867" s="12" t="s">
        <v>273</v>
      </c>
      <c r="G867" s="12">
        <v>149</v>
      </c>
      <c r="H867" s="12">
        <v>0</v>
      </c>
      <c r="I867" s="3" t="s">
        <v>271</v>
      </c>
      <c r="J867" s="12" t="s">
        <v>272</v>
      </c>
      <c r="K867" s="12" t="s">
        <v>4769</v>
      </c>
    </row>
    <row r="868" spans="1:11" x14ac:dyDescent="0.3">
      <c r="A868" s="12" t="s">
        <v>1002</v>
      </c>
      <c r="B868" s="12" t="s">
        <v>1003</v>
      </c>
      <c r="C868" s="12" t="s">
        <v>4770</v>
      </c>
      <c r="D868" s="12"/>
      <c r="E868" s="12">
        <v>3</v>
      </c>
      <c r="F868" s="12" t="s">
        <v>4771</v>
      </c>
      <c r="G868" s="12">
        <v>71</v>
      </c>
      <c r="H868" s="12">
        <v>0</v>
      </c>
      <c r="I868" s="12"/>
      <c r="J868" s="12" t="s">
        <v>4772</v>
      </c>
      <c r="K868" s="12" t="s">
        <v>4773</v>
      </c>
    </row>
    <row r="869" spans="1:11" x14ac:dyDescent="0.3">
      <c r="A869" s="12" t="s">
        <v>4774</v>
      </c>
      <c r="B869" s="12" t="s">
        <v>4775</v>
      </c>
      <c r="C869" s="12" t="s">
        <v>4776</v>
      </c>
      <c r="D869" s="12"/>
      <c r="E869" s="12">
        <v>3</v>
      </c>
      <c r="F869" s="12" t="s">
        <v>4777</v>
      </c>
      <c r="G869" s="12">
        <v>129</v>
      </c>
      <c r="H869" s="12">
        <v>101</v>
      </c>
      <c r="I869" s="12"/>
      <c r="J869" s="12" t="s">
        <v>4778</v>
      </c>
      <c r="K869" s="12" t="s">
        <v>4779</v>
      </c>
    </row>
    <row r="870" spans="1:11" x14ac:dyDescent="0.3">
      <c r="A870" s="12" t="s">
        <v>4774</v>
      </c>
      <c r="B870" s="12" t="s">
        <v>4775</v>
      </c>
      <c r="C870" s="12" t="s">
        <v>4780</v>
      </c>
      <c r="D870" s="12"/>
      <c r="E870" s="12">
        <v>3</v>
      </c>
      <c r="F870" s="12" t="s">
        <v>4781</v>
      </c>
      <c r="G870" s="12">
        <v>220</v>
      </c>
      <c r="H870" s="12">
        <v>210</v>
      </c>
      <c r="I870" s="12"/>
      <c r="J870" s="12" t="s">
        <v>4782</v>
      </c>
      <c r="K870" s="12" t="s">
        <v>4783</v>
      </c>
    </row>
    <row r="871" spans="1:11" x14ac:dyDescent="0.3">
      <c r="A871" s="12" t="s">
        <v>4774</v>
      </c>
      <c r="B871" s="12" t="s">
        <v>4775</v>
      </c>
      <c r="C871" s="12" t="s">
        <v>4784</v>
      </c>
      <c r="D871" s="12"/>
      <c r="E871" s="12">
        <v>3</v>
      </c>
      <c r="F871" s="12" t="s">
        <v>4785</v>
      </c>
      <c r="G871" s="12">
        <v>24</v>
      </c>
      <c r="H871" s="12">
        <v>0</v>
      </c>
      <c r="I871" s="12"/>
      <c r="J871" s="12" t="s">
        <v>4786</v>
      </c>
      <c r="K871" s="12" t="s">
        <v>4787</v>
      </c>
    </row>
    <row r="872" spans="1:11" x14ac:dyDescent="0.3">
      <c r="A872" s="12" t="s">
        <v>4774</v>
      </c>
      <c r="B872" s="12" t="s">
        <v>4788</v>
      </c>
      <c r="C872" s="12"/>
      <c r="D872" s="12"/>
      <c r="E872" s="12">
        <v>2</v>
      </c>
      <c r="F872" s="12" t="s">
        <v>4789</v>
      </c>
      <c r="G872" s="12">
        <v>227</v>
      </c>
      <c r="H872" s="12">
        <v>0</v>
      </c>
      <c r="I872" s="12"/>
      <c r="J872" s="12" t="s">
        <v>4790</v>
      </c>
      <c r="K872" s="12" t="s">
        <v>4791</v>
      </c>
    </row>
    <row r="873" spans="1:11" x14ac:dyDescent="0.3">
      <c r="A873" s="12" t="s">
        <v>4774</v>
      </c>
      <c r="B873" s="12" t="s">
        <v>4792</v>
      </c>
      <c r="C873" s="12"/>
      <c r="D873" s="12"/>
      <c r="E873" s="12">
        <v>2</v>
      </c>
      <c r="F873" s="12" t="s">
        <v>4793</v>
      </c>
      <c r="G873" s="12">
        <v>1065</v>
      </c>
      <c r="H873" s="12">
        <v>0</v>
      </c>
      <c r="I873" s="12"/>
      <c r="J873" s="12" t="s">
        <v>4794</v>
      </c>
      <c r="K873" s="12" t="s">
        <v>4795</v>
      </c>
    </row>
    <row r="874" spans="1:11" x14ac:dyDescent="0.3">
      <c r="A874" s="12" t="s">
        <v>4774</v>
      </c>
      <c r="B874" s="12" t="s">
        <v>4796</v>
      </c>
      <c r="C874" s="12"/>
      <c r="D874" s="12"/>
      <c r="E874" s="12">
        <v>2</v>
      </c>
      <c r="F874" s="12" t="s">
        <v>4797</v>
      </c>
      <c r="G874" s="12">
        <v>84</v>
      </c>
      <c r="H874" s="12">
        <v>0</v>
      </c>
      <c r="I874" s="12"/>
      <c r="J874" s="12" t="s">
        <v>4798</v>
      </c>
      <c r="K874" s="12" t="s">
        <v>4799</v>
      </c>
    </row>
    <row r="875" spans="1:11" x14ac:dyDescent="0.3">
      <c r="A875" s="12" t="s">
        <v>4774</v>
      </c>
      <c r="B875" s="12" t="s">
        <v>4800</v>
      </c>
      <c r="C875" s="12"/>
      <c r="D875" s="12"/>
      <c r="E875" s="12">
        <v>2</v>
      </c>
      <c r="F875" s="12" t="s">
        <v>4801</v>
      </c>
      <c r="G875" s="12">
        <v>243</v>
      </c>
      <c r="H875" s="12">
        <v>0</v>
      </c>
      <c r="I875" s="12"/>
      <c r="J875" s="12" t="s">
        <v>4802</v>
      </c>
      <c r="K875" s="12" t="s">
        <v>4803</v>
      </c>
    </row>
    <row r="876" spans="1:11" x14ac:dyDescent="0.3">
      <c r="A876" s="12" t="s">
        <v>4774</v>
      </c>
      <c r="B876" s="12" t="s">
        <v>4804</v>
      </c>
      <c r="C876" s="12"/>
      <c r="D876" s="12"/>
      <c r="E876" s="12">
        <v>2</v>
      </c>
      <c r="F876" s="12" t="s">
        <v>4805</v>
      </c>
      <c r="G876" s="12">
        <v>22</v>
      </c>
      <c r="H876" s="12">
        <v>0</v>
      </c>
      <c r="I876" s="12"/>
      <c r="J876" s="12" t="s">
        <v>4806</v>
      </c>
      <c r="K876" s="12" t="s">
        <v>4807</v>
      </c>
    </row>
    <row r="877" spans="1:11" x14ac:dyDescent="0.3">
      <c r="A877" s="12" t="s">
        <v>4774</v>
      </c>
      <c r="B877" s="12" t="s">
        <v>4808</v>
      </c>
      <c r="C877" s="12"/>
      <c r="D877" s="12"/>
      <c r="E877" s="12">
        <v>2</v>
      </c>
      <c r="F877" s="12" t="s">
        <v>4809</v>
      </c>
      <c r="G877" s="12">
        <v>778</v>
      </c>
      <c r="H877" s="12">
        <v>0</v>
      </c>
      <c r="I877" s="12"/>
      <c r="J877" s="12" t="s">
        <v>4810</v>
      </c>
      <c r="K877" s="12" t="s">
        <v>4811</v>
      </c>
    </row>
    <row r="878" spans="1:11" x14ac:dyDescent="0.3">
      <c r="A878" s="12" t="s">
        <v>4774</v>
      </c>
      <c r="B878" s="12" t="s">
        <v>4812</v>
      </c>
      <c r="C878" s="12"/>
      <c r="D878" s="12"/>
      <c r="E878" s="12">
        <v>2</v>
      </c>
      <c r="F878" s="12" t="s">
        <v>4813</v>
      </c>
      <c r="G878" s="12">
        <v>9</v>
      </c>
      <c r="H878" s="12">
        <v>0</v>
      </c>
      <c r="I878" s="12"/>
      <c r="J878" s="12" t="s">
        <v>4814</v>
      </c>
      <c r="K878" s="12" t="s">
        <v>4815</v>
      </c>
    </row>
    <row r="879" spans="1:11" x14ac:dyDescent="0.3">
      <c r="A879" s="12" t="s">
        <v>4774</v>
      </c>
      <c r="B879" s="12" t="s">
        <v>4816</v>
      </c>
      <c r="C879" s="12" t="s">
        <v>4817</v>
      </c>
      <c r="D879" s="12"/>
      <c r="E879" s="12">
        <v>3</v>
      </c>
      <c r="F879" s="12" t="s">
        <v>4818</v>
      </c>
      <c r="G879" s="12">
        <v>5</v>
      </c>
      <c r="H879" s="12">
        <v>0</v>
      </c>
      <c r="I879" s="12"/>
      <c r="J879" s="12" t="s">
        <v>4819</v>
      </c>
      <c r="K879" s="12" t="s">
        <v>4820</v>
      </c>
    </row>
    <row r="880" spans="1:11" x14ac:dyDescent="0.3">
      <c r="A880" s="12" t="s">
        <v>4774</v>
      </c>
      <c r="B880" s="12" t="s">
        <v>4816</v>
      </c>
      <c r="C880" s="12" t="s">
        <v>4821</v>
      </c>
      <c r="D880" s="12"/>
      <c r="E880" s="12">
        <v>3</v>
      </c>
      <c r="F880" s="12" t="s">
        <v>4822</v>
      </c>
      <c r="G880" s="12">
        <v>28</v>
      </c>
      <c r="H880" s="12">
        <v>0</v>
      </c>
      <c r="I880" s="12"/>
      <c r="J880" s="12" t="s">
        <v>4823</v>
      </c>
      <c r="K880" s="12" t="s">
        <v>4824</v>
      </c>
    </row>
    <row r="881" spans="1:11" x14ac:dyDescent="0.3">
      <c r="A881" s="12" t="s">
        <v>4774</v>
      </c>
      <c r="B881" s="12" t="s">
        <v>4825</v>
      </c>
      <c r="C881" s="12" t="s">
        <v>4826</v>
      </c>
      <c r="D881" s="12"/>
      <c r="E881" s="12">
        <v>3</v>
      </c>
      <c r="F881" s="12" t="s">
        <v>4827</v>
      </c>
      <c r="G881" s="12">
        <v>52</v>
      </c>
      <c r="H881" s="12">
        <v>0</v>
      </c>
      <c r="I881" s="12"/>
      <c r="J881" s="12" t="s">
        <v>4828</v>
      </c>
      <c r="K881" s="12" t="s">
        <v>4829</v>
      </c>
    </row>
    <row r="882" spans="1:11" x14ac:dyDescent="0.3">
      <c r="A882" s="12" t="s">
        <v>4774</v>
      </c>
      <c r="B882" s="12" t="s">
        <v>4825</v>
      </c>
      <c r="C882" s="12" t="s">
        <v>4830</v>
      </c>
      <c r="D882" s="12"/>
      <c r="E882" s="12">
        <v>3</v>
      </c>
      <c r="F882" s="12" t="s">
        <v>4831</v>
      </c>
      <c r="G882" s="12">
        <v>142</v>
      </c>
      <c r="H882" s="12">
        <v>0</v>
      </c>
      <c r="I882" s="12"/>
      <c r="J882" s="12" t="s">
        <v>4832</v>
      </c>
      <c r="K882" s="12" t="s">
        <v>4833</v>
      </c>
    </row>
    <row r="883" spans="1:11" x14ac:dyDescent="0.3">
      <c r="A883" s="12" t="s">
        <v>4774</v>
      </c>
      <c r="B883" s="12" t="s">
        <v>4825</v>
      </c>
      <c r="C883" s="12" t="s">
        <v>4834</v>
      </c>
      <c r="D883" s="12"/>
      <c r="E883" s="12">
        <v>3</v>
      </c>
      <c r="F883" s="12" t="s">
        <v>4835</v>
      </c>
      <c r="G883" s="12">
        <v>227</v>
      </c>
      <c r="H883" s="12">
        <v>0</v>
      </c>
      <c r="I883" s="12"/>
      <c r="J883" s="12" t="s">
        <v>4836</v>
      </c>
      <c r="K883" s="12" t="s">
        <v>4837</v>
      </c>
    </row>
    <row r="884" spans="1:11" x14ac:dyDescent="0.3">
      <c r="A884" s="12" t="s">
        <v>4774</v>
      </c>
      <c r="B884" s="12" t="s">
        <v>4838</v>
      </c>
      <c r="C884" s="12"/>
      <c r="D884" s="12"/>
      <c r="E884" s="12">
        <v>2</v>
      </c>
      <c r="F884" s="12" t="s">
        <v>4839</v>
      </c>
      <c r="G884" s="12">
        <v>76</v>
      </c>
      <c r="H884" s="12">
        <v>0</v>
      </c>
      <c r="I884" s="12"/>
      <c r="J884" s="12" t="s">
        <v>4840</v>
      </c>
      <c r="K884" s="12" t="s">
        <v>4841</v>
      </c>
    </row>
    <row r="885" spans="1:11" x14ac:dyDescent="0.3">
      <c r="A885" s="12" t="s">
        <v>4842</v>
      </c>
      <c r="B885" s="12" t="s">
        <v>4843</v>
      </c>
      <c r="C885" s="12"/>
      <c r="D885" s="12"/>
      <c r="E885" s="12">
        <v>2</v>
      </c>
      <c r="F885" s="12" t="s">
        <v>4844</v>
      </c>
      <c r="G885" s="12">
        <v>25</v>
      </c>
      <c r="H885" s="12">
        <v>0</v>
      </c>
      <c r="I885" s="12"/>
      <c r="J885" s="12" t="s">
        <v>4845</v>
      </c>
      <c r="K885" s="12" t="s">
        <v>4846</v>
      </c>
    </row>
    <row r="886" spans="1:11" x14ac:dyDescent="0.3">
      <c r="A886" s="12" t="s">
        <v>4842</v>
      </c>
      <c r="B886" s="12" t="s">
        <v>4847</v>
      </c>
      <c r="C886" s="12"/>
      <c r="D886" s="12"/>
      <c r="E886" s="12">
        <v>2</v>
      </c>
      <c r="F886" s="12" t="s">
        <v>4848</v>
      </c>
      <c r="G886" s="12">
        <v>4</v>
      </c>
      <c r="H886" s="12">
        <v>0</v>
      </c>
      <c r="I886" s="12"/>
      <c r="J886" s="12" t="s">
        <v>4849</v>
      </c>
      <c r="K886" s="12" t="s">
        <v>4850</v>
      </c>
    </row>
    <row r="887" spans="1:11" x14ac:dyDescent="0.3">
      <c r="A887" s="12" t="s">
        <v>4842</v>
      </c>
      <c r="B887" s="12" t="s">
        <v>4851</v>
      </c>
      <c r="C887" s="12"/>
      <c r="D887" s="12"/>
      <c r="E887" s="12">
        <v>2</v>
      </c>
      <c r="F887" s="12" t="s">
        <v>4852</v>
      </c>
      <c r="G887" s="12">
        <v>422</v>
      </c>
      <c r="H887" s="12">
        <v>0</v>
      </c>
      <c r="I887" s="12"/>
      <c r="J887" s="12" t="s">
        <v>4853</v>
      </c>
      <c r="K887" s="12" t="s">
        <v>4854</v>
      </c>
    </row>
    <row r="888" spans="1:11" x14ac:dyDescent="0.3">
      <c r="A888" s="12" t="s">
        <v>4842</v>
      </c>
      <c r="B888" s="12" t="s">
        <v>4855</v>
      </c>
      <c r="C888" s="12"/>
      <c r="D888" s="12"/>
      <c r="E888" s="12">
        <v>2</v>
      </c>
      <c r="F888" s="12" t="s">
        <v>4856</v>
      </c>
      <c r="G888" s="12">
        <v>341</v>
      </c>
      <c r="H888" s="12">
        <v>0</v>
      </c>
      <c r="I888" s="12"/>
      <c r="J888" s="12" t="s">
        <v>4857</v>
      </c>
      <c r="K888" s="12" t="s">
        <v>4858</v>
      </c>
    </row>
    <row r="889" spans="1:11" x14ac:dyDescent="0.3">
      <c r="A889" s="12" t="s">
        <v>4842</v>
      </c>
      <c r="B889" s="12" t="s">
        <v>4859</v>
      </c>
      <c r="C889" s="12" t="s">
        <v>4860</v>
      </c>
      <c r="D889" s="12"/>
      <c r="E889" s="12">
        <v>3</v>
      </c>
      <c r="F889" s="12" t="s">
        <v>4861</v>
      </c>
      <c r="G889" s="12">
        <v>70</v>
      </c>
      <c r="H889" s="12">
        <v>0</v>
      </c>
      <c r="I889" s="12"/>
      <c r="J889" s="12" t="s">
        <v>4862</v>
      </c>
      <c r="K889" s="12" t="s">
        <v>4863</v>
      </c>
    </row>
    <row r="890" spans="1:11" x14ac:dyDescent="0.3">
      <c r="A890" s="12" t="s">
        <v>4842</v>
      </c>
      <c r="B890" s="12" t="s">
        <v>4859</v>
      </c>
      <c r="C890" s="12" t="s">
        <v>4864</v>
      </c>
      <c r="D890" s="12"/>
      <c r="E890" s="12">
        <v>3</v>
      </c>
      <c r="F890" s="12" t="s">
        <v>4865</v>
      </c>
      <c r="G890" s="12">
        <v>175</v>
      </c>
      <c r="H890" s="12">
        <v>0</v>
      </c>
      <c r="I890" s="12"/>
      <c r="J890" s="12" t="s">
        <v>4866</v>
      </c>
      <c r="K890" s="12" t="s">
        <v>4867</v>
      </c>
    </row>
    <row r="891" spans="1:11" x14ac:dyDescent="0.3">
      <c r="A891" s="12" t="s">
        <v>4868</v>
      </c>
      <c r="B891" s="12" t="s">
        <v>4869</v>
      </c>
      <c r="C891" s="12"/>
      <c r="D891" s="12"/>
      <c r="E891" s="12">
        <v>2</v>
      </c>
      <c r="F891" s="12" t="s">
        <v>4870</v>
      </c>
      <c r="G891" s="12">
        <v>29</v>
      </c>
      <c r="H891" s="12">
        <v>0</v>
      </c>
      <c r="I891" s="12"/>
      <c r="J891" s="12" t="s">
        <v>4871</v>
      </c>
      <c r="K891" s="12" t="s">
        <v>4872</v>
      </c>
    </row>
    <row r="892" spans="1:11" x14ac:dyDescent="0.3">
      <c r="A892" s="12" t="s">
        <v>4868</v>
      </c>
      <c r="B892" s="12" t="s">
        <v>4873</v>
      </c>
      <c r="C892" s="12" t="s">
        <v>4874</v>
      </c>
      <c r="D892" s="12"/>
      <c r="E892" s="12">
        <v>3</v>
      </c>
      <c r="F892" s="12" t="s">
        <v>4875</v>
      </c>
      <c r="G892" s="12">
        <v>2</v>
      </c>
      <c r="H892" s="12">
        <v>0</v>
      </c>
      <c r="I892" s="12"/>
      <c r="J892" s="12" t="s">
        <v>4876</v>
      </c>
      <c r="K892" s="12" t="s">
        <v>4877</v>
      </c>
    </row>
    <row r="893" spans="1:11" x14ac:dyDescent="0.3">
      <c r="A893" s="12" t="s">
        <v>4868</v>
      </c>
      <c r="B893" s="12" t="s">
        <v>4878</v>
      </c>
      <c r="C893" s="12"/>
      <c r="D893" s="12"/>
      <c r="E893" s="12">
        <v>2</v>
      </c>
      <c r="F893" s="12" t="s">
        <v>4879</v>
      </c>
      <c r="G893" s="12">
        <v>9</v>
      </c>
      <c r="H893" s="12">
        <v>0</v>
      </c>
      <c r="I893" s="12"/>
      <c r="J893" s="12" t="s">
        <v>4880</v>
      </c>
      <c r="K893" s="12" t="s">
        <v>4881</v>
      </c>
    </row>
    <row r="894" spans="1:11" x14ac:dyDescent="0.3">
      <c r="A894" s="12" t="s">
        <v>4868</v>
      </c>
      <c r="B894" s="12" t="s">
        <v>4882</v>
      </c>
      <c r="C894" s="12" t="s">
        <v>4883</v>
      </c>
      <c r="D894" s="12" t="s">
        <v>4884</v>
      </c>
      <c r="E894" s="12">
        <v>4</v>
      </c>
      <c r="F894" s="12" t="s">
        <v>4885</v>
      </c>
      <c r="G894" s="12">
        <v>36</v>
      </c>
      <c r="H894" s="12">
        <v>0</v>
      </c>
      <c r="I894" s="12"/>
      <c r="J894" s="12" t="s">
        <v>4886</v>
      </c>
      <c r="K894" s="12" t="s">
        <v>4887</v>
      </c>
    </row>
    <row r="895" spans="1:11" x14ac:dyDescent="0.3">
      <c r="A895" s="12" t="s">
        <v>4868</v>
      </c>
      <c r="B895" s="12" t="s">
        <v>4882</v>
      </c>
      <c r="C895" s="12" t="s">
        <v>4888</v>
      </c>
      <c r="D895" s="12" t="s">
        <v>4889</v>
      </c>
      <c r="E895" s="12">
        <v>4</v>
      </c>
      <c r="F895" s="12" t="s">
        <v>4890</v>
      </c>
      <c r="G895" s="12">
        <v>22</v>
      </c>
      <c r="H895" s="12">
        <v>0</v>
      </c>
      <c r="I895" s="12"/>
      <c r="J895" s="12" t="s">
        <v>4891</v>
      </c>
      <c r="K895" s="12" t="s">
        <v>4892</v>
      </c>
    </row>
    <row r="896" spans="1:11" x14ac:dyDescent="0.3">
      <c r="A896" s="12" t="s">
        <v>4868</v>
      </c>
      <c r="B896" s="12" t="s">
        <v>4882</v>
      </c>
      <c r="C896" s="12" t="s">
        <v>4888</v>
      </c>
      <c r="D896" s="12" t="s">
        <v>4893</v>
      </c>
      <c r="E896" s="12">
        <v>4</v>
      </c>
      <c r="F896" s="12" t="s">
        <v>4894</v>
      </c>
      <c r="G896" s="12">
        <v>9</v>
      </c>
      <c r="H896" s="12">
        <v>0</v>
      </c>
      <c r="I896" s="12"/>
      <c r="J896" s="12" t="s">
        <v>4895</v>
      </c>
      <c r="K896" s="12" t="s">
        <v>4896</v>
      </c>
    </row>
    <row r="897" spans="1:11" x14ac:dyDescent="0.3">
      <c r="A897" s="12" t="s">
        <v>4868</v>
      </c>
      <c r="B897" s="12" t="s">
        <v>4882</v>
      </c>
      <c r="C897" s="12" t="s">
        <v>4897</v>
      </c>
      <c r="D897" s="12" t="s">
        <v>4898</v>
      </c>
      <c r="E897" s="12">
        <v>4</v>
      </c>
      <c r="F897" s="12" t="s">
        <v>4899</v>
      </c>
      <c r="G897" s="12">
        <v>24</v>
      </c>
      <c r="H897" s="12">
        <v>0</v>
      </c>
      <c r="I897" s="12"/>
      <c r="J897" s="12" t="s">
        <v>4900</v>
      </c>
      <c r="K897" s="12" t="s">
        <v>4901</v>
      </c>
    </row>
    <row r="898" spans="1:11" x14ac:dyDescent="0.3">
      <c r="A898" s="12" t="s">
        <v>4868</v>
      </c>
      <c r="B898" s="12" t="s">
        <v>4902</v>
      </c>
      <c r="C898" s="12"/>
      <c r="D898" s="12"/>
      <c r="E898" s="12">
        <v>2</v>
      </c>
      <c r="F898" s="12" t="s">
        <v>4903</v>
      </c>
      <c r="G898" s="12">
        <v>19</v>
      </c>
      <c r="H898" s="12">
        <v>0</v>
      </c>
      <c r="I898" s="12"/>
      <c r="J898" s="12" t="s">
        <v>4904</v>
      </c>
      <c r="K898" s="12" t="s">
        <v>4905</v>
      </c>
    </row>
    <row r="899" spans="1:11" x14ac:dyDescent="0.3">
      <c r="A899" s="12" t="s">
        <v>4868</v>
      </c>
      <c r="B899" s="12" t="s">
        <v>4906</v>
      </c>
      <c r="C899" s="12" t="s">
        <v>4906</v>
      </c>
      <c r="D899" s="12" t="s">
        <v>4907</v>
      </c>
      <c r="E899" s="12">
        <v>4</v>
      </c>
      <c r="F899" s="12" t="s">
        <v>4908</v>
      </c>
      <c r="G899" s="12">
        <v>4</v>
      </c>
      <c r="H899" s="12">
        <v>0</v>
      </c>
      <c r="I899" s="12"/>
      <c r="J899" s="12" t="s">
        <v>4909</v>
      </c>
      <c r="K899" s="12" t="s">
        <v>4910</v>
      </c>
    </row>
    <row r="900" spans="1:11" x14ac:dyDescent="0.3">
      <c r="A900" s="12" t="s">
        <v>4868</v>
      </c>
      <c r="B900" s="12" t="s">
        <v>4911</v>
      </c>
      <c r="C900" s="12" t="s">
        <v>4912</v>
      </c>
      <c r="D900" s="12"/>
      <c r="E900" s="12">
        <v>3</v>
      </c>
      <c r="F900" s="12" t="s">
        <v>4913</v>
      </c>
      <c r="G900" s="12">
        <v>41</v>
      </c>
      <c r="H900" s="12">
        <v>0</v>
      </c>
      <c r="I900" s="12"/>
      <c r="J900" s="12" t="s">
        <v>4914</v>
      </c>
      <c r="K900" s="12" t="s">
        <v>4915</v>
      </c>
    </row>
    <row r="901" spans="1:11" x14ac:dyDescent="0.3">
      <c r="A901" s="12" t="s">
        <v>4868</v>
      </c>
      <c r="B901" s="12" t="s">
        <v>4911</v>
      </c>
      <c r="C901" s="12" t="s">
        <v>4916</v>
      </c>
      <c r="D901" s="12"/>
      <c r="E901" s="12">
        <v>3</v>
      </c>
      <c r="F901" s="12" t="s">
        <v>4917</v>
      </c>
      <c r="G901" s="12">
        <v>149</v>
      </c>
      <c r="H901" s="12">
        <v>0</v>
      </c>
      <c r="I901" s="12"/>
      <c r="J901" s="12" t="s">
        <v>4918</v>
      </c>
      <c r="K901" s="12" t="s">
        <v>4919</v>
      </c>
    </row>
    <row r="902" spans="1:11" x14ac:dyDescent="0.3">
      <c r="A902" s="12" t="s">
        <v>4868</v>
      </c>
      <c r="B902" s="12" t="s">
        <v>4911</v>
      </c>
      <c r="C902" s="12" t="s">
        <v>4920</v>
      </c>
      <c r="D902" s="12"/>
      <c r="E902" s="12">
        <v>3</v>
      </c>
      <c r="F902" s="12" t="s">
        <v>4921</v>
      </c>
      <c r="G902" s="12">
        <v>9</v>
      </c>
      <c r="H902" s="12">
        <v>0</v>
      </c>
      <c r="I902" s="12"/>
      <c r="J902" s="12" t="s">
        <v>4922</v>
      </c>
      <c r="K902" s="12" t="s">
        <v>4923</v>
      </c>
    </row>
    <row r="903" spans="1:11" x14ac:dyDescent="0.3">
      <c r="A903" s="12" t="s">
        <v>4868</v>
      </c>
      <c r="B903" s="12" t="s">
        <v>4911</v>
      </c>
      <c r="C903" s="12" t="s">
        <v>4924</v>
      </c>
      <c r="D903" s="12"/>
      <c r="E903" s="12">
        <v>3</v>
      </c>
      <c r="F903" s="12" t="s">
        <v>4925</v>
      </c>
      <c r="G903" s="12">
        <v>6</v>
      </c>
      <c r="H903" s="12">
        <v>0</v>
      </c>
      <c r="I903" s="12"/>
      <c r="J903" s="12" t="s">
        <v>4926</v>
      </c>
      <c r="K903" s="12" t="s">
        <v>4927</v>
      </c>
    </row>
    <row r="904" spans="1:11" x14ac:dyDescent="0.3">
      <c r="A904" s="12" t="s">
        <v>4868</v>
      </c>
      <c r="B904" s="12" t="s">
        <v>4928</v>
      </c>
      <c r="C904" s="12" t="s">
        <v>4929</v>
      </c>
      <c r="D904" s="12"/>
      <c r="E904" s="12">
        <v>3</v>
      </c>
      <c r="F904" s="12" t="s">
        <v>4930</v>
      </c>
      <c r="G904" s="12">
        <v>6</v>
      </c>
      <c r="H904" s="12">
        <v>0</v>
      </c>
      <c r="I904" s="12"/>
      <c r="J904" s="12" t="s">
        <v>4931</v>
      </c>
      <c r="K904" s="12" t="s">
        <v>4932</v>
      </c>
    </row>
    <row r="905" spans="1:11" x14ac:dyDescent="0.3">
      <c r="A905" s="12" t="s">
        <v>4868</v>
      </c>
      <c r="B905" s="12" t="s">
        <v>4928</v>
      </c>
      <c r="C905" s="12" t="s">
        <v>4933</v>
      </c>
      <c r="D905" s="12"/>
      <c r="E905" s="12">
        <v>3</v>
      </c>
      <c r="F905" s="12" t="s">
        <v>4934</v>
      </c>
      <c r="G905" s="12">
        <v>2</v>
      </c>
      <c r="H905" s="12">
        <v>0</v>
      </c>
      <c r="I905" s="12"/>
      <c r="J905" s="12" t="s">
        <v>4935</v>
      </c>
      <c r="K905" s="12" t="s">
        <v>4936</v>
      </c>
    </row>
    <row r="906" spans="1:11" x14ac:dyDescent="0.3">
      <c r="A906" s="12" t="s">
        <v>4868</v>
      </c>
      <c r="B906" s="12" t="s">
        <v>4928</v>
      </c>
      <c r="C906" s="12" t="s">
        <v>4937</v>
      </c>
      <c r="D906" s="12"/>
      <c r="E906" s="12">
        <v>3</v>
      </c>
      <c r="F906" s="12" t="s">
        <v>4938</v>
      </c>
      <c r="G906" s="12">
        <v>17</v>
      </c>
      <c r="H906" s="12">
        <v>0</v>
      </c>
      <c r="I906" s="12"/>
      <c r="J906" s="12" t="s">
        <v>4939</v>
      </c>
      <c r="K906" s="12" t="s">
        <v>4940</v>
      </c>
    </row>
    <row r="907" spans="1:11" x14ac:dyDescent="0.3">
      <c r="A907" s="12" t="s">
        <v>4868</v>
      </c>
      <c r="B907" s="12" t="s">
        <v>4928</v>
      </c>
      <c r="C907" s="12" t="s">
        <v>4941</v>
      </c>
      <c r="D907" s="12"/>
      <c r="E907" s="12">
        <v>3</v>
      </c>
      <c r="F907" s="12" t="s">
        <v>4942</v>
      </c>
      <c r="G907" s="12">
        <v>12</v>
      </c>
      <c r="H907" s="12">
        <v>0</v>
      </c>
      <c r="I907" s="12"/>
      <c r="J907" s="12" t="s">
        <v>4943</v>
      </c>
      <c r="K907" s="12" t="s">
        <v>4944</v>
      </c>
    </row>
    <row r="908" spans="1:11" x14ac:dyDescent="0.3">
      <c r="A908" s="12" t="s">
        <v>4868</v>
      </c>
      <c r="B908" s="12" t="s">
        <v>4928</v>
      </c>
      <c r="C908" s="12" t="s">
        <v>4945</v>
      </c>
      <c r="D908" s="12"/>
      <c r="E908" s="12">
        <v>3</v>
      </c>
      <c r="F908" s="12" t="s">
        <v>4946</v>
      </c>
      <c r="G908" s="12">
        <v>25</v>
      </c>
      <c r="H908" s="12">
        <v>0</v>
      </c>
      <c r="I908" s="12"/>
      <c r="J908" s="12" t="s">
        <v>4947</v>
      </c>
      <c r="K908" s="12" t="s">
        <v>4948</v>
      </c>
    </row>
    <row r="909" spans="1:11" x14ac:dyDescent="0.3">
      <c r="A909" s="12" t="s">
        <v>4868</v>
      </c>
      <c r="B909" s="12" t="s">
        <v>4928</v>
      </c>
      <c r="C909" s="12" t="s">
        <v>4949</v>
      </c>
      <c r="D909" s="12"/>
      <c r="E909" s="12">
        <v>3</v>
      </c>
      <c r="F909" s="12" t="s">
        <v>4950</v>
      </c>
      <c r="G909" s="12">
        <v>7</v>
      </c>
      <c r="H909" s="12">
        <v>0</v>
      </c>
      <c r="I909" s="12"/>
      <c r="J909" s="12" t="s">
        <v>4951</v>
      </c>
      <c r="K909" s="12" t="s">
        <v>4952</v>
      </c>
    </row>
    <row r="910" spans="1:11" x14ac:dyDescent="0.3">
      <c r="A910" s="12" t="s">
        <v>4868</v>
      </c>
      <c r="B910" s="12" t="s">
        <v>4928</v>
      </c>
      <c r="C910" s="12" t="s">
        <v>4953</v>
      </c>
      <c r="D910" s="12"/>
      <c r="E910" s="12">
        <v>3</v>
      </c>
      <c r="F910" s="12" t="s">
        <v>4954</v>
      </c>
      <c r="G910" s="12">
        <v>1</v>
      </c>
      <c r="H910" s="12">
        <v>0</v>
      </c>
      <c r="I910" s="12"/>
      <c r="J910" s="12" t="s">
        <v>4955</v>
      </c>
      <c r="K910" s="12" t="s">
        <v>4956</v>
      </c>
    </row>
    <row r="911" spans="1:11" x14ac:dyDescent="0.3">
      <c r="A911" s="12" t="s">
        <v>4868</v>
      </c>
      <c r="B911" s="12" t="s">
        <v>4957</v>
      </c>
      <c r="C911" s="12" t="s">
        <v>4958</v>
      </c>
      <c r="D911" s="12"/>
      <c r="E911" s="12">
        <v>3</v>
      </c>
      <c r="F911" s="12" t="s">
        <v>4959</v>
      </c>
      <c r="G911" s="12">
        <v>23</v>
      </c>
      <c r="H911" s="12">
        <v>0</v>
      </c>
      <c r="I911" s="12"/>
      <c r="J911" s="12" t="s">
        <v>4960</v>
      </c>
      <c r="K911" s="12" t="s">
        <v>4961</v>
      </c>
    </row>
    <row r="912" spans="1:11" x14ac:dyDescent="0.3">
      <c r="A912" s="12" t="s">
        <v>4868</v>
      </c>
      <c r="B912" s="12" t="s">
        <v>4957</v>
      </c>
      <c r="C912" s="12" t="s">
        <v>4962</v>
      </c>
      <c r="D912" s="12"/>
      <c r="E912" s="12">
        <v>3</v>
      </c>
      <c r="F912" s="12" t="s">
        <v>4963</v>
      </c>
      <c r="G912" s="12">
        <v>1</v>
      </c>
      <c r="H912" s="12">
        <v>1</v>
      </c>
      <c r="I912" s="12"/>
      <c r="J912" s="12" t="s">
        <v>4964</v>
      </c>
      <c r="K912" s="12" t="s">
        <v>4965</v>
      </c>
    </row>
    <row r="913" spans="1:11" x14ac:dyDescent="0.3">
      <c r="A913" s="12" t="s">
        <v>4868</v>
      </c>
      <c r="B913" s="12" t="s">
        <v>4957</v>
      </c>
      <c r="C913" s="12" t="s">
        <v>4966</v>
      </c>
      <c r="D913" s="12"/>
      <c r="E913" s="12">
        <v>3</v>
      </c>
      <c r="F913" s="12" t="s">
        <v>4967</v>
      </c>
      <c r="G913" s="12">
        <v>10</v>
      </c>
      <c r="H913" s="12">
        <v>0</v>
      </c>
      <c r="I913" s="12"/>
      <c r="J913" s="12" t="s">
        <v>4968</v>
      </c>
      <c r="K913" s="12" t="s">
        <v>4969</v>
      </c>
    </row>
    <row r="914" spans="1:11" x14ac:dyDescent="0.3">
      <c r="A914" s="12" t="s">
        <v>4868</v>
      </c>
      <c r="B914" s="12" t="s">
        <v>4957</v>
      </c>
      <c r="C914" s="12" t="s">
        <v>4970</v>
      </c>
      <c r="D914" s="12"/>
      <c r="E914" s="12">
        <v>3</v>
      </c>
      <c r="F914" s="12" t="s">
        <v>4971</v>
      </c>
      <c r="G914" s="12">
        <v>13</v>
      </c>
      <c r="H914" s="12">
        <v>0</v>
      </c>
      <c r="I914" s="12"/>
      <c r="J914" s="12" t="s">
        <v>4972</v>
      </c>
      <c r="K914" s="12" t="s">
        <v>4973</v>
      </c>
    </row>
    <row r="915" spans="1:11" x14ac:dyDescent="0.3">
      <c r="A915" s="12" t="s">
        <v>4868</v>
      </c>
      <c r="B915" s="12" t="s">
        <v>4957</v>
      </c>
      <c r="C915" s="12" t="s">
        <v>4974</v>
      </c>
      <c r="D915" s="12"/>
      <c r="E915" s="12">
        <v>3</v>
      </c>
      <c r="F915" s="12" t="s">
        <v>4975</v>
      </c>
      <c r="G915" s="12">
        <v>115</v>
      </c>
      <c r="H915" s="12">
        <v>0</v>
      </c>
      <c r="I915" s="12"/>
      <c r="J915" s="12" t="s">
        <v>4976</v>
      </c>
      <c r="K915" s="12" t="s">
        <v>4977</v>
      </c>
    </row>
    <row r="916" spans="1:11" x14ac:dyDescent="0.3">
      <c r="A916" s="12" t="s">
        <v>4868</v>
      </c>
      <c r="B916" s="12" t="s">
        <v>4957</v>
      </c>
      <c r="C916" s="12" t="s">
        <v>4978</v>
      </c>
      <c r="D916" s="12"/>
      <c r="E916" s="12">
        <v>3</v>
      </c>
      <c r="F916" s="12" t="s">
        <v>4979</v>
      </c>
      <c r="G916" s="12">
        <v>56</v>
      </c>
      <c r="H916" s="12">
        <v>0</v>
      </c>
      <c r="I916" s="12"/>
      <c r="J916" s="12" t="s">
        <v>4980</v>
      </c>
      <c r="K916" s="12" t="s">
        <v>4981</v>
      </c>
    </row>
    <row r="917" spans="1:11" x14ac:dyDescent="0.3">
      <c r="A917" s="12" t="s">
        <v>845</v>
      </c>
      <c r="B917" s="12" t="s">
        <v>4982</v>
      </c>
      <c r="C917" s="12" t="s">
        <v>4983</v>
      </c>
      <c r="D917" s="12"/>
      <c r="E917" s="12">
        <v>3</v>
      </c>
      <c r="F917" s="12" t="s">
        <v>4984</v>
      </c>
      <c r="G917" s="12">
        <v>1</v>
      </c>
      <c r="H917" s="12">
        <v>0</v>
      </c>
      <c r="I917" s="12"/>
      <c r="J917" s="12" t="s">
        <v>4985</v>
      </c>
      <c r="K917" s="12" t="s">
        <v>4986</v>
      </c>
    </row>
    <row r="918" spans="1:11" x14ac:dyDescent="0.3">
      <c r="A918" s="12" t="s">
        <v>845</v>
      </c>
      <c r="B918" s="12" t="s">
        <v>4982</v>
      </c>
      <c r="C918" s="12" t="s">
        <v>4987</v>
      </c>
      <c r="D918" s="12"/>
      <c r="E918" s="12">
        <v>3</v>
      </c>
      <c r="F918" s="12" t="s">
        <v>4988</v>
      </c>
      <c r="G918" s="12">
        <v>541</v>
      </c>
      <c r="H918" s="12">
        <v>0</v>
      </c>
      <c r="I918" s="12"/>
      <c r="J918" s="12" t="s">
        <v>4989</v>
      </c>
      <c r="K918" s="12" t="s">
        <v>4990</v>
      </c>
    </row>
    <row r="919" spans="1:11" x14ac:dyDescent="0.3">
      <c r="A919" s="12" t="s">
        <v>845</v>
      </c>
      <c r="B919" s="12" t="s">
        <v>4982</v>
      </c>
      <c r="C919" s="12" t="s">
        <v>4991</v>
      </c>
      <c r="D919" s="12"/>
      <c r="E919" s="12">
        <v>3</v>
      </c>
      <c r="F919" s="12" t="s">
        <v>4992</v>
      </c>
      <c r="G919" s="12">
        <v>5</v>
      </c>
      <c r="H919" s="12">
        <v>0</v>
      </c>
      <c r="I919" s="12"/>
      <c r="J919" s="12" t="s">
        <v>4993</v>
      </c>
      <c r="K919" s="12" t="s">
        <v>4994</v>
      </c>
    </row>
    <row r="920" spans="1:11" x14ac:dyDescent="0.3">
      <c r="A920" s="12" t="s">
        <v>845</v>
      </c>
      <c r="B920" s="12" t="s">
        <v>4995</v>
      </c>
      <c r="C920" s="12" t="s">
        <v>4996</v>
      </c>
      <c r="D920" s="12"/>
      <c r="E920" s="12">
        <v>3</v>
      </c>
      <c r="F920" s="12" t="s">
        <v>4997</v>
      </c>
      <c r="G920" s="12">
        <v>71</v>
      </c>
      <c r="H920" s="12">
        <v>0</v>
      </c>
      <c r="I920" s="12"/>
      <c r="J920" s="12" t="s">
        <v>4998</v>
      </c>
      <c r="K920" s="12" t="s">
        <v>4999</v>
      </c>
    </row>
    <row r="921" spans="1:11" x14ac:dyDescent="0.3">
      <c r="A921" s="12" t="s">
        <v>845</v>
      </c>
      <c r="B921" s="12" t="s">
        <v>4995</v>
      </c>
      <c r="C921" s="12" t="s">
        <v>4995</v>
      </c>
      <c r="D921" s="12"/>
      <c r="E921" s="12">
        <v>3</v>
      </c>
      <c r="F921" s="12" t="s">
        <v>5000</v>
      </c>
      <c r="G921" s="12">
        <v>131</v>
      </c>
      <c r="H921" s="12">
        <v>0</v>
      </c>
      <c r="I921" s="12"/>
      <c r="J921" s="12" t="s">
        <v>5001</v>
      </c>
      <c r="K921" s="12" t="s">
        <v>5002</v>
      </c>
    </row>
    <row r="922" spans="1:11" x14ac:dyDescent="0.3">
      <c r="A922" s="12" t="s">
        <v>845</v>
      </c>
      <c r="B922" s="12" t="s">
        <v>4995</v>
      </c>
      <c r="C922" s="12" t="s">
        <v>5003</v>
      </c>
      <c r="D922" s="12"/>
      <c r="E922" s="12">
        <v>3</v>
      </c>
      <c r="F922" s="12" t="s">
        <v>5004</v>
      </c>
      <c r="G922" s="12">
        <v>52</v>
      </c>
      <c r="H922" s="12">
        <v>0</v>
      </c>
      <c r="I922" s="12"/>
      <c r="J922" s="12" t="s">
        <v>5005</v>
      </c>
      <c r="K922" s="12" t="s">
        <v>5006</v>
      </c>
    </row>
    <row r="923" spans="1:11" x14ac:dyDescent="0.3">
      <c r="A923" s="12" t="s">
        <v>845</v>
      </c>
      <c r="B923" s="12" t="s">
        <v>4995</v>
      </c>
      <c r="C923" s="12" t="s">
        <v>5007</v>
      </c>
      <c r="D923" s="12"/>
      <c r="E923" s="12">
        <v>3</v>
      </c>
      <c r="F923" s="12" t="s">
        <v>5008</v>
      </c>
      <c r="G923" s="12">
        <v>30</v>
      </c>
      <c r="H923" s="12">
        <v>0</v>
      </c>
      <c r="I923" s="12"/>
      <c r="J923" s="12" t="s">
        <v>5009</v>
      </c>
      <c r="K923" s="12" t="s">
        <v>5010</v>
      </c>
    </row>
    <row r="924" spans="1:11" x14ac:dyDescent="0.3">
      <c r="A924" s="12" t="s">
        <v>845</v>
      </c>
      <c r="B924" s="12" t="s">
        <v>5011</v>
      </c>
      <c r="C924" s="12" t="s">
        <v>5012</v>
      </c>
      <c r="D924" s="12"/>
      <c r="E924" s="12">
        <v>3</v>
      </c>
      <c r="F924" s="12" t="s">
        <v>5013</v>
      </c>
      <c r="G924" s="12">
        <v>209</v>
      </c>
      <c r="H924" s="12">
        <v>0</v>
      </c>
      <c r="I924" s="12"/>
      <c r="J924" s="12" t="s">
        <v>5014</v>
      </c>
      <c r="K924" s="12" t="s">
        <v>5015</v>
      </c>
    </row>
    <row r="925" spans="1:11" x14ac:dyDescent="0.3">
      <c r="A925" s="12" t="s">
        <v>845</v>
      </c>
      <c r="B925" s="12" t="s">
        <v>5011</v>
      </c>
      <c r="C925" s="12" t="s">
        <v>5016</v>
      </c>
      <c r="D925" s="12"/>
      <c r="E925" s="12">
        <v>3</v>
      </c>
      <c r="F925" s="12" t="s">
        <v>5017</v>
      </c>
      <c r="G925" s="12">
        <v>35</v>
      </c>
      <c r="H925" s="12">
        <v>0</v>
      </c>
      <c r="I925" s="12"/>
      <c r="J925" s="12" t="s">
        <v>5018</v>
      </c>
      <c r="K925" s="12" t="s">
        <v>5019</v>
      </c>
    </row>
    <row r="926" spans="1:11" x14ac:dyDescent="0.3">
      <c r="A926" s="12" t="s">
        <v>845</v>
      </c>
      <c r="B926" s="12" t="s">
        <v>5011</v>
      </c>
      <c r="C926" s="12" t="s">
        <v>5020</v>
      </c>
      <c r="D926" s="12"/>
      <c r="E926" s="12">
        <v>3</v>
      </c>
      <c r="F926" s="12" t="s">
        <v>5021</v>
      </c>
      <c r="G926" s="12">
        <v>11</v>
      </c>
      <c r="H926" s="12">
        <v>0</v>
      </c>
      <c r="I926" s="12"/>
      <c r="J926" s="12" t="s">
        <v>5022</v>
      </c>
      <c r="K926" s="12" t="s">
        <v>5023</v>
      </c>
    </row>
    <row r="927" spans="1:11" x14ac:dyDescent="0.3">
      <c r="A927" s="12" t="s">
        <v>845</v>
      </c>
      <c r="B927" s="12" t="s">
        <v>5011</v>
      </c>
      <c r="C927" s="12" t="s">
        <v>5024</v>
      </c>
      <c r="D927" s="12"/>
      <c r="E927" s="12">
        <v>3</v>
      </c>
      <c r="F927" s="12" t="s">
        <v>5025</v>
      </c>
      <c r="G927" s="12">
        <v>11</v>
      </c>
      <c r="H927" s="12">
        <v>0</v>
      </c>
      <c r="I927" s="12"/>
      <c r="J927" s="12" t="s">
        <v>5026</v>
      </c>
      <c r="K927" s="12" t="s">
        <v>5027</v>
      </c>
    </row>
    <row r="928" spans="1:11" x14ac:dyDescent="0.3">
      <c r="A928" s="12" t="s">
        <v>845</v>
      </c>
      <c r="B928" s="12" t="s">
        <v>5011</v>
      </c>
      <c r="C928" s="12" t="s">
        <v>5028</v>
      </c>
      <c r="D928" s="12"/>
      <c r="E928" s="12">
        <v>3</v>
      </c>
      <c r="F928" s="12" t="s">
        <v>5029</v>
      </c>
      <c r="G928" s="12">
        <v>232</v>
      </c>
      <c r="H928" s="12">
        <v>0</v>
      </c>
      <c r="I928" s="12"/>
      <c r="J928" s="12" t="s">
        <v>5030</v>
      </c>
      <c r="K928" s="12" t="s">
        <v>5031</v>
      </c>
    </row>
    <row r="929" spans="1:11" x14ac:dyDescent="0.3">
      <c r="A929" s="12" t="s">
        <v>845</v>
      </c>
      <c r="B929" s="12" t="s">
        <v>5011</v>
      </c>
      <c r="C929" s="12" t="s">
        <v>5032</v>
      </c>
      <c r="D929" s="12"/>
      <c r="E929" s="12">
        <v>3</v>
      </c>
      <c r="F929" s="12" t="s">
        <v>5033</v>
      </c>
      <c r="G929" s="12">
        <v>154</v>
      </c>
      <c r="H929" s="12">
        <v>0</v>
      </c>
      <c r="I929" s="12"/>
      <c r="J929" s="12" t="s">
        <v>5034</v>
      </c>
      <c r="K929" s="12" t="s">
        <v>5035</v>
      </c>
    </row>
    <row r="930" spans="1:11" x14ac:dyDescent="0.3">
      <c r="A930" s="12" t="s">
        <v>845</v>
      </c>
      <c r="B930" s="12" t="s">
        <v>5011</v>
      </c>
      <c r="C930" s="12" t="s">
        <v>5036</v>
      </c>
      <c r="D930" s="12" t="s">
        <v>5037</v>
      </c>
      <c r="E930" s="12">
        <v>4</v>
      </c>
      <c r="F930" s="12" t="s">
        <v>5038</v>
      </c>
      <c r="G930" s="12">
        <v>2</v>
      </c>
      <c r="H930" s="12">
        <v>0</v>
      </c>
      <c r="I930" s="12"/>
      <c r="J930" s="12" t="s">
        <v>5039</v>
      </c>
      <c r="K930" s="12" t="s">
        <v>5040</v>
      </c>
    </row>
    <row r="931" spans="1:11" x14ac:dyDescent="0.3">
      <c r="A931" s="12" t="s">
        <v>845</v>
      </c>
      <c r="B931" s="12" t="s">
        <v>5041</v>
      </c>
      <c r="C931" s="12" t="s">
        <v>5042</v>
      </c>
      <c r="D931" s="12"/>
      <c r="E931" s="12">
        <v>3</v>
      </c>
      <c r="F931" s="12" t="s">
        <v>5043</v>
      </c>
      <c r="G931" s="12">
        <v>132</v>
      </c>
      <c r="H931" s="12">
        <v>0</v>
      </c>
      <c r="I931" s="12"/>
      <c r="J931" s="12" t="s">
        <v>5044</v>
      </c>
      <c r="K931" s="12" t="s">
        <v>5045</v>
      </c>
    </row>
    <row r="932" spans="1:11" x14ac:dyDescent="0.3">
      <c r="A932" s="12" t="s">
        <v>845</v>
      </c>
      <c r="B932" s="12" t="s">
        <v>5041</v>
      </c>
      <c r="C932" s="12" t="s">
        <v>5046</v>
      </c>
      <c r="D932" s="12"/>
      <c r="E932" s="12">
        <v>3</v>
      </c>
      <c r="F932" s="12" t="s">
        <v>5047</v>
      </c>
      <c r="G932" s="12">
        <v>64</v>
      </c>
      <c r="H932" s="12">
        <v>0</v>
      </c>
      <c r="I932" s="12"/>
      <c r="J932" s="12" t="s">
        <v>5048</v>
      </c>
      <c r="K932" s="12" t="s">
        <v>5049</v>
      </c>
    </row>
    <row r="933" spans="1:11" x14ac:dyDescent="0.3">
      <c r="A933" s="12" t="s">
        <v>845</v>
      </c>
      <c r="B933" s="12" t="s">
        <v>5041</v>
      </c>
      <c r="C933" s="12" t="s">
        <v>5050</v>
      </c>
      <c r="D933" s="12"/>
      <c r="E933" s="12">
        <v>3</v>
      </c>
      <c r="F933" s="12" t="s">
        <v>5051</v>
      </c>
      <c r="G933" s="12">
        <v>194</v>
      </c>
      <c r="H933" s="12">
        <v>0</v>
      </c>
      <c r="I933" s="12"/>
      <c r="J933" s="12" t="s">
        <v>5052</v>
      </c>
      <c r="K933" s="12" t="s">
        <v>5053</v>
      </c>
    </row>
    <row r="934" spans="1:11" x14ac:dyDescent="0.3">
      <c r="A934" s="12" t="s">
        <v>845</v>
      </c>
      <c r="B934" s="12" t="s">
        <v>5054</v>
      </c>
      <c r="C934" s="12"/>
      <c r="D934" s="12"/>
      <c r="E934" s="12">
        <v>2</v>
      </c>
      <c r="F934" s="12" t="s">
        <v>5055</v>
      </c>
      <c r="G934" s="12">
        <v>8</v>
      </c>
      <c r="H934" s="12">
        <v>0</v>
      </c>
      <c r="I934" s="12"/>
      <c r="J934" s="12" t="s">
        <v>5056</v>
      </c>
      <c r="K934" s="12" t="s">
        <v>5057</v>
      </c>
    </row>
    <row r="935" spans="1:11" x14ac:dyDescent="0.3">
      <c r="A935" s="12" t="s">
        <v>845</v>
      </c>
      <c r="B935" s="12" t="s">
        <v>846</v>
      </c>
      <c r="C935" s="12" t="s">
        <v>5058</v>
      </c>
      <c r="D935" s="12"/>
      <c r="E935" s="12">
        <v>3</v>
      </c>
      <c r="F935" s="12" t="s">
        <v>5059</v>
      </c>
      <c r="G935" s="12">
        <v>1</v>
      </c>
      <c r="H935" s="12">
        <v>1</v>
      </c>
      <c r="I935" s="12"/>
      <c r="J935" s="12" t="s">
        <v>5060</v>
      </c>
      <c r="K935" s="12" t="s">
        <v>5061</v>
      </c>
    </row>
    <row r="936" spans="1:11" x14ac:dyDescent="0.3">
      <c r="A936" s="12" t="s">
        <v>845</v>
      </c>
      <c r="B936" s="12" t="s">
        <v>846</v>
      </c>
      <c r="C936" s="12" t="s">
        <v>5062</v>
      </c>
      <c r="D936" s="12"/>
      <c r="E936" s="12">
        <v>3</v>
      </c>
      <c r="F936" s="12" t="s">
        <v>5063</v>
      </c>
      <c r="G936" s="12">
        <v>6</v>
      </c>
      <c r="H936" s="12">
        <v>6</v>
      </c>
      <c r="I936" s="12"/>
      <c r="J936" s="12" t="s">
        <v>5064</v>
      </c>
      <c r="K936" s="12" t="s">
        <v>5065</v>
      </c>
    </row>
    <row r="937" spans="1:11" x14ac:dyDescent="0.3">
      <c r="A937" s="12" t="s">
        <v>845</v>
      </c>
      <c r="B937" s="12" t="s">
        <v>846</v>
      </c>
      <c r="C937" s="12" t="s">
        <v>5066</v>
      </c>
      <c r="D937" s="12"/>
      <c r="E937" s="12">
        <v>3</v>
      </c>
      <c r="F937" s="12" t="s">
        <v>5067</v>
      </c>
      <c r="G937" s="12">
        <v>4</v>
      </c>
      <c r="H937" s="12">
        <v>4</v>
      </c>
      <c r="I937" s="12"/>
      <c r="J937" s="12" t="s">
        <v>5068</v>
      </c>
      <c r="K937" s="12" t="s">
        <v>5069</v>
      </c>
    </row>
    <row r="938" spans="1:11" x14ac:dyDescent="0.3">
      <c r="A938" s="12" t="s">
        <v>845</v>
      </c>
      <c r="B938" s="12" t="s">
        <v>846</v>
      </c>
      <c r="C938" s="12" t="s">
        <v>5070</v>
      </c>
      <c r="D938" s="12"/>
      <c r="E938" s="12">
        <v>3</v>
      </c>
      <c r="F938" s="12" t="s">
        <v>5071</v>
      </c>
      <c r="G938" s="12">
        <v>7</v>
      </c>
      <c r="H938" s="12">
        <v>6</v>
      </c>
      <c r="I938" s="12"/>
      <c r="J938" s="12" t="s">
        <v>5072</v>
      </c>
      <c r="K938" s="12" t="s">
        <v>5073</v>
      </c>
    </row>
    <row r="939" spans="1:11" x14ac:dyDescent="0.3">
      <c r="A939" s="12" t="s">
        <v>845</v>
      </c>
      <c r="B939" s="12" t="s">
        <v>846</v>
      </c>
      <c r="C939" s="12" t="s">
        <v>847</v>
      </c>
      <c r="D939" s="12"/>
      <c r="E939" s="12">
        <v>3</v>
      </c>
      <c r="F939" s="12" t="s">
        <v>256</v>
      </c>
      <c r="G939" s="12">
        <v>99</v>
      </c>
      <c r="H939" s="12">
        <v>98</v>
      </c>
      <c r="I939" s="3" t="s">
        <v>254</v>
      </c>
      <c r="J939" s="12" t="s">
        <v>255</v>
      </c>
      <c r="K939" s="12" t="s">
        <v>445</v>
      </c>
    </row>
    <row r="940" spans="1:11" x14ac:dyDescent="0.3">
      <c r="A940" s="12" t="s">
        <v>845</v>
      </c>
      <c r="B940" s="12" t="s">
        <v>846</v>
      </c>
      <c r="C940" s="12" t="s">
        <v>5074</v>
      </c>
      <c r="D940" s="12"/>
      <c r="E940" s="12">
        <v>3</v>
      </c>
      <c r="F940" s="12" t="s">
        <v>5075</v>
      </c>
      <c r="G940" s="12">
        <v>19</v>
      </c>
      <c r="H940" s="12">
        <v>18</v>
      </c>
      <c r="I940" s="12"/>
      <c r="J940" s="12" t="s">
        <v>5076</v>
      </c>
      <c r="K940" s="12" t="s">
        <v>5077</v>
      </c>
    </row>
    <row r="941" spans="1:11" x14ac:dyDescent="0.3">
      <c r="A941" s="12" t="s">
        <v>845</v>
      </c>
      <c r="B941" s="12" t="s">
        <v>5078</v>
      </c>
      <c r="C941" s="12" t="s">
        <v>5079</v>
      </c>
      <c r="D941" s="12"/>
      <c r="E941" s="12">
        <v>3</v>
      </c>
      <c r="F941" s="12" t="s">
        <v>5080</v>
      </c>
      <c r="G941" s="12">
        <v>1</v>
      </c>
      <c r="H941" s="12">
        <v>0</v>
      </c>
      <c r="I941" s="12"/>
      <c r="J941" s="12" t="s">
        <v>5081</v>
      </c>
      <c r="K941" s="12" t="s">
        <v>5082</v>
      </c>
    </row>
    <row r="942" spans="1:11" x14ac:dyDescent="0.3">
      <c r="A942" s="12" t="s">
        <v>845</v>
      </c>
      <c r="B942" s="12" t="s">
        <v>5078</v>
      </c>
      <c r="C942" s="12" t="s">
        <v>5083</v>
      </c>
      <c r="D942" s="12"/>
      <c r="E942" s="12">
        <v>3</v>
      </c>
      <c r="F942" s="12" t="s">
        <v>5084</v>
      </c>
      <c r="G942" s="12">
        <v>155</v>
      </c>
      <c r="H942" s="12">
        <v>0</v>
      </c>
      <c r="I942" s="12"/>
      <c r="J942" s="12" t="s">
        <v>5085</v>
      </c>
      <c r="K942" s="12" t="s">
        <v>5086</v>
      </c>
    </row>
    <row r="943" spans="1:11" x14ac:dyDescent="0.3">
      <c r="A943" s="12" t="s">
        <v>845</v>
      </c>
      <c r="B943" s="12" t="s">
        <v>5078</v>
      </c>
      <c r="C943" s="12" t="s">
        <v>5087</v>
      </c>
      <c r="D943" s="12"/>
      <c r="E943" s="12">
        <v>3</v>
      </c>
      <c r="F943" s="12" t="s">
        <v>5088</v>
      </c>
      <c r="G943" s="12">
        <v>729</v>
      </c>
      <c r="H943" s="12">
        <v>0</v>
      </c>
      <c r="I943" s="12"/>
      <c r="J943" s="12" t="s">
        <v>5089</v>
      </c>
      <c r="K943" s="12" t="s">
        <v>5090</v>
      </c>
    </row>
    <row r="944" spans="1:11" x14ac:dyDescent="0.3">
      <c r="A944" s="12" t="s">
        <v>845</v>
      </c>
      <c r="B944" s="12" t="s">
        <v>5078</v>
      </c>
      <c r="C944" s="12" t="s">
        <v>5091</v>
      </c>
      <c r="D944" s="12"/>
      <c r="E944" s="12">
        <v>3</v>
      </c>
      <c r="F944" s="12" t="s">
        <v>5092</v>
      </c>
      <c r="G944" s="12">
        <v>5</v>
      </c>
      <c r="H944" s="12">
        <v>0</v>
      </c>
      <c r="I944" s="12"/>
      <c r="J944" s="12" t="s">
        <v>5093</v>
      </c>
      <c r="K944" s="12" t="s">
        <v>5094</v>
      </c>
    </row>
    <row r="945" spans="1:11" x14ac:dyDescent="0.3">
      <c r="A945" s="12" t="s">
        <v>845</v>
      </c>
      <c r="B945" s="12" t="s">
        <v>5078</v>
      </c>
      <c r="C945" s="12" t="s">
        <v>5095</v>
      </c>
      <c r="D945" s="12"/>
      <c r="E945" s="12">
        <v>3</v>
      </c>
      <c r="F945" s="12" t="s">
        <v>5096</v>
      </c>
      <c r="G945" s="12">
        <v>28</v>
      </c>
      <c r="H945" s="12">
        <v>0</v>
      </c>
      <c r="I945" s="12"/>
      <c r="J945" s="12" t="s">
        <v>5097</v>
      </c>
      <c r="K945" s="12" t="s">
        <v>5098</v>
      </c>
    </row>
    <row r="946" spans="1:11" x14ac:dyDescent="0.3">
      <c r="A946" s="12" t="s">
        <v>845</v>
      </c>
      <c r="B946" s="12" t="s">
        <v>5099</v>
      </c>
      <c r="C946" s="12" t="s">
        <v>5100</v>
      </c>
      <c r="D946" s="12"/>
      <c r="E946" s="12">
        <v>3</v>
      </c>
      <c r="F946" s="12" t="s">
        <v>5101</v>
      </c>
      <c r="G946" s="12">
        <v>7</v>
      </c>
      <c r="H946" s="12">
        <v>0</v>
      </c>
      <c r="I946" s="12"/>
      <c r="J946" s="12" t="s">
        <v>5102</v>
      </c>
      <c r="K946" s="12" t="s">
        <v>5103</v>
      </c>
    </row>
    <row r="947" spans="1:11" x14ac:dyDescent="0.3">
      <c r="A947" s="12" t="s">
        <v>845</v>
      </c>
      <c r="B947" s="12" t="s">
        <v>5099</v>
      </c>
      <c r="C947" s="12" t="s">
        <v>5104</v>
      </c>
      <c r="D947" s="12"/>
      <c r="E947" s="12">
        <v>3</v>
      </c>
      <c r="F947" s="12" t="s">
        <v>5105</v>
      </c>
      <c r="G947" s="12">
        <v>5</v>
      </c>
      <c r="H947" s="12">
        <v>0</v>
      </c>
      <c r="I947" s="12"/>
      <c r="J947" s="12" t="s">
        <v>5106</v>
      </c>
      <c r="K947" s="12" t="s">
        <v>5107</v>
      </c>
    </row>
    <row r="948" spans="1:11" x14ac:dyDescent="0.3">
      <c r="A948" s="12" t="s">
        <v>845</v>
      </c>
      <c r="B948" s="12" t="s">
        <v>5099</v>
      </c>
      <c r="C948" s="12" t="s">
        <v>5108</v>
      </c>
      <c r="D948" s="12"/>
      <c r="E948" s="12">
        <v>3</v>
      </c>
      <c r="F948" s="12" t="s">
        <v>5109</v>
      </c>
      <c r="G948" s="12">
        <v>26</v>
      </c>
      <c r="H948" s="12">
        <v>0</v>
      </c>
      <c r="I948" s="12"/>
      <c r="J948" s="12" t="s">
        <v>5110</v>
      </c>
      <c r="K948" s="12" t="s">
        <v>5111</v>
      </c>
    </row>
    <row r="949" spans="1:11" x14ac:dyDescent="0.3">
      <c r="A949" s="12" t="s">
        <v>845</v>
      </c>
      <c r="B949" s="12" t="s">
        <v>5099</v>
      </c>
      <c r="C949" s="12" t="s">
        <v>5112</v>
      </c>
      <c r="D949" s="12"/>
      <c r="E949" s="12">
        <v>3</v>
      </c>
      <c r="F949" s="12" t="s">
        <v>5113</v>
      </c>
      <c r="G949" s="12">
        <v>3</v>
      </c>
      <c r="H949" s="12">
        <v>0</v>
      </c>
      <c r="I949" s="12"/>
      <c r="J949" s="12" t="s">
        <v>5114</v>
      </c>
      <c r="K949" s="12" t="s">
        <v>5115</v>
      </c>
    </row>
    <row r="950" spans="1:11" x14ac:dyDescent="0.3">
      <c r="A950" s="12" t="s">
        <v>845</v>
      </c>
      <c r="B950" s="12" t="s">
        <v>5099</v>
      </c>
      <c r="C950" s="12" t="s">
        <v>5116</v>
      </c>
      <c r="D950" s="12"/>
      <c r="E950" s="12">
        <v>3</v>
      </c>
      <c r="F950" s="12" t="s">
        <v>5117</v>
      </c>
      <c r="G950" s="12">
        <v>1</v>
      </c>
      <c r="H950" s="12">
        <v>0</v>
      </c>
      <c r="I950" s="12"/>
      <c r="J950" s="12" t="s">
        <v>5118</v>
      </c>
      <c r="K950" s="12" t="s">
        <v>5119</v>
      </c>
    </row>
    <row r="951" spans="1:11" x14ac:dyDescent="0.3">
      <c r="A951" s="12" t="s">
        <v>845</v>
      </c>
      <c r="B951" s="12" t="s">
        <v>5099</v>
      </c>
      <c r="C951" s="12" t="s">
        <v>5120</v>
      </c>
      <c r="D951" s="12"/>
      <c r="E951" s="12">
        <v>3</v>
      </c>
      <c r="F951" s="12" t="s">
        <v>5121</v>
      </c>
      <c r="G951" s="12">
        <v>7</v>
      </c>
      <c r="H951" s="12">
        <v>0</v>
      </c>
      <c r="I951" s="12"/>
      <c r="J951" s="12" t="s">
        <v>5122</v>
      </c>
      <c r="K951" s="12" t="s">
        <v>5123</v>
      </c>
    </row>
    <row r="952" spans="1:11" x14ac:dyDescent="0.3">
      <c r="A952" s="12" t="s">
        <v>845</v>
      </c>
      <c r="B952" s="12" t="s">
        <v>5099</v>
      </c>
      <c r="C952" s="12" t="s">
        <v>5124</v>
      </c>
      <c r="D952" s="12"/>
      <c r="E952" s="12">
        <v>3</v>
      </c>
      <c r="F952" s="12" t="s">
        <v>5125</v>
      </c>
      <c r="G952" s="12">
        <v>64</v>
      </c>
      <c r="H952" s="12">
        <v>0</v>
      </c>
      <c r="I952" s="12"/>
      <c r="J952" s="12" t="s">
        <v>5126</v>
      </c>
      <c r="K952" s="12" t="s">
        <v>5127</v>
      </c>
    </row>
    <row r="953" spans="1:11" x14ac:dyDescent="0.3">
      <c r="A953" s="12" t="s">
        <v>845</v>
      </c>
      <c r="B953" s="12" t="s">
        <v>5099</v>
      </c>
      <c r="C953" s="12" t="s">
        <v>5128</v>
      </c>
      <c r="D953" s="12"/>
      <c r="E953" s="12">
        <v>3</v>
      </c>
      <c r="F953" s="12" t="s">
        <v>5129</v>
      </c>
      <c r="G953" s="12">
        <v>9</v>
      </c>
      <c r="H953" s="12">
        <v>0</v>
      </c>
      <c r="I953" s="12"/>
      <c r="J953" s="12" t="s">
        <v>5130</v>
      </c>
      <c r="K953" s="12" t="s">
        <v>5131</v>
      </c>
    </row>
    <row r="954" spans="1:11" x14ac:dyDescent="0.3">
      <c r="A954" s="12" t="s">
        <v>845</v>
      </c>
      <c r="B954" s="12" t="s">
        <v>5099</v>
      </c>
      <c r="C954" s="12" t="s">
        <v>5132</v>
      </c>
      <c r="D954" s="12"/>
      <c r="E954" s="12">
        <v>3</v>
      </c>
      <c r="F954" s="12" t="s">
        <v>5133</v>
      </c>
      <c r="G954" s="12">
        <v>9</v>
      </c>
      <c r="H954" s="12">
        <v>0</v>
      </c>
      <c r="I954" s="12"/>
      <c r="J954" s="12" t="s">
        <v>5134</v>
      </c>
      <c r="K954" s="12" t="s">
        <v>5135</v>
      </c>
    </row>
    <row r="955" spans="1:11" x14ac:dyDescent="0.3">
      <c r="A955" s="12" t="s">
        <v>845</v>
      </c>
      <c r="B955" s="12" t="s">
        <v>5099</v>
      </c>
      <c r="C955" s="12" t="s">
        <v>5136</v>
      </c>
      <c r="D955" s="12"/>
      <c r="E955" s="12">
        <v>3</v>
      </c>
      <c r="F955" s="12" t="s">
        <v>5137</v>
      </c>
      <c r="G955" s="12">
        <v>6</v>
      </c>
      <c r="H955" s="12">
        <v>0</v>
      </c>
      <c r="I955" s="12"/>
      <c r="J955" s="12" t="s">
        <v>5138</v>
      </c>
      <c r="K955" s="12" t="s">
        <v>5139</v>
      </c>
    </row>
    <row r="956" spans="1:11" x14ac:dyDescent="0.3">
      <c r="A956" s="12" t="s">
        <v>845</v>
      </c>
      <c r="B956" s="12" t="s">
        <v>5140</v>
      </c>
      <c r="C956" s="12" t="s">
        <v>5141</v>
      </c>
      <c r="D956" s="12" t="s">
        <v>5142</v>
      </c>
      <c r="E956" s="12">
        <v>4</v>
      </c>
      <c r="F956" s="12" t="s">
        <v>5143</v>
      </c>
      <c r="G956" s="12">
        <v>5</v>
      </c>
      <c r="H956" s="12">
        <v>0</v>
      </c>
      <c r="I956" s="12"/>
      <c r="J956" s="12" t="s">
        <v>5144</v>
      </c>
      <c r="K956" s="12" t="s">
        <v>5145</v>
      </c>
    </row>
    <row r="957" spans="1:11" x14ac:dyDescent="0.3">
      <c r="A957" s="12" t="s">
        <v>845</v>
      </c>
      <c r="B957" s="12" t="s">
        <v>5140</v>
      </c>
      <c r="C957" s="12" t="s">
        <v>5141</v>
      </c>
      <c r="D957" s="12" t="s">
        <v>5146</v>
      </c>
      <c r="E957" s="12">
        <v>4</v>
      </c>
      <c r="F957" s="12" t="s">
        <v>5147</v>
      </c>
      <c r="G957" s="12">
        <v>1</v>
      </c>
      <c r="H957" s="12">
        <v>0</v>
      </c>
      <c r="I957" s="12"/>
      <c r="J957" s="12" t="s">
        <v>5148</v>
      </c>
      <c r="K957" s="12" t="s">
        <v>5149</v>
      </c>
    </row>
    <row r="958" spans="1:11" x14ac:dyDescent="0.3">
      <c r="A958" s="12" t="s">
        <v>845</v>
      </c>
      <c r="B958" s="12" t="s">
        <v>5140</v>
      </c>
      <c r="C958" s="12" t="s">
        <v>5150</v>
      </c>
      <c r="D958" s="12"/>
      <c r="E958" s="12">
        <v>3</v>
      </c>
      <c r="F958" s="12" t="s">
        <v>5151</v>
      </c>
      <c r="G958" s="12">
        <v>3</v>
      </c>
      <c r="H958" s="12">
        <v>0</v>
      </c>
      <c r="I958" s="12"/>
      <c r="J958" s="12" t="s">
        <v>5152</v>
      </c>
      <c r="K958" s="12" t="s">
        <v>5153</v>
      </c>
    </row>
    <row r="959" spans="1:11" x14ac:dyDescent="0.3">
      <c r="A959" s="12" t="s">
        <v>845</v>
      </c>
      <c r="B959" s="12" t="s">
        <v>5140</v>
      </c>
      <c r="C959" s="12" t="s">
        <v>5154</v>
      </c>
      <c r="D959" s="12" t="s">
        <v>5155</v>
      </c>
      <c r="E959" s="12">
        <v>4</v>
      </c>
      <c r="F959" s="12" t="s">
        <v>5156</v>
      </c>
      <c r="G959" s="12">
        <v>8</v>
      </c>
      <c r="H959" s="12">
        <v>0</v>
      </c>
      <c r="I959" s="12"/>
      <c r="J959" s="12" t="s">
        <v>5157</v>
      </c>
      <c r="K959" s="12" t="s">
        <v>5158</v>
      </c>
    </row>
    <row r="960" spans="1:11" x14ac:dyDescent="0.3">
      <c r="A960" s="12" t="s">
        <v>845</v>
      </c>
      <c r="B960" s="12" t="s">
        <v>5140</v>
      </c>
      <c r="C960" s="12" t="s">
        <v>5154</v>
      </c>
      <c r="D960" s="12" t="s">
        <v>5159</v>
      </c>
      <c r="E960" s="12">
        <v>4</v>
      </c>
      <c r="F960" s="12" t="s">
        <v>5160</v>
      </c>
      <c r="G960" s="12">
        <v>3</v>
      </c>
      <c r="H960" s="12">
        <v>0</v>
      </c>
      <c r="I960" s="12"/>
      <c r="J960" s="12" t="s">
        <v>5161</v>
      </c>
      <c r="K960" s="12" t="s">
        <v>5162</v>
      </c>
    </row>
    <row r="961" spans="1:11" x14ac:dyDescent="0.3">
      <c r="A961" s="12" t="s">
        <v>845</v>
      </c>
      <c r="B961" s="12" t="s">
        <v>5140</v>
      </c>
      <c r="C961" s="12" t="s">
        <v>5154</v>
      </c>
      <c r="D961" s="12" t="s">
        <v>5163</v>
      </c>
      <c r="E961" s="12">
        <v>4</v>
      </c>
      <c r="F961" s="12" t="s">
        <v>5164</v>
      </c>
      <c r="G961" s="12">
        <v>2</v>
      </c>
      <c r="H961" s="12">
        <v>0</v>
      </c>
      <c r="I961" s="12"/>
      <c r="J961" s="12" t="s">
        <v>5165</v>
      </c>
      <c r="K961" s="12" t="s">
        <v>5166</v>
      </c>
    </row>
    <row r="962" spans="1:11" x14ac:dyDescent="0.3">
      <c r="A962" s="12" t="s">
        <v>845</v>
      </c>
      <c r="B962" s="12" t="s">
        <v>5140</v>
      </c>
      <c r="C962" s="12" t="s">
        <v>5154</v>
      </c>
      <c r="D962" s="12" t="s">
        <v>5167</v>
      </c>
      <c r="E962" s="12">
        <v>4</v>
      </c>
      <c r="F962" s="12" t="s">
        <v>5168</v>
      </c>
      <c r="G962" s="12">
        <v>7</v>
      </c>
      <c r="H962" s="12">
        <v>0</v>
      </c>
      <c r="I962" s="12"/>
      <c r="J962" s="12" t="s">
        <v>5169</v>
      </c>
      <c r="K962" s="12" t="s">
        <v>5170</v>
      </c>
    </row>
    <row r="963" spans="1:11" x14ac:dyDescent="0.3">
      <c r="A963" s="12" t="s">
        <v>845</v>
      </c>
      <c r="B963" s="12" t="s">
        <v>5140</v>
      </c>
      <c r="C963" s="12" t="s">
        <v>5154</v>
      </c>
      <c r="D963" s="12" t="s">
        <v>5171</v>
      </c>
      <c r="E963" s="12">
        <v>4</v>
      </c>
      <c r="F963" s="12" t="s">
        <v>5172</v>
      </c>
      <c r="G963" s="12">
        <v>26</v>
      </c>
      <c r="H963" s="12">
        <v>0</v>
      </c>
      <c r="I963" s="12"/>
      <c r="J963" s="12" t="s">
        <v>5173</v>
      </c>
      <c r="K963" s="12" t="s">
        <v>5174</v>
      </c>
    </row>
    <row r="964" spans="1:11" x14ac:dyDescent="0.3">
      <c r="A964" s="12" t="s">
        <v>845</v>
      </c>
      <c r="B964" s="12" t="s">
        <v>5140</v>
      </c>
      <c r="C964" s="12" t="s">
        <v>5175</v>
      </c>
      <c r="D964" s="12" t="s">
        <v>5176</v>
      </c>
      <c r="E964" s="12">
        <v>4</v>
      </c>
      <c r="F964" s="12" t="s">
        <v>5177</v>
      </c>
      <c r="G964" s="12">
        <v>1</v>
      </c>
      <c r="H964" s="12">
        <v>0</v>
      </c>
      <c r="I964" s="12"/>
      <c r="J964" s="12" t="s">
        <v>5178</v>
      </c>
      <c r="K964" s="12" t="s">
        <v>5179</v>
      </c>
    </row>
    <row r="965" spans="1:11" x14ac:dyDescent="0.3">
      <c r="A965" s="12" t="s">
        <v>845</v>
      </c>
      <c r="B965" s="12" t="s">
        <v>5140</v>
      </c>
      <c r="C965" s="12" t="s">
        <v>5175</v>
      </c>
      <c r="D965" s="12" t="s">
        <v>5180</v>
      </c>
      <c r="E965" s="12">
        <v>4</v>
      </c>
      <c r="F965" s="12" t="s">
        <v>5181</v>
      </c>
      <c r="G965" s="12">
        <v>3</v>
      </c>
      <c r="H965" s="12">
        <v>0</v>
      </c>
      <c r="I965" s="12"/>
      <c r="J965" s="12" t="s">
        <v>5182</v>
      </c>
      <c r="K965" s="12" t="s">
        <v>5183</v>
      </c>
    </row>
    <row r="966" spans="1:11" x14ac:dyDescent="0.3">
      <c r="A966" s="12" t="s">
        <v>845</v>
      </c>
      <c r="B966" s="12" t="s">
        <v>5140</v>
      </c>
      <c r="C966" s="12" t="s">
        <v>5175</v>
      </c>
      <c r="D966" s="12" t="s">
        <v>5184</v>
      </c>
      <c r="E966" s="12">
        <v>4</v>
      </c>
      <c r="F966" s="12" t="s">
        <v>5185</v>
      </c>
      <c r="G966" s="12">
        <v>1</v>
      </c>
      <c r="H966" s="12">
        <v>0</v>
      </c>
      <c r="I966" s="12"/>
      <c r="J966" s="12" t="s">
        <v>5186</v>
      </c>
      <c r="K966" s="12" t="s">
        <v>5187</v>
      </c>
    </row>
    <row r="967" spans="1:11" x14ac:dyDescent="0.3">
      <c r="A967" s="12" t="s">
        <v>845</v>
      </c>
      <c r="B967" s="12" t="s">
        <v>5140</v>
      </c>
      <c r="C967" s="12" t="s">
        <v>5175</v>
      </c>
      <c r="D967" s="12" t="s">
        <v>5188</v>
      </c>
      <c r="E967" s="12">
        <v>4</v>
      </c>
      <c r="F967" s="12" t="s">
        <v>5189</v>
      </c>
      <c r="G967" s="12">
        <v>1</v>
      </c>
      <c r="H967" s="12">
        <v>0</v>
      </c>
      <c r="I967" s="12"/>
      <c r="J967" s="12" t="s">
        <v>5190</v>
      </c>
      <c r="K967" s="12" t="s">
        <v>5191</v>
      </c>
    </row>
    <row r="968" spans="1:11" x14ac:dyDescent="0.3">
      <c r="A968" s="12" t="s">
        <v>845</v>
      </c>
      <c r="B968" s="12" t="s">
        <v>5140</v>
      </c>
      <c r="C968" s="12" t="s">
        <v>5192</v>
      </c>
      <c r="D968" s="12" t="s">
        <v>5193</v>
      </c>
      <c r="E968" s="12">
        <v>4</v>
      </c>
      <c r="F968" s="12" t="s">
        <v>5194</v>
      </c>
      <c r="G968" s="12">
        <v>1</v>
      </c>
      <c r="H968" s="12">
        <v>0</v>
      </c>
      <c r="I968" s="12"/>
      <c r="J968" s="12" t="s">
        <v>5195</v>
      </c>
      <c r="K968" s="12" t="s">
        <v>5196</v>
      </c>
    </row>
    <row r="969" spans="1:11" x14ac:dyDescent="0.3">
      <c r="A969" s="12" t="s">
        <v>845</v>
      </c>
      <c r="B969" s="12" t="s">
        <v>5140</v>
      </c>
      <c r="C969" s="12" t="s">
        <v>5192</v>
      </c>
      <c r="D969" s="12" t="s">
        <v>5197</v>
      </c>
      <c r="E969" s="12">
        <v>4</v>
      </c>
      <c r="F969" s="12" t="s">
        <v>5198</v>
      </c>
      <c r="G969" s="12">
        <v>11</v>
      </c>
      <c r="H969" s="12">
        <v>0</v>
      </c>
      <c r="I969" s="12"/>
      <c r="J969" s="12" t="s">
        <v>5199</v>
      </c>
      <c r="K969" s="12" t="s">
        <v>5200</v>
      </c>
    </row>
    <row r="970" spans="1:11" x14ac:dyDescent="0.3">
      <c r="A970" s="12" t="s">
        <v>845</v>
      </c>
      <c r="B970" s="12" t="s">
        <v>5140</v>
      </c>
      <c r="C970" s="12" t="s">
        <v>5192</v>
      </c>
      <c r="D970" s="12" t="s">
        <v>5201</v>
      </c>
      <c r="E970" s="12">
        <v>4</v>
      </c>
      <c r="F970" s="12" t="s">
        <v>5202</v>
      </c>
      <c r="G970" s="12">
        <v>5</v>
      </c>
      <c r="H970" s="12">
        <v>0</v>
      </c>
      <c r="I970" s="12"/>
      <c r="J970" s="12" t="s">
        <v>5203</v>
      </c>
      <c r="K970" s="12" t="s">
        <v>5204</v>
      </c>
    </row>
    <row r="971" spans="1:11" x14ac:dyDescent="0.3">
      <c r="A971" s="12" t="s">
        <v>845</v>
      </c>
      <c r="B971" s="12" t="s">
        <v>5140</v>
      </c>
      <c r="C971" s="12" t="s">
        <v>5205</v>
      </c>
      <c r="D971" s="12" t="s">
        <v>5206</v>
      </c>
      <c r="E971" s="12">
        <v>4</v>
      </c>
      <c r="F971" s="12" t="s">
        <v>5207</v>
      </c>
      <c r="G971" s="12">
        <v>1</v>
      </c>
      <c r="H971" s="12">
        <v>0</v>
      </c>
      <c r="I971" s="12"/>
      <c r="J971" s="12" t="s">
        <v>5208</v>
      </c>
      <c r="K971" s="12" t="s">
        <v>5209</v>
      </c>
    </row>
    <row r="972" spans="1:11" x14ac:dyDescent="0.3">
      <c r="A972" s="12" t="s">
        <v>845</v>
      </c>
      <c r="B972" s="12" t="s">
        <v>5140</v>
      </c>
      <c r="C972" s="12" t="s">
        <v>5205</v>
      </c>
      <c r="D972" s="12" t="s">
        <v>5210</v>
      </c>
      <c r="E972" s="12">
        <v>4</v>
      </c>
      <c r="F972" s="12" t="s">
        <v>5211</v>
      </c>
      <c r="G972" s="12">
        <v>53</v>
      </c>
      <c r="H972" s="12">
        <v>0</v>
      </c>
      <c r="I972" s="12"/>
      <c r="J972" s="12" t="s">
        <v>5212</v>
      </c>
      <c r="K972" s="12" t="s">
        <v>5213</v>
      </c>
    </row>
    <row r="973" spans="1:11" x14ac:dyDescent="0.3">
      <c r="A973" s="12" t="s">
        <v>845</v>
      </c>
      <c r="B973" s="12" t="s">
        <v>5140</v>
      </c>
      <c r="C973" s="12" t="s">
        <v>5205</v>
      </c>
      <c r="D973" s="12" t="s">
        <v>5214</v>
      </c>
      <c r="E973" s="12">
        <v>4</v>
      </c>
      <c r="F973" s="12" t="s">
        <v>5215</v>
      </c>
      <c r="G973" s="12">
        <v>4</v>
      </c>
      <c r="H973" s="12">
        <v>0</v>
      </c>
      <c r="I973" s="12"/>
      <c r="J973" s="12" t="s">
        <v>5216</v>
      </c>
      <c r="K973" s="12" t="s">
        <v>5217</v>
      </c>
    </row>
    <row r="974" spans="1:11" x14ac:dyDescent="0.3">
      <c r="A974" s="12" t="s">
        <v>845</v>
      </c>
      <c r="B974" s="12" t="s">
        <v>5140</v>
      </c>
      <c r="C974" s="12" t="s">
        <v>5205</v>
      </c>
      <c r="D974" s="12" t="s">
        <v>5218</v>
      </c>
      <c r="E974" s="12">
        <v>4</v>
      </c>
      <c r="F974" s="12" t="s">
        <v>5219</v>
      </c>
      <c r="G974" s="12">
        <v>6</v>
      </c>
      <c r="H974" s="12">
        <v>0</v>
      </c>
      <c r="I974" s="12"/>
      <c r="J974" s="12" t="s">
        <v>5220</v>
      </c>
      <c r="K974" s="12" t="s">
        <v>5221</v>
      </c>
    </row>
    <row r="975" spans="1:11" x14ac:dyDescent="0.3">
      <c r="A975" s="12" t="s">
        <v>845</v>
      </c>
      <c r="B975" s="12" t="s">
        <v>5140</v>
      </c>
      <c r="C975" s="12" t="s">
        <v>5205</v>
      </c>
      <c r="D975" s="12" t="s">
        <v>5222</v>
      </c>
      <c r="E975" s="12">
        <v>4</v>
      </c>
      <c r="F975" s="12" t="s">
        <v>5223</v>
      </c>
      <c r="G975" s="12">
        <v>1</v>
      </c>
      <c r="H975" s="12">
        <v>0</v>
      </c>
      <c r="I975" s="12"/>
      <c r="J975" s="12" t="s">
        <v>5224</v>
      </c>
      <c r="K975" s="12" t="s">
        <v>5225</v>
      </c>
    </row>
    <row r="976" spans="1:11" x14ac:dyDescent="0.3">
      <c r="A976" s="12" t="s">
        <v>845</v>
      </c>
      <c r="B976" s="12" t="s">
        <v>5140</v>
      </c>
      <c r="C976" s="12" t="s">
        <v>5205</v>
      </c>
      <c r="D976" s="12" t="s">
        <v>5226</v>
      </c>
      <c r="E976" s="12">
        <v>4</v>
      </c>
      <c r="F976" s="12" t="s">
        <v>5227</v>
      </c>
      <c r="G976" s="12">
        <v>2</v>
      </c>
      <c r="H976" s="12">
        <v>0</v>
      </c>
      <c r="I976" s="12"/>
      <c r="J976" s="12" t="s">
        <v>5228</v>
      </c>
      <c r="K976" s="12" t="s">
        <v>5229</v>
      </c>
    </row>
    <row r="977" spans="1:11" x14ac:dyDescent="0.3">
      <c r="A977" s="12" t="s">
        <v>845</v>
      </c>
      <c r="B977" s="12" t="s">
        <v>5230</v>
      </c>
      <c r="C977" s="12" t="s">
        <v>5231</v>
      </c>
      <c r="D977" s="12"/>
      <c r="E977" s="12">
        <v>3</v>
      </c>
      <c r="F977" s="12" t="s">
        <v>5232</v>
      </c>
      <c r="G977" s="12">
        <v>1</v>
      </c>
      <c r="H977" s="12">
        <v>0</v>
      </c>
      <c r="I977" s="12"/>
      <c r="J977" s="12" t="s">
        <v>5233</v>
      </c>
      <c r="K977" s="12" t="s">
        <v>5234</v>
      </c>
    </row>
    <row r="978" spans="1:11" x14ac:dyDescent="0.3">
      <c r="A978" s="12" t="s">
        <v>845</v>
      </c>
      <c r="B978" s="12" t="s">
        <v>5230</v>
      </c>
      <c r="C978" s="12" t="s">
        <v>5235</v>
      </c>
      <c r="D978" s="12"/>
      <c r="E978" s="12">
        <v>3</v>
      </c>
      <c r="F978" s="12" t="s">
        <v>5236</v>
      </c>
      <c r="G978" s="12">
        <v>85</v>
      </c>
      <c r="H978" s="12">
        <v>0</v>
      </c>
      <c r="I978" s="12"/>
      <c r="J978" s="12" t="s">
        <v>5237</v>
      </c>
      <c r="K978" s="12" t="s">
        <v>5238</v>
      </c>
    </row>
    <row r="979" spans="1:11" x14ac:dyDescent="0.3">
      <c r="A979" s="12" t="s">
        <v>845</v>
      </c>
      <c r="B979" s="12" t="s">
        <v>5230</v>
      </c>
      <c r="C979" s="12" t="s">
        <v>5239</v>
      </c>
      <c r="D979" s="12"/>
      <c r="E979" s="12">
        <v>3</v>
      </c>
      <c r="F979" s="12" t="s">
        <v>5240</v>
      </c>
      <c r="G979" s="12">
        <v>4</v>
      </c>
      <c r="H979" s="12">
        <v>0</v>
      </c>
      <c r="I979" s="12"/>
      <c r="J979" s="12" t="s">
        <v>5241</v>
      </c>
      <c r="K979" s="12" t="s">
        <v>5242</v>
      </c>
    </row>
    <row r="980" spans="1:11" x14ac:dyDescent="0.3">
      <c r="A980" s="12" t="s">
        <v>845</v>
      </c>
      <c r="B980" s="12" t="s">
        <v>5230</v>
      </c>
      <c r="C980" s="12" t="s">
        <v>5243</v>
      </c>
      <c r="D980" s="12"/>
      <c r="E980" s="12">
        <v>3</v>
      </c>
      <c r="F980" s="12" t="s">
        <v>5244</v>
      </c>
      <c r="G980" s="12">
        <v>7</v>
      </c>
      <c r="H980" s="12">
        <v>0</v>
      </c>
      <c r="I980" s="12"/>
      <c r="J980" s="12" t="s">
        <v>5245</v>
      </c>
      <c r="K980" s="12" t="s">
        <v>5246</v>
      </c>
    </row>
    <row r="981" spans="1:11" x14ac:dyDescent="0.3">
      <c r="A981" s="12" t="s">
        <v>845</v>
      </c>
      <c r="B981" s="12" t="s">
        <v>5230</v>
      </c>
      <c r="C981" s="12" t="s">
        <v>5247</v>
      </c>
      <c r="D981" s="12"/>
      <c r="E981" s="12">
        <v>3</v>
      </c>
      <c r="F981" s="12" t="s">
        <v>5248</v>
      </c>
      <c r="G981" s="12">
        <v>16</v>
      </c>
      <c r="H981" s="12">
        <v>0</v>
      </c>
      <c r="I981" s="12"/>
      <c r="J981" s="12" t="s">
        <v>5249</v>
      </c>
      <c r="K981" s="12" t="s">
        <v>5250</v>
      </c>
    </row>
    <row r="982" spans="1:11" x14ac:dyDescent="0.3">
      <c r="A982" s="12" t="s">
        <v>845</v>
      </c>
      <c r="B982" s="12" t="s">
        <v>5230</v>
      </c>
      <c r="C982" s="12" t="s">
        <v>5251</v>
      </c>
      <c r="D982" s="12"/>
      <c r="E982" s="12">
        <v>3</v>
      </c>
      <c r="F982" s="12" t="s">
        <v>5252</v>
      </c>
      <c r="G982" s="12">
        <v>531</v>
      </c>
      <c r="H982" s="12">
        <v>0</v>
      </c>
      <c r="I982" s="12"/>
      <c r="J982" s="12" t="s">
        <v>5253</v>
      </c>
      <c r="K982" s="12" t="s">
        <v>5254</v>
      </c>
    </row>
    <row r="983" spans="1:11" x14ac:dyDescent="0.3">
      <c r="A983" s="12" t="s">
        <v>845</v>
      </c>
      <c r="B983" s="12" t="s">
        <v>5230</v>
      </c>
      <c r="C983" s="12" t="s">
        <v>5255</v>
      </c>
      <c r="D983" s="12"/>
      <c r="E983" s="12">
        <v>3</v>
      </c>
      <c r="F983" s="12" t="s">
        <v>5256</v>
      </c>
      <c r="G983" s="12">
        <v>290</v>
      </c>
      <c r="H983" s="12">
        <v>0</v>
      </c>
      <c r="I983" s="12"/>
      <c r="J983" s="12" t="s">
        <v>5257</v>
      </c>
      <c r="K983" s="12" t="s">
        <v>5258</v>
      </c>
    </row>
    <row r="984" spans="1:11" x14ac:dyDescent="0.3">
      <c r="A984" s="12" t="s">
        <v>845</v>
      </c>
      <c r="B984" s="12" t="s">
        <v>5230</v>
      </c>
      <c r="C984" s="12" t="s">
        <v>5259</v>
      </c>
      <c r="D984" s="12"/>
      <c r="E984" s="12">
        <v>3</v>
      </c>
      <c r="F984" s="12" t="s">
        <v>5260</v>
      </c>
      <c r="G984" s="12">
        <v>4</v>
      </c>
      <c r="H984" s="12">
        <v>0</v>
      </c>
      <c r="I984" s="12"/>
      <c r="J984" s="12" t="s">
        <v>5261</v>
      </c>
      <c r="K984" s="12" t="s">
        <v>5262</v>
      </c>
    </row>
    <row r="985" spans="1:11" x14ac:dyDescent="0.3">
      <c r="A985" s="12" t="s">
        <v>845</v>
      </c>
      <c r="B985" s="12" t="s">
        <v>5230</v>
      </c>
      <c r="C985" s="12" t="s">
        <v>5263</v>
      </c>
      <c r="D985" s="12"/>
      <c r="E985" s="12">
        <v>3</v>
      </c>
      <c r="F985" s="12" t="s">
        <v>5264</v>
      </c>
      <c r="G985" s="12">
        <v>51</v>
      </c>
      <c r="H985" s="12">
        <v>0</v>
      </c>
      <c r="I985" s="12"/>
      <c r="J985" s="12" t="s">
        <v>5265</v>
      </c>
      <c r="K985" s="12" t="s">
        <v>5266</v>
      </c>
    </row>
    <row r="986" spans="1:11" x14ac:dyDescent="0.3">
      <c r="A986" s="12" t="s">
        <v>845</v>
      </c>
      <c r="B986" s="12" t="s">
        <v>5230</v>
      </c>
      <c r="C986" s="12" t="s">
        <v>5267</v>
      </c>
      <c r="D986" s="12"/>
      <c r="E986" s="12">
        <v>3</v>
      </c>
      <c r="F986" s="12" t="s">
        <v>5268</v>
      </c>
      <c r="G986" s="12">
        <v>10</v>
      </c>
      <c r="H986" s="12">
        <v>0</v>
      </c>
      <c r="I986" s="12"/>
      <c r="J986" s="12" t="s">
        <v>5269</v>
      </c>
      <c r="K986" s="12" t="s">
        <v>5270</v>
      </c>
    </row>
    <row r="987" spans="1:11" x14ac:dyDescent="0.3">
      <c r="A987" s="12" t="s">
        <v>845</v>
      </c>
      <c r="B987" s="12" t="s">
        <v>5271</v>
      </c>
      <c r="C987" s="12" t="s">
        <v>5272</v>
      </c>
      <c r="D987" s="12"/>
      <c r="E987" s="12">
        <v>3</v>
      </c>
      <c r="F987" s="12" t="s">
        <v>5273</v>
      </c>
      <c r="G987" s="12">
        <v>6</v>
      </c>
      <c r="H987" s="12">
        <v>0</v>
      </c>
      <c r="I987" s="12"/>
      <c r="J987" s="12" t="s">
        <v>5274</v>
      </c>
      <c r="K987" s="12" t="s">
        <v>5275</v>
      </c>
    </row>
    <row r="988" spans="1:11" x14ac:dyDescent="0.3">
      <c r="A988" s="12" t="s">
        <v>845</v>
      </c>
      <c r="B988" s="12" t="s">
        <v>5271</v>
      </c>
      <c r="C988" s="12" t="s">
        <v>5276</v>
      </c>
      <c r="D988" s="12"/>
      <c r="E988" s="12">
        <v>3</v>
      </c>
      <c r="F988" s="12" t="s">
        <v>5277</v>
      </c>
      <c r="G988" s="12">
        <v>2</v>
      </c>
      <c r="H988" s="12">
        <v>0</v>
      </c>
      <c r="I988" s="12"/>
      <c r="J988" s="12" t="s">
        <v>5278</v>
      </c>
      <c r="K988" s="12" t="s">
        <v>5279</v>
      </c>
    </row>
    <row r="989" spans="1:11" x14ac:dyDescent="0.3">
      <c r="A989" s="12" t="s">
        <v>845</v>
      </c>
      <c r="B989" s="12" t="s">
        <v>5271</v>
      </c>
      <c r="C989" s="12" t="s">
        <v>5280</v>
      </c>
      <c r="D989" s="12"/>
      <c r="E989" s="12">
        <v>3</v>
      </c>
      <c r="F989" s="12" t="s">
        <v>5281</v>
      </c>
      <c r="G989" s="12">
        <v>351</v>
      </c>
      <c r="H989" s="12">
        <v>0</v>
      </c>
      <c r="I989" s="12"/>
      <c r="J989" s="12" t="s">
        <v>5282</v>
      </c>
      <c r="K989" s="12" t="s">
        <v>5283</v>
      </c>
    </row>
    <row r="990" spans="1:11" x14ac:dyDescent="0.3">
      <c r="A990" s="12" t="s">
        <v>845</v>
      </c>
      <c r="B990" s="12" t="s">
        <v>5271</v>
      </c>
      <c r="C990" s="12" t="s">
        <v>5284</v>
      </c>
      <c r="D990" s="12"/>
      <c r="E990" s="12">
        <v>3</v>
      </c>
      <c r="F990" s="12" t="s">
        <v>5285</v>
      </c>
      <c r="G990" s="12">
        <v>27</v>
      </c>
      <c r="H990" s="12">
        <v>0</v>
      </c>
      <c r="I990" s="12"/>
      <c r="J990" s="12" t="s">
        <v>5286</v>
      </c>
      <c r="K990" s="12" t="s">
        <v>5287</v>
      </c>
    </row>
    <row r="991" spans="1:11" x14ac:dyDescent="0.3">
      <c r="A991" s="12" t="s">
        <v>845</v>
      </c>
      <c r="B991" s="12" t="s">
        <v>5288</v>
      </c>
      <c r="C991" s="12"/>
      <c r="D991" s="12"/>
      <c r="E991" s="12">
        <v>2</v>
      </c>
      <c r="F991" s="12" t="s">
        <v>5289</v>
      </c>
      <c r="G991" s="12">
        <v>82</v>
      </c>
      <c r="H991" s="12">
        <v>0</v>
      </c>
      <c r="I991" s="12"/>
      <c r="J991" s="12" t="s">
        <v>5290</v>
      </c>
      <c r="K991" s="12" t="s">
        <v>5291</v>
      </c>
    </row>
    <row r="992" spans="1:11" x14ac:dyDescent="0.3">
      <c r="A992" s="12" t="s">
        <v>845</v>
      </c>
      <c r="B992" s="12" t="s">
        <v>5292</v>
      </c>
      <c r="C992" s="12"/>
      <c r="D992" s="12"/>
      <c r="E992" s="12">
        <v>2</v>
      </c>
      <c r="F992" s="12" t="s">
        <v>5293</v>
      </c>
      <c r="G992" s="12">
        <v>18</v>
      </c>
      <c r="H992" s="12">
        <v>0</v>
      </c>
      <c r="I992" s="12"/>
      <c r="J992" s="12" t="s">
        <v>5294</v>
      </c>
      <c r="K992" s="12" t="s">
        <v>5295</v>
      </c>
    </row>
    <row r="993" spans="1:11" x14ac:dyDescent="0.3">
      <c r="A993" s="12" t="s">
        <v>845</v>
      </c>
      <c r="B993" s="12" t="s">
        <v>5296</v>
      </c>
      <c r="C993" s="12"/>
      <c r="D993" s="12"/>
      <c r="E993" s="12">
        <v>2</v>
      </c>
      <c r="F993" s="12" t="s">
        <v>5297</v>
      </c>
      <c r="G993" s="12">
        <v>36</v>
      </c>
      <c r="H993" s="12">
        <v>0</v>
      </c>
      <c r="I993" s="12"/>
      <c r="J993" s="12" t="s">
        <v>5298</v>
      </c>
      <c r="K993" s="12" t="s">
        <v>5299</v>
      </c>
    </row>
    <row r="994" spans="1:11" x14ac:dyDescent="0.3">
      <c r="A994" s="12" t="s">
        <v>5300</v>
      </c>
      <c r="B994" s="12" t="s">
        <v>5301</v>
      </c>
      <c r="C994" s="12"/>
      <c r="D994" s="12"/>
      <c r="E994" s="12">
        <v>2</v>
      </c>
      <c r="F994" s="12" t="s">
        <v>5302</v>
      </c>
      <c r="G994" s="12">
        <v>50</v>
      </c>
      <c r="H994" s="12">
        <v>0</v>
      </c>
      <c r="I994" s="12"/>
      <c r="J994" s="12" t="s">
        <v>5303</v>
      </c>
      <c r="K994" s="12" t="s">
        <v>5304</v>
      </c>
    </row>
    <row r="995" spans="1:11" x14ac:dyDescent="0.3">
      <c r="A995" s="12" t="s">
        <v>5300</v>
      </c>
      <c r="B995" s="12" t="s">
        <v>5305</v>
      </c>
      <c r="C995" s="12"/>
      <c r="D995" s="12"/>
      <c r="E995" s="12">
        <v>2</v>
      </c>
      <c r="F995" s="12" t="s">
        <v>5306</v>
      </c>
      <c r="G995" s="12">
        <v>73</v>
      </c>
      <c r="H995" s="12">
        <v>0</v>
      </c>
      <c r="I995" s="12"/>
      <c r="J995" s="12" t="s">
        <v>5307</v>
      </c>
      <c r="K995" s="12" t="s">
        <v>5308</v>
      </c>
    </row>
    <row r="996" spans="1:11" x14ac:dyDescent="0.3">
      <c r="A996" s="12" t="s">
        <v>5300</v>
      </c>
      <c r="B996" s="12" t="s">
        <v>5309</v>
      </c>
      <c r="C996" s="12" t="s">
        <v>5310</v>
      </c>
      <c r="D996" s="12"/>
      <c r="E996" s="12">
        <v>3</v>
      </c>
      <c r="F996" s="12" t="s">
        <v>5311</v>
      </c>
      <c r="G996" s="12">
        <v>16</v>
      </c>
      <c r="H996" s="12">
        <v>0</v>
      </c>
      <c r="I996" s="12"/>
      <c r="J996" s="12" t="s">
        <v>5312</v>
      </c>
      <c r="K996" s="12" t="s">
        <v>5313</v>
      </c>
    </row>
    <row r="997" spans="1:11" x14ac:dyDescent="0.3">
      <c r="A997" s="12" t="s">
        <v>5300</v>
      </c>
      <c r="B997" s="12" t="s">
        <v>5309</v>
      </c>
      <c r="C997" s="12" t="s">
        <v>5314</v>
      </c>
      <c r="D997" s="12"/>
      <c r="E997" s="12">
        <v>3</v>
      </c>
      <c r="F997" s="12" t="s">
        <v>5315</v>
      </c>
      <c r="G997" s="12">
        <v>18</v>
      </c>
      <c r="H997" s="12">
        <v>0</v>
      </c>
      <c r="I997" s="12"/>
      <c r="J997" s="12" t="s">
        <v>5316</v>
      </c>
      <c r="K997" s="12" t="s">
        <v>5317</v>
      </c>
    </row>
    <row r="998" spans="1:11" x14ac:dyDescent="0.3">
      <c r="A998" s="12" t="s">
        <v>5300</v>
      </c>
      <c r="B998" s="12" t="s">
        <v>5318</v>
      </c>
      <c r="C998" s="12"/>
      <c r="D998" s="12"/>
      <c r="E998" s="12">
        <v>2</v>
      </c>
      <c r="F998" s="12" t="s">
        <v>5319</v>
      </c>
      <c r="G998" s="12">
        <v>10</v>
      </c>
      <c r="H998" s="12">
        <v>0</v>
      </c>
      <c r="I998" s="12"/>
      <c r="J998" s="12" t="s">
        <v>5320</v>
      </c>
      <c r="K998" s="12" t="s">
        <v>5321</v>
      </c>
    </row>
    <row r="999" spans="1:11" x14ac:dyDescent="0.3">
      <c r="A999" s="12" t="s">
        <v>5300</v>
      </c>
      <c r="B999" s="12" t="s">
        <v>5322</v>
      </c>
      <c r="C999" s="12"/>
      <c r="D999" s="12"/>
      <c r="E999" s="12">
        <v>2</v>
      </c>
      <c r="F999" s="12" t="s">
        <v>5323</v>
      </c>
      <c r="G999" s="12">
        <v>41</v>
      </c>
      <c r="H999" s="12">
        <v>0</v>
      </c>
      <c r="I999" s="12"/>
      <c r="J999" s="12" t="s">
        <v>5324</v>
      </c>
      <c r="K999" s="12" t="s">
        <v>5325</v>
      </c>
    </row>
    <row r="1000" spans="1:11" x14ac:dyDescent="0.3">
      <c r="A1000" s="12" t="s">
        <v>5300</v>
      </c>
      <c r="B1000" s="12" t="s">
        <v>5326</v>
      </c>
      <c r="C1000" s="12" t="s">
        <v>5327</v>
      </c>
      <c r="D1000" s="12"/>
      <c r="E1000" s="12">
        <v>3</v>
      </c>
      <c r="F1000" s="12" t="s">
        <v>5328</v>
      </c>
      <c r="G1000" s="12">
        <v>67</v>
      </c>
      <c r="H1000" s="12">
        <v>0</v>
      </c>
      <c r="I1000" s="12"/>
      <c r="J1000" s="12" t="s">
        <v>5329</v>
      </c>
      <c r="K1000" s="12" t="s">
        <v>5330</v>
      </c>
    </row>
    <row r="1001" spans="1:11" x14ac:dyDescent="0.3">
      <c r="A1001" s="12" t="s">
        <v>5300</v>
      </c>
      <c r="B1001" s="12" t="s">
        <v>5326</v>
      </c>
      <c r="C1001" s="12" t="s">
        <v>5331</v>
      </c>
      <c r="D1001" s="12"/>
      <c r="E1001" s="12">
        <v>3</v>
      </c>
      <c r="F1001" s="12" t="s">
        <v>5332</v>
      </c>
      <c r="G1001" s="12">
        <v>31</v>
      </c>
      <c r="H1001" s="12">
        <v>0</v>
      </c>
      <c r="I1001" s="12"/>
      <c r="J1001" s="12" t="s">
        <v>5333</v>
      </c>
      <c r="K1001" s="12" t="s">
        <v>5334</v>
      </c>
    </row>
    <row r="1002" spans="1:11" x14ac:dyDescent="0.3">
      <c r="A1002" s="12" t="s">
        <v>5300</v>
      </c>
      <c r="B1002" s="12" t="s">
        <v>5326</v>
      </c>
      <c r="C1002" s="12" t="s">
        <v>5335</v>
      </c>
      <c r="D1002" s="12" t="s">
        <v>5336</v>
      </c>
      <c r="E1002" s="12">
        <v>4</v>
      </c>
      <c r="F1002" s="12" t="s">
        <v>5337</v>
      </c>
      <c r="G1002" s="12">
        <v>38</v>
      </c>
      <c r="H1002" s="12">
        <v>0</v>
      </c>
      <c r="I1002" s="12"/>
      <c r="J1002" s="12" t="s">
        <v>5338</v>
      </c>
      <c r="K1002" s="12" t="s">
        <v>5339</v>
      </c>
    </row>
    <row r="1003" spans="1:11" x14ac:dyDescent="0.3">
      <c r="A1003" s="12" t="s">
        <v>5300</v>
      </c>
      <c r="B1003" s="12" t="s">
        <v>5326</v>
      </c>
      <c r="C1003" s="12" t="s">
        <v>5335</v>
      </c>
      <c r="D1003" s="12" t="s">
        <v>5340</v>
      </c>
      <c r="E1003" s="12">
        <v>4</v>
      </c>
      <c r="F1003" s="12" t="s">
        <v>5341</v>
      </c>
      <c r="G1003" s="12">
        <v>168</v>
      </c>
      <c r="H1003" s="12">
        <v>0</v>
      </c>
      <c r="I1003" s="12"/>
      <c r="J1003" s="12" t="s">
        <v>5342</v>
      </c>
      <c r="K1003" s="12" t="s">
        <v>5343</v>
      </c>
    </row>
    <row r="1004" spans="1:11" x14ac:dyDescent="0.3">
      <c r="A1004" s="12" t="s">
        <v>5300</v>
      </c>
      <c r="B1004" s="12" t="s">
        <v>5326</v>
      </c>
      <c r="C1004" s="12" t="s">
        <v>5344</v>
      </c>
      <c r="D1004" s="12"/>
      <c r="E1004" s="12">
        <v>3</v>
      </c>
      <c r="F1004" s="12" t="s">
        <v>5345</v>
      </c>
      <c r="G1004" s="12">
        <v>132</v>
      </c>
      <c r="H1004" s="12">
        <v>0</v>
      </c>
      <c r="I1004" s="12"/>
      <c r="J1004" s="12" t="s">
        <v>5346</v>
      </c>
      <c r="K1004" s="12" t="s">
        <v>5347</v>
      </c>
    </row>
    <row r="1005" spans="1:11" x14ac:dyDescent="0.3">
      <c r="A1005" s="12" t="s">
        <v>5300</v>
      </c>
      <c r="B1005" s="12" t="s">
        <v>5326</v>
      </c>
      <c r="C1005" s="12" t="s">
        <v>5348</v>
      </c>
      <c r="D1005" s="12" t="s">
        <v>5349</v>
      </c>
      <c r="E1005" s="12">
        <v>4</v>
      </c>
      <c r="F1005" s="12" t="s">
        <v>5350</v>
      </c>
      <c r="G1005" s="12">
        <v>218</v>
      </c>
      <c r="H1005" s="12">
        <v>0</v>
      </c>
      <c r="I1005" s="12"/>
      <c r="J1005" s="12" t="s">
        <v>5351</v>
      </c>
      <c r="K1005" s="12" t="s">
        <v>5352</v>
      </c>
    </row>
    <row r="1006" spans="1:11" x14ac:dyDescent="0.3">
      <c r="A1006" s="12" t="s">
        <v>5300</v>
      </c>
      <c r="B1006" s="12" t="s">
        <v>5326</v>
      </c>
      <c r="C1006" s="12" t="s">
        <v>5348</v>
      </c>
      <c r="D1006" s="12" t="s">
        <v>5353</v>
      </c>
      <c r="E1006" s="12">
        <v>4</v>
      </c>
      <c r="F1006" s="12" t="s">
        <v>5354</v>
      </c>
      <c r="G1006" s="12">
        <v>348</v>
      </c>
      <c r="H1006" s="12">
        <v>0</v>
      </c>
      <c r="I1006" s="12"/>
      <c r="J1006" s="12" t="s">
        <v>5355</v>
      </c>
      <c r="K1006" s="12" t="s">
        <v>5356</v>
      </c>
    </row>
    <row r="1007" spans="1:11" x14ac:dyDescent="0.3">
      <c r="A1007" s="12" t="s">
        <v>5300</v>
      </c>
      <c r="B1007" s="12" t="s">
        <v>5326</v>
      </c>
      <c r="C1007" s="12" t="s">
        <v>5357</v>
      </c>
      <c r="D1007" s="12" t="s">
        <v>5358</v>
      </c>
      <c r="E1007" s="12">
        <v>4</v>
      </c>
      <c r="F1007" s="12" t="s">
        <v>5359</v>
      </c>
      <c r="G1007" s="12">
        <v>181</v>
      </c>
      <c r="H1007" s="12">
        <v>0</v>
      </c>
      <c r="I1007" s="12"/>
      <c r="J1007" s="12" t="s">
        <v>5360</v>
      </c>
      <c r="K1007" s="12" t="s">
        <v>5361</v>
      </c>
    </row>
    <row r="1008" spans="1:11" x14ac:dyDescent="0.3">
      <c r="A1008" s="12" t="s">
        <v>5300</v>
      </c>
      <c r="B1008" s="12" t="s">
        <v>5326</v>
      </c>
      <c r="C1008" s="12" t="s">
        <v>5357</v>
      </c>
      <c r="D1008" s="12" t="s">
        <v>5362</v>
      </c>
      <c r="E1008" s="12">
        <v>4</v>
      </c>
      <c r="F1008" s="12" t="s">
        <v>5363</v>
      </c>
      <c r="G1008" s="12">
        <v>10</v>
      </c>
      <c r="H1008" s="12">
        <v>0</v>
      </c>
      <c r="I1008" s="12"/>
      <c r="J1008" s="12" t="s">
        <v>5364</v>
      </c>
      <c r="K1008" s="12" t="s">
        <v>5365</v>
      </c>
    </row>
    <row r="1009" spans="1:11" x14ac:dyDescent="0.3">
      <c r="A1009" s="12" t="s">
        <v>5300</v>
      </c>
      <c r="B1009" s="12" t="s">
        <v>5326</v>
      </c>
      <c r="C1009" s="12" t="s">
        <v>5357</v>
      </c>
      <c r="D1009" s="12" t="s">
        <v>5366</v>
      </c>
      <c r="E1009" s="12">
        <v>4</v>
      </c>
      <c r="F1009" s="12" t="s">
        <v>5367</v>
      </c>
      <c r="G1009" s="12">
        <v>25</v>
      </c>
      <c r="H1009" s="12">
        <v>0</v>
      </c>
      <c r="I1009" s="12"/>
      <c r="J1009" s="12" t="s">
        <v>5368</v>
      </c>
      <c r="K1009" s="12" t="s">
        <v>5369</v>
      </c>
    </row>
    <row r="1010" spans="1:11" x14ac:dyDescent="0.3">
      <c r="A1010" s="12" t="s">
        <v>5300</v>
      </c>
      <c r="B1010" s="12" t="s">
        <v>5326</v>
      </c>
      <c r="C1010" s="12" t="s">
        <v>5357</v>
      </c>
      <c r="D1010" s="12" t="s">
        <v>5370</v>
      </c>
      <c r="E1010" s="12">
        <v>4</v>
      </c>
      <c r="F1010" s="12" t="s">
        <v>5371</v>
      </c>
      <c r="G1010" s="12">
        <v>69</v>
      </c>
      <c r="H1010" s="12">
        <v>0</v>
      </c>
      <c r="I1010" s="12"/>
      <c r="J1010" s="12" t="s">
        <v>5372</v>
      </c>
      <c r="K1010" s="12" t="s">
        <v>5373</v>
      </c>
    </row>
    <row r="1011" spans="1:11" x14ac:dyDescent="0.3">
      <c r="A1011" s="12" t="s">
        <v>5300</v>
      </c>
      <c r="B1011" s="12" t="s">
        <v>5326</v>
      </c>
      <c r="C1011" s="12" t="s">
        <v>5357</v>
      </c>
      <c r="D1011" s="12" t="s">
        <v>5374</v>
      </c>
      <c r="E1011" s="12">
        <v>4</v>
      </c>
      <c r="F1011" s="12" t="s">
        <v>5375</v>
      </c>
      <c r="G1011" s="12">
        <v>88</v>
      </c>
      <c r="H1011" s="12">
        <v>0</v>
      </c>
      <c r="I1011" s="12"/>
      <c r="J1011" s="12" t="s">
        <v>5376</v>
      </c>
      <c r="K1011" s="12" t="s">
        <v>5377</v>
      </c>
    </row>
    <row r="1012" spans="1:11" x14ac:dyDescent="0.3">
      <c r="A1012" s="12" t="s">
        <v>5300</v>
      </c>
      <c r="B1012" s="12" t="s">
        <v>5326</v>
      </c>
      <c r="C1012" s="12" t="s">
        <v>5378</v>
      </c>
      <c r="D1012" s="12"/>
      <c r="E1012" s="12">
        <v>3</v>
      </c>
      <c r="F1012" s="12" t="s">
        <v>5379</v>
      </c>
      <c r="G1012" s="12">
        <v>4</v>
      </c>
      <c r="H1012" s="12">
        <v>0</v>
      </c>
      <c r="I1012" s="12"/>
      <c r="J1012" s="12" t="s">
        <v>5380</v>
      </c>
      <c r="K1012" s="12" t="s">
        <v>5381</v>
      </c>
    </row>
    <row r="1013" spans="1:11" x14ac:dyDescent="0.3">
      <c r="A1013" s="12" t="s">
        <v>5300</v>
      </c>
      <c r="B1013" s="12" t="s">
        <v>5326</v>
      </c>
      <c r="C1013" s="12" t="s">
        <v>5382</v>
      </c>
      <c r="D1013" s="12"/>
      <c r="E1013" s="12">
        <v>3</v>
      </c>
      <c r="F1013" s="12" t="s">
        <v>5383</v>
      </c>
      <c r="G1013" s="12">
        <v>9</v>
      </c>
      <c r="H1013" s="12">
        <v>0</v>
      </c>
      <c r="I1013" s="12"/>
      <c r="J1013" s="12" t="s">
        <v>5384</v>
      </c>
      <c r="K1013" s="12" t="s">
        <v>5385</v>
      </c>
    </row>
    <row r="1014" spans="1:11" x14ac:dyDescent="0.3">
      <c r="A1014" s="12" t="s">
        <v>5300</v>
      </c>
      <c r="B1014" s="12" t="s">
        <v>5326</v>
      </c>
      <c r="C1014" s="12" t="s">
        <v>5386</v>
      </c>
      <c r="D1014" s="12"/>
      <c r="E1014" s="12">
        <v>3</v>
      </c>
      <c r="F1014" s="12" t="s">
        <v>5387</v>
      </c>
      <c r="G1014" s="12">
        <v>4</v>
      </c>
      <c r="H1014" s="12">
        <v>0</v>
      </c>
      <c r="I1014" s="12"/>
      <c r="J1014" s="12" t="s">
        <v>5388</v>
      </c>
      <c r="K1014" s="12" t="s">
        <v>5389</v>
      </c>
    </row>
    <row r="1015" spans="1:11" x14ac:dyDescent="0.3">
      <c r="A1015" s="12" t="s">
        <v>5300</v>
      </c>
      <c r="B1015" s="12" t="s">
        <v>5326</v>
      </c>
      <c r="C1015" s="12" t="s">
        <v>5390</v>
      </c>
      <c r="D1015" s="12"/>
      <c r="E1015" s="12">
        <v>3</v>
      </c>
      <c r="F1015" s="12" t="s">
        <v>5391</v>
      </c>
      <c r="G1015" s="12">
        <v>23</v>
      </c>
      <c r="H1015" s="12">
        <v>0</v>
      </c>
      <c r="I1015" s="12"/>
      <c r="J1015" s="12" t="s">
        <v>5392</v>
      </c>
      <c r="K1015" s="12" t="s">
        <v>5393</v>
      </c>
    </row>
    <row r="1016" spans="1:11" x14ac:dyDescent="0.3">
      <c r="A1016" s="12" t="s">
        <v>5300</v>
      </c>
      <c r="B1016" s="12" t="s">
        <v>5326</v>
      </c>
      <c r="C1016" s="12" t="s">
        <v>5394</v>
      </c>
      <c r="D1016" s="12" t="s">
        <v>5395</v>
      </c>
      <c r="E1016" s="12">
        <v>4</v>
      </c>
      <c r="F1016" s="12" t="s">
        <v>5396</v>
      </c>
      <c r="G1016" s="12">
        <v>12</v>
      </c>
      <c r="H1016" s="12">
        <v>0</v>
      </c>
      <c r="I1016" s="12"/>
      <c r="J1016" s="12" t="s">
        <v>5397</v>
      </c>
      <c r="K1016" s="12" t="s">
        <v>5398</v>
      </c>
    </row>
    <row r="1017" spans="1:11" x14ac:dyDescent="0.3">
      <c r="A1017" s="12" t="s">
        <v>5300</v>
      </c>
      <c r="B1017" s="12" t="s">
        <v>5326</v>
      </c>
      <c r="C1017" s="12" t="s">
        <v>5394</v>
      </c>
      <c r="D1017" s="12" t="s">
        <v>5399</v>
      </c>
      <c r="E1017" s="12">
        <v>4</v>
      </c>
      <c r="F1017" s="12" t="s">
        <v>5400</v>
      </c>
      <c r="G1017" s="12">
        <v>36</v>
      </c>
      <c r="H1017" s="12">
        <v>0</v>
      </c>
      <c r="I1017" s="12"/>
      <c r="J1017" s="12" t="s">
        <v>5401</v>
      </c>
      <c r="K1017" s="12" t="s">
        <v>5402</v>
      </c>
    </row>
    <row r="1018" spans="1:11" x14ac:dyDescent="0.3">
      <c r="A1018" s="12" t="s">
        <v>5300</v>
      </c>
      <c r="B1018" s="12" t="s">
        <v>5326</v>
      </c>
      <c r="C1018" s="12" t="s">
        <v>5394</v>
      </c>
      <c r="D1018" s="12" t="s">
        <v>5403</v>
      </c>
      <c r="E1018" s="12">
        <v>4</v>
      </c>
      <c r="F1018" s="12" t="s">
        <v>5404</v>
      </c>
      <c r="G1018" s="12">
        <v>6</v>
      </c>
      <c r="H1018" s="12">
        <v>0</v>
      </c>
      <c r="I1018" s="12"/>
      <c r="J1018" s="12" t="s">
        <v>5405</v>
      </c>
      <c r="K1018" s="12" t="s">
        <v>5406</v>
      </c>
    </row>
    <row r="1019" spans="1:11" x14ac:dyDescent="0.3">
      <c r="A1019" s="12" t="s">
        <v>5300</v>
      </c>
      <c r="B1019" s="12" t="s">
        <v>5326</v>
      </c>
      <c r="C1019" s="12" t="s">
        <v>5394</v>
      </c>
      <c r="D1019" s="12" t="s">
        <v>5407</v>
      </c>
      <c r="E1019" s="12">
        <v>4</v>
      </c>
      <c r="F1019" s="12" t="s">
        <v>5408</v>
      </c>
      <c r="G1019" s="12">
        <v>12</v>
      </c>
      <c r="H1019" s="12">
        <v>0</v>
      </c>
      <c r="I1019" s="12"/>
      <c r="J1019" s="12" t="s">
        <v>5409</v>
      </c>
      <c r="K1019" s="12" t="s">
        <v>5410</v>
      </c>
    </row>
    <row r="1020" spans="1:11" x14ac:dyDescent="0.3">
      <c r="A1020" s="12" t="s">
        <v>5300</v>
      </c>
      <c r="B1020" s="12" t="s">
        <v>5326</v>
      </c>
      <c r="C1020" s="12" t="s">
        <v>5394</v>
      </c>
      <c r="D1020" s="12" t="s">
        <v>5411</v>
      </c>
      <c r="E1020" s="12">
        <v>4</v>
      </c>
      <c r="F1020" s="12" t="s">
        <v>5412</v>
      </c>
      <c r="G1020" s="12">
        <v>40</v>
      </c>
      <c r="H1020" s="12">
        <v>0</v>
      </c>
      <c r="I1020" s="12"/>
      <c r="J1020" s="12" t="s">
        <v>5413</v>
      </c>
      <c r="K1020" s="12" t="s">
        <v>5414</v>
      </c>
    </row>
    <row r="1021" spans="1:11" x14ac:dyDescent="0.3">
      <c r="A1021" s="12" t="s">
        <v>5300</v>
      </c>
      <c r="B1021" s="12" t="s">
        <v>5326</v>
      </c>
      <c r="C1021" s="12" t="s">
        <v>5394</v>
      </c>
      <c r="D1021" s="12" t="s">
        <v>5415</v>
      </c>
      <c r="E1021" s="12">
        <v>4</v>
      </c>
      <c r="F1021" s="12" t="s">
        <v>5416</v>
      </c>
      <c r="G1021" s="12">
        <v>16</v>
      </c>
      <c r="H1021" s="12">
        <v>0</v>
      </c>
      <c r="I1021" s="12"/>
      <c r="J1021" s="12" t="s">
        <v>5417</v>
      </c>
      <c r="K1021" s="12" t="s">
        <v>5418</v>
      </c>
    </row>
    <row r="1022" spans="1:11" x14ac:dyDescent="0.3">
      <c r="A1022" s="12" t="s">
        <v>5300</v>
      </c>
      <c r="B1022" s="12" t="s">
        <v>5326</v>
      </c>
      <c r="C1022" s="12" t="s">
        <v>5394</v>
      </c>
      <c r="D1022" s="12" t="s">
        <v>5419</v>
      </c>
      <c r="E1022" s="12">
        <v>4</v>
      </c>
      <c r="F1022" s="12" t="s">
        <v>5420</v>
      </c>
      <c r="G1022" s="12">
        <v>15</v>
      </c>
      <c r="H1022" s="12">
        <v>0</v>
      </c>
      <c r="I1022" s="12"/>
      <c r="J1022" s="12" t="s">
        <v>5421</v>
      </c>
      <c r="K1022" s="12" t="s">
        <v>5422</v>
      </c>
    </row>
    <row r="1023" spans="1:11" x14ac:dyDescent="0.3">
      <c r="A1023" s="12" t="s">
        <v>5300</v>
      </c>
      <c r="B1023" s="12" t="s">
        <v>5326</v>
      </c>
      <c r="C1023" s="12" t="s">
        <v>5394</v>
      </c>
      <c r="D1023" s="12" t="s">
        <v>5423</v>
      </c>
      <c r="E1023" s="12">
        <v>4</v>
      </c>
      <c r="F1023" s="12" t="s">
        <v>5424</v>
      </c>
      <c r="G1023" s="12">
        <v>33</v>
      </c>
      <c r="H1023" s="12">
        <v>0</v>
      </c>
      <c r="I1023" s="12"/>
      <c r="J1023" s="12" t="s">
        <v>5425</v>
      </c>
      <c r="K1023" s="12" t="s">
        <v>5426</v>
      </c>
    </row>
    <row r="1024" spans="1:11" x14ac:dyDescent="0.3">
      <c r="A1024" s="12" t="s">
        <v>5300</v>
      </c>
      <c r="B1024" s="12" t="s">
        <v>5326</v>
      </c>
      <c r="C1024" s="12" t="s">
        <v>5394</v>
      </c>
      <c r="D1024" s="12" t="s">
        <v>5427</v>
      </c>
      <c r="E1024" s="12">
        <v>4</v>
      </c>
      <c r="F1024" s="12" t="s">
        <v>5428</v>
      </c>
      <c r="G1024" s="12">
        <v>13</v>
      </c>
      <c r="H1024" s="12">
        <v>0</v>
      </c>
      <c r="I1024" s="12"/>
      <c r="J1024" s="12" t="s">
        <v>5429</v>
      </c>
      <c r="K1024" s="12" t="s">
        <v>5430</v>
      </c>
    </row>
    <row r="1025" spans="1:11" x14ac:dyDescent="0.3">
      <c r="A1025" s="12" t="s">
        <v>5300</v>
      </c>
      <c r="B1025" s="12" t="s">
        <v>5326</v>
      </c>
      <c r="C1025" s="12" t="s">
        <v>5394</v>
      </c>
      <c r="D1025" s="12" t="s">
        <v>5431</v>
      </c>
      <c r="E1025" s="12">
        <v>4</v>
      </c>
      <c r="F1025" s="12" t="s">
        <v>5432</v>
      </c>
      <c r="G1025" s="12">
        <v>6</v>
      </c>
      <c r="H1025" s="12">
        <v>0</v>
      </c>
      <c r="I1025" s="12"/>
      <c r="J1025" s="12" t="s">
        <v>5433</v>
      </c>
      <c r="K1025" s="12" t="s">
        <v>5434</v>
      </c>
    </row>
    <row r="1026" spans="1:11" x14ac:dyDescent="0.3">
      <c r="A1026" s="12" t="s">
        <v>5300</v>
      </c>
      <c r="B1026" s="12" t="s">
        <v>5435</v>
      </c>
      <c r="C1026" s="12"/>
      <c r="D1026" s="12"/>
      <c r="E1026" s="12">
        <v>2</v>
      </c>
      <c r="F1026" s="12" t="s">
        <v>5436</v>
      </c>
      <c r="G1026" s="12">
        <v>4</v>
      </c>
      <c r="H1026" s="12">
        <v>0</v>
      </c>
      <c r="I1026" s="12"/>
      <c r="J1026" s="12" t="s">
        <v>5437</v>
      </c>
      <c r="K1026" s="12" t="s">
        <v>5438</v>
      </c>
    </row>
    <row r="1027" spans="1:11" x14ac:dyDescent="0.3">
      <c r="A1027" s="12" t="s">
        <v>5300</v>
      </c>
      <c r="B1027" s="12" t="s">
        <v>5439</v>
      </c>
      <c r="C1027" s="12"/>
      <c r="D1027" s="12"/>
      <c r="E1027" s="12">
        <v>2</v>
      </c>
      <c r="F1027" s="12" t="s">
        <v>5440</v>
      </c>
      <c r="G1027" s="12">
        <v>5</v>
      </c>
      <c r="H1027" s="12">
        <v>0</v>
      </c>
      <c r="I1027" s="12"/>
      <c r="J1027" s="12" t="s">
        <v>5441</v>
      </c>
      <c r="K1027" s="12" t="s">
        <v>5442</v>
      </c>
    </row>
    <row r="1028" spans="1:11" x14ac:dyDescent="0.3">
      <c r="A1028" s="12" t="s">
        <v>5300</v>
      </c>
      <c r="B1028" s="12" t="s">
        <v>5443</v>
      </c>
      <c r="C1028" s="12" t="s">
        <v>5444</v>
      </c>
      <c r="D1028" s="12"/>
      <c r="E1028" s="12">
        <v>3</v>
      </c>
      <c r="F1028" s="12" t="s">
        <v>5445</v>
      </c>
      <c r="G1028" s="12">
        <v>15</v>
      </c>
      <c r="H1028" s="12">
        <v>0</v>
      </c>
      <c r="I1028" s="12"/>
      <c r="J1028" s="12" t="s">
        <v>5446</v>
      </c>
      <c r="K1028" s="12" t="s">
        <v>5447</v>
      </c>
    </row>
    <row r="1029" spans="1:11" x14ac:dyDescent="0.3">
      <c r="A1029" s="12" t="s">
        <v>5300</v>
      </c>
      <c r="B1029" s="12" t="s">
        <v>5443</v>
      </c>
      <c r="C1029" s="12" t="s">
        <v>5448</v>
      </c>
      <c r="D1029" s="12"/>
      <c r="E1029" s="12">
        <v>3</v>
      </c>
      <c r="F1029" s="12" t="s">
        <v>5449</v>
      </c>
      <c r="G1029" s="12">
        <v>2</v>
      </c>
      <c r="H1029" s="12">
        <v>0</v>
      </c>
      <c r="I1029" s="12"/>
      <c r="J1029" s="12" t="s">
        <v>5450</v>
      </c>
      <c r="K1029" s="12" t="s">
        <v>5451</v>
      </c>
    </row>
    <row r="1030" spans="1:11" x14ac:dyDescent="0.3">
      <c r="A1030" s="12" t="s">
        <v>5300</v>
      </c>
      <c r="B1030" s="12" t="s">
        <v>5452</v>
      </c>
      <c r="C1030" s="12"/>
      <c r="D1030" s="12"/>
      <c r="E1030" s="12">
        <v>2</v>
      </c>
      <c r="F1030" s="12" t="s">
        <v>5453</v>
      </c>
      <c r="G1030" s="12">
        <v>1093</v>
      </c>
      <c r="H1030" s="12">
        <v>0</v>
      </c>
      <c r="I1030" s="12"/>
      <c r="J1030" s="12" t="s">
        <v>5454</v>
      </c>
      <c r="K1030" s="12" t="s">
        <v>5455</v>
      </c>
    </row>
    <row r="1031" spans="1:11" x14ac:dyDescent="0.3">
      <c r="A1031" s="12" t="s">
        <v>5300</v>
      </c>
      <c r="B1031" s="12" t="s">
        <v>5456</v>
      </c>
      <c r="C1031" s="12"/>
      <c r="D1031" s="12"/>
      <c r="E1031" s="12">
        <v>2</v>
      </c>
      <c r="F1031" s="12" t="s">
        <v>5457</v>
      </c>
      <c r="G1031" s="12">
        <v>9</v>
      </c>
      <c r="H1031" s="12">
        <v>0</v>
      </c>
      <c r="I1031" s="12"/>
      <c r="J1031" s="12" t="s">
        <v>5458</v>
      </c>
      <c r="K1031" s="12" t="s">
        <v>5459</v>
      </c>
    </row>
    <row r="1032" spans="1:11" x14ac:dyDescent="0.3">
      <c r="A1032" s="12" t="s">
        <v>5300</v>
      </c>
      <c r="B1032" s="12" t="s">
        <v>5460</v>
      </c>
      <c r="C1032" s="12"/>
      <c r="D1032" s="12"/>
      <c r="E1032" s="12">
        <v>2</v>
      </c>
      <c r="F1032" s="12" t="s">
        <v>5461</v>
      </c>
      <c r="G1032" s="12">
        <v>542</v>
      </c>
      <c r="H1032" s="12">
        <v>0</v>
      </c>
      <c r="I1032" s="12"/>
      <c r="J1032" s="12" t="s">
        <v>5462</v>
      </c>
      <c r="K1032" s="12" t="s">
        <v>5463</v>
      </c>
    </row>
    <row r="1033" spans="1:11" x14ac:dyDescent="0.3">
      <c r="A1033" s="12" t="s">
        <v>5300</v>
      </c>
      <c r="B1033" s="12" t="s">
        <v>5464</v>
      </c>
      <c r="C1033" s="12"/>
      <c r="D1033" s="12"/>
      <c r="E1033" s="12">
        <v>2</v>
      </c>
      <c r="F1033" s="12" t="s">
        <v>5465</v>
      </c>
      <c r="G1033" s="12">
        <v>72</v>
      </c>
      <c r="H1033" s="12">
        <v>0</v>
      </c>
      <c r="I1033" s="12"/>
      <c r="J1033" s="12" t="s">
        <v>5466</v>
      </c>
      <c r="K1033" s="12" t="s">
        <v>5467</v>
      </c>
    </row>
    <row r="1034" spans="1:11" x14ac:dyDescent="0.3">
      <c r="A1034" s="12" t="s">
        <v>5300</v>
      </c>
      <c r="B1034" s="12" t="s">
        <v>5468</v>
      </c>
      <c r="C1034" s="12"/>
      <c r="D1034" s="12"/>
      <c r="E1034" s="12">
        <v>2</v>
      </c>
      <c r="F1034" s="12" t="s">
        <v>5469</v>
      </c>
      <c r="G1034" s="12">
        <v>37</v>
      </c>
      <c r="H1034" s="12">
        <v>0</v>
      </c>
      <c r="I1034" s="12"/>
      <c r="J1034" s="12" t="s">
        <v>5470</v>
      </c>
      <c r="K1034" s="12" t="s">
        <v>5471</v>
      </c>
    </row>
    <row r="1035" spans="1:11" x14ac:dyDescent="0.3">
      <c r="A1035" s="12" t="s">
        <v>5300</v>
      </c>
      <c r="B1035" s="12" t="s">
        <v>5472</v>
      </c>
      <c r="C1035" s="12"/>
      <c r="D1035" s="12"/>
      <c r="E1035" s="12">
        <v>2</v>
      </c>
      <c r="F1035" s="12" t="s">
        <v>5473</v>
      </c>
      <c r="G1035" s="12">
        <v>186</v>
      </c>
      <c r="H1035" s="12">
        <v>0</v>
      </c>
      <c r="I1035" s="12"/>
      <c r="J1035" s="12" t="s">
        <v>5474</v>
      </c>
      <c r="K1035" s="12" t="s">
        <v>5475</v>
      </c>
    </row>
    <row r="1036" spans="1:11" x14ac:dyDescent="0.3">
      <c r="A1036" s="12" t="s">
        <v>796</v>
      </c>
      <c r="B1036" s="12" t="s">
        <v>5476</v>
      </c>
      <c r="C1036" s="12" t="s">
        <v>5477</v>
      </c>
      <c r="D1036" s="12"/>
      <c r="E1036" s="12">
        <v>3</v>
      </c>
      <c r="F1036" s="12" t="s">
        <v>5478</v>
      </c>
      <c r="G1036" s="12">
        <v>183</v>
      </c>
      <c r="H1036" s="12">
        <v>0</v>
      </c>
      <c r="I1036" s="12"/>
      <c r="J1036" s="12" t="s">
        <v>5479</v>
      </c>
      <c r="K1036" s="12" t="s">
        <v>5480</v>
      </c>
    </row>
    <row r="1037" spans="1:11" x14ac:dyDescent="0.3">
      <c r="A1037" s="12" t="s">
        <v>796</v>
      </c>
      <c r="B1037" s="12" t="s">
        <v>5481</v>
      </c>
      <c r="C1037" s="12" t="s">
        <v>5482</v>
      </c>
      <c r="D1037" s="12"/>
      <c r="E1037" s="12">
        <v>3</v>
      </c>
      <c r="F1037" s="12" t="s">
        <v>5483</v>
      </c>
      <c r="G1037" s="12">
        <v>133</v>
      </c>
      <c r="H1037" s="12">
        <v>0</v>
      </c>
      <c r="I1037" s="12"/>
      <c r="J1037" s="12" t="s">
        <v>5484</v>
      </c>
      <c r="K1037" s="12" t="s">
        <v>5485</v>
      </c>
    </row>
    <row r="1038" spans="1:11" x14ac:dyDescent="0.3">
      <c r="A1038" s="12" t="s">
        <v>796</v>
      </c>
      <c r="B1038" s="12" t="s">
        <v>5481</v>
      </c>
      <c r="C1038" s="12" t="s">
        <v>5486</v>
      </c>
      <c r="D1038" s="12"/>
      <c r="E1038" s="12">
        <v>3</v>
      </c>
      <c r="F1038" s="12" t="s">
        <v>5487</v>
      </c>
      <c r="G1038" s="12">
        <v>831</v>
      </c>
      <c r="H1038" s="12">
        <v>0</v>
      </c>
      <c r="I1038" s="12"/>
      <c r="J1038" s="12" t="s">
        <v>5488</v>
      </c>
      <c r="K1038" s="12" t="s">
        <v>5489</v>
      </c>
    </row>
    <row r="1039" spans="1:11" x14ac:dyDescent="0.3">
      <c r="A1039" s="12" t="s">
        <v>796</v>
      </c>
      <c r="B1039" s="12" t="s">
        <v>5481</v>
      </c>
      <c r="C1039" s="12" t="s">
        <v>5490</v>
      </c>
      <c r="D1039" s="12"/>
      <c r="E1039" s="12">
        <v>3</v>
      </c>
      <c r="F1039" s="12" t="s">
        <v>5491</v>
      </c>
      <c r="G1039" s="12">
        <v>887</v>
      </c>
      <c r="H1039" s="12">
        <v>0</v>
      </c>
      <c r="I1039" s="12"/>
      <c r="J1039" s="12" t="s">
        <v>5492</v>
      </c>
      <c r="K1039" s="12" t="s">
        <v>5493</v>
      </c>
    </row>
    <row r="1040" spans="1:11" x14ac:dyDescent="0.3">
      <c r="A1040" s="12" t="s">
        <v>796</v>
      </c>
      <c r="B1040" s="12" t="s">
        <v>5481</v>
      </c>
      <c r="C1040" s="12" t="s">
        <v>5494</v>
      </c>
      <c r="D1040" s="12"/>
      <c r="E1040" s="12">
        <v>3</v>
      </c>
      <c r="F1040" s="12" t="s">
        <v>5495</v>
      </c>
      <c r="G1040" s="12">
        <v>754</v>
      </c>
      <c r="H1040" s="12">
        <v>0</v>
      </c>
      <c r="I1040" s="12"/>
      <c r="J1040" s="12" t="s">
        <v>5496</v>
      </c>
      <c r="K1040" s="12" t="s">
        <v>5497</v>
      </c>
    </row>
    <row r="1041" spans="1:11" x14ac:dyDescent="0.3">
      <c r="A1041" s="12" t="s">
        <v>796</v>
      </c>
      <c r="B1041" s="12" t="s">
        <v>5481</v>
      </c>
      <c r="C1041" s="12" t="s">
        <v>5498</v>
      </c>
      <c r="D1041" s="12"/>
      <c r="E1041" s="12">
        <v>3</v>
      </c>
      <c r="F1041" s="12" t="s">
        <v>5499</v>
      </c>
      <c r="G1041" s="12">
        <v>563</v>
      </c>
      <c r="H1041" s="12">
        <v>0</v>
      </c>
      <c r="I1041" s="12"/>
      <c r="J1041" s="12" t="s">
        <v>5500</v>
      </c>
      <c r="K1041" s="12" t="s">
        <v>5501</v>
      </c>
    </row>
    <row r="1042" spans="1:11" x14ac:dyDescent="0.3">
      <c r="A1042" s="12" t="s">
        <v>796</v>
      </c>
      <c r="B1042" s="12" t="s">
        <v>5481</v>
      </c>
      <c r="C1042" s="12" t="s">
        <v>5502</v>
      </c>
      <c r="D1042" s="12"/>
      <c r="E1042" s="12">
        <v>3</v>
      </c>
      <c r="F1042" s="12" t="s">
        <v>5503</v>
      </c>
      <c r="G1042" s="12">
        <v>39</v>
      </c>
      <c r="H1042" s="12">
        <v>0</v>
      </c>
      <c r="I1042" s="12"/>
      <c r="J1042" s="12" t="s">
        <v>5504</v>
      </c>
      <c r="K1042" s="12" t="s">
        <v>5505</v>
      </c>
    </row>
    <row r="1043" spans="1:11" x14ac:dyDescent="0.3">
      <c r="A1043" s="12" t="s">
        <v>796</v>
      </c>
      <c r="B1043" s="12" t="s">
        <v>5481</v>
      </c>
      <c r="C1043" s="12" t="s">
        <v>5506</v>
      </c>
      <c r="D1043" s="12" t="s">
        <v>5507</v>
      </c>
      <c r="E1043" s="12">
        <v>4</v>
      </c>
      <c r="F1043" s="12" t="s">
        <v>5508</v>
      </c>
      <c r="G1043" s="12">
        <v>118</v>
      </c>
      <c r="H1043" s="12">
        <v>0</v>
      </c>
      <c r="I1043" s="12"/>
      <c r="J1043" s="12" t="s">
        <v>5509</v>
      </c>
      <c r="K1043" s="12" t="s">
        <v>5510</v>
      </c>
    </row>
    <row r="1044" spans="1:11" x14ac:dyDescent="0.3">
      <c r="A1044" s="12" t="s">
        <v>796</v>
      </c>
      <c r="B1044" s="12" t="s">
        <v>5481</v>
      </c>
      <c r="C1044" s="12" t="s">
        <v>5506</v>
      </c>
      <c r="D1044" s="12" t="s">
        <v>5511</v>
      </c>
      <c r="E1044" s="12">
        <v>4</v>
      </c>
      <c r="F1044" s="12" t="s">
        <v>5512</v>
      </c>
      <c r="G1044" s="12">
        <v>61</v>
      </c>
      <c r="H1044" s="12">
        <v>0</v>
      </c>
      <c r="I1044" s="12"/>
      <c r="J1044" s="12" t="s">
        <v>5513</v>
      </c>
      <c r="K1044" s="12" t="s">
        <v>5514</v>
      </c>
    </row>
    <row r="1045" spans="1:11" x14ac:dyDescent="0.3">
      <c r="A1045" s="12" t="s">
        <v>796</v>
      </c>
      <c r="B1045" s="12" t="s">
        <v>5481</v>
      </c>
      <c r="C1045" s="12" t="s">
        <v>5506</v>
      </c>
      <c r="D1045" s="12" t="s">
        <v>5515</v>
      </c>
      <c r="E1045" s="12">
        <v>4</v>
      </c>
      <c r="F1045" s="12" t="s">
        <v>5516</v>
      </c>
      <c r="G1045" s="12">
        <v>65</v>
      </c>
      <c r="H1045" s="12">
        <v>0</v>
      </c>
      <c r="I1045" s="12"/>
      <c r="J1045" s="12" t="s">
        <v>5517</v>
      </c>
      <c r="K1045" s="12" t="s">
        <v>5518</v>
      </c>
    </row>
    <row r="1046" spans="1:11" x14ac:dyDescent="0.3">
      <c r="A1046" s="12" t="s">
        <v>796</v>
      </c>
      <c r="B1046" s="12" t="s">
        <v>5481</v>
      </c>
      <c r="C1046" s="12" t="s">
        <v>5519</v>
      </c>
      <c r="D1046" s="12"/>
      <c r="E1046" s="12">
        <v>3</v>
      </c>
      <c r="F1046" s="12" t="s">
        <v>5520</v>
      </c>
      <c r="G1046" s="12">
        <v>150</v>
      </c>
      <c r="H1046" s="12">
        <v>0</v>
      </c>
      <c r="I1046" s="12"/>
      <c r="J1046" s="12" t="s">
        <v>5521</v>
      </c>
      <c r="K1046" s="12" t="s">
        <v>5522</v>
      </c>
    </row>
    <row r="1047" spans="1:11" x14ac:dyDescent="0.3">
      <c r="A1047" s="12" t="s">
        <v>796</v>
      </c>
      <c r="B1047" s="12" t="s">
        <v>5523</v>
      </c>
      <c r="C1047" s="12" t="s">
        <v>5524</v>
      </c>
      <c r="D1047" s="12"/>
      <c r="E1047" s="12">
        <v>3</v>
      </c>
      <c r="F1047" s="12" t="s">
        <v>5525</v>
      </c>
      <c r="G1047" s="12">
        <v>296</v>
      </c>
      <c r="H1047" s="12">
        <v>0</v>
      </c>
      <c r="I1047" s="12"/>
      <c r="J1047" s="12" t="s">
        <v>5526</v>
      </c>
      <c r="K1047" s="12" t="s">
        <v>5527</v>
      </c>
    </row>
    <row r="1048" spans="1:11" x14ac:dyDescent="0.3">
      <c r="A1048" s="12" t="s">
        <v>796</v>
      </c>
      <c r="B1048" s="12" t="s">
        <v>5523</v>
      </c>
      <c r="C1048" s="12" t="s">
        <v>5528</v>
      </c>
      <c r="D1048" s="12"/>
      <c r="E1048" s="12">
        <v>3</v>
      </c>
      <c r="F1048" s="12" t="s">
        <v>5529</v>
      </c>
      <c r="G1048" s="12">
        <v>196</v>
      </c>
      <c r="H1048" s="12">
        <v>0</v>
      </c>
      <c r="I1048" s="12"/>
      <c r="J1048" s="12" t="s">
        <v>5530</v>
      </c>
      <c r="K1048" s="12" t="s">
        <v>5531</v>
      </c>
    </row>
    <row r="1049" spans="1:11" x14ac:dyDescent="0.3">
      <c r="A1049" s="12" t="s">
        <v>796</v>
      </c>
      <c r="B1049" s="12" t="s">
        <v>5532</v>
      </c>
      <c r="C1049" s="12" t="s">
        <v>5533</v>
      </c>
      <c r="D1049" s="12"/>
      <c r="E1049" s="12">
        <v>3</v>
      </c>
      <c r="F1049" s="12" t="s">
        <v>5534</v>
      </c>
      <c r="G1049" s="12">
        <v>699</v>
      </c>
      <c r="H1049" s="12">
        <v>0</v>
      </c>
      <c r="I1049" s="12"/>
      <c r="J1049" s="12" t="s">
        <v>5535</v>
      </c>
      <c r="K1049" s="12" t="s">
        <v>5536</v>
      </c>
    </row>
    <row r="1050" spans="1:11" x14ac:dyDescent="0.3">
      <c r="A1050" s="12" t="s">
        <v>796</v>
      </c>
      <c r="B1050" s="12" t="s">
        <v>5537</v>
      </c>
      <c r="C1050" s="12"/>
      <c r="D1050" s="12"/>
      <c r="E1050" s="12">
        <v>2</v>
      </c>
      <c r="F1050" s="12" t="s">
        <v>5538</v>
      </c>
      <c r="G1050" s="12"/>
      <c r="H1050" s="12">
        <v>0</v>
      </c>
      <c r="I1050" s="12"/>
      <c r="J1050" s="12" t="s">
        <v>5539</v>
      </c>
      <c r="K1050" s="12" t="s">
        <v>5540</v>
      </c>
    </row>
    <row r="1051" spans="1:11" x14ac:dyDescent="0.3">
      <c r="A1051" s="12" t="s">
        <v>796</v>
      </c>
      <c r="B1051" s="12" t="s">
        <v>797</v>
      </c>
      <c r="C1051" s="12" t="s">
        <v>5541</v>
      </c>
      <c r="D1051" s="12" t="s">
        <v>5542</v>
      </c>
      <c r="E1051" s="12">
        <v>4</v>
      </c>
      <c r="F1051" s="12" t="s">
        <v>5543</v>
      </c>
      <c r="G1051" s="12">
        <v>4</v>
      </c>
      <c r="H1051" s="12">
        <v>0</v>
      </c>
      <c r="I1051" s="12"/>
      <c r="J1051" s="12" t="s">
        <v>5544</v>
      </c>
      <c r="K1051" s="12" t="s">
        <v>5545</v>
      </c>
    </row>
    <row r="1052" spans="1:11" x14ac:dyDescent="0.3">
      <c r="A1052" s="12" t="s">
        <v>796</v>
      </c>
      <c r="B1052" s="12" t="s">
        <v>797</v>
      </c>
      <c r="C1052" s="12" t="s">
        <v>5541</v>
      </c>
      <c r="D1052" s="12" t="s">
        <v>5546</v>
      </c>
      <c r="E1052" s="12">
        <v>4</v>
      </c>
      <c r="F1052" s="12" t="s">
        <v>5547</v>
      </c>
      <c r="G1052" s="12">
        <v>853</v>
      </c>
      <c r="H1052" s="12">
        <v>0</v>
      </c>
      <c r="I1052" s="12"/>
      <c r="J1052" s="12" t="s">
        <v>5548</v>
      </c>
      <c r="K1052" s="12" t="s">
        <v>5549</v>
      </c>
    </row>
    <row r="1053" spans="1:11" x14ac:dyDescent="0.3">
      <c r="A1053" s="12" t="s">
        <v>796</v>
      </c>
      <c r="B1053" s="12" t="s">
        <v>797</v>
      </c>
      <c r="C1053" s="12" t="s">
        <v>798</v>
      </c>
      <c r="D1053" s="12" t="s">
        <v>5550</v>
      </c>
      <c r="E1053" s="12">
        <v>4</v>
      </c>
      <c r="F1053" s="12" t="s">
        <v>5551</v>
      </c>
      <c r="G1053" s="12">
        <v>548</v>
      </c>
      <c r="H1053" s="12">
        <v>0</v>
      </c>
      <c r="I1053" s="12"/>
      <c r="J1053" s="12" t="s">
        <v>5552</v>
      </c>
      <c r="K1053" s="12" t="s">
        <v>5553</v>
      </c>
    </row>
    <row r="1054" spans="1:11" x14ac:dyDescent="0.3">
      <c r="A1054" s="12" t="s">
        <v>796</v>
      </c>
      <c r="B1054" s="12" t="s">
        <v>797</v>
      </c>
      <c r="C1054" s="12" t="s">
        <v>798</v>
      </c>
      <c r="D1054" s="12" t="s">
        <v>5554</v>
      </c>
      <c r="E1054" s="12">
        <v>4</v>
      </c>
      <c r="F1054" s="12" t="s">
        <v>5555</v>
      </c>
      <c r="G1054" s="12">
        <v>247</v>
      </c>
      <c r="H1054" s="12">
        <v>0</v>
      </c>
      <c r="I1054" s="12"/>
      <c r="J1054" s="12" t="s">
        <v>5556</v>
      </c>
      <c r="K1054" s="12" t="s">
        <v>5557</v>
      </c>
    </row>
    <row r="1055" spans="1:11" x14ac:dyDescent="0.3">
      <c r="A1055" s="12" t="s">
        <v>796</v>
      </c>
      <c r="B1055" s="12" t="s">
        <v>797</v>
      </c>
      <c r="C1055" s="12" t="s">
        <v>798</v>
      </c>
      <c r="D1055" s="12" t="s">
        <v>799</v>
      </c>
      <c r="E1055" s="12">
        <v>4</v>
      </c>
      <c r="F1055" s="12" t="s">
        <v>349</v>
      </c>
      <c r="G1055" s="12">
        <v>607</v>
      </c>
      <c r="H1055" s="12">
        <v>0</v>
      </c>
      <c r="I1055" s="3" t="s">
        <v>795</v>
      </c>
      <c r="J1055" s="12" t="s">
        <v>46</v>
      </c>
      <c r="K1055" s="12" t="s">
        <v>354</v>
      </c>
    </row>
    <row r="1056" spans="1:11" x14ac:dyDescent="0.3">
      <c r="A1056" s="12" t="s">
        <v>796</v>
      </c>
      <c r="B1056" s="12" t="s">
        <v>797</v>
      </c>
      <c r="C1056" s="12" t="s">
        <v>798</v>
      </c>
      <c r="D1056" s="12" t="s">
        <v>5558</v>
      </c>
      <c r="E1056" s="12">
        <v>4</v>
      </c>
      <c r="F1056" s="12" t="s">
        <v>5559</v>
      </c>
      <c r="G1056" s="12">
        <v>32</v>
      </c>
      <c r="H1056" s="12">
        <v>0</v>
      </c>
      <c r="I1056" s="12"/>
      <c r="J1056" s="12" t="s">
        <v>5560</v>
      </c>
      <c r="K1056" s="12" t="s">
        <v>5561</v>
      </c>
    </row>
    <row r="1057" spans="1:11" x14ac:dyDescent="0.3">
      <c r="A1057" s="12" t="s">
        <v>796</v>
      </c>
      <c r="B1057" s="12" t="s">
        <v>797</v>
      </c>
      <c r="C1057" s="12" t="s">
        <v>798</v>
      </c>
      <c r="D1057" s="12" t="s">
        <v>5562</v>
      </c>
      <c r="E1057" s="12">
        <v>4</v>
      </c>
      <c r="F1057" s="12" t="s">
        <v>5563</v>
      </c>
      <c r="G1057" s="12">
        <v>301</v>
      </c>
      <c r="H1057" s="12">
        <v>0</v>
      </c>
      <c r="I1057" s="12"/>
      <c r="J1057" s="12" t="s">
        <v>5564</v>
      </c>
      <c r="K1057" s="12" t="s">
        <v>5565</v>
      </c>
    </row>
    <row r="1058" spans="1:11" x14ac:dyDescent="0.3">
      <c r="A1058" s="12" t="s">
        <v>796</v>
      </c>
      <c r="B1058" s="12" t="s">
        <v>797</v>
      </c>
      <c r="C1058" s="12" t="s">
        <v>926</v>
      </c>
      <c r="D1058" s="12"/>
      <c r="E1058" s="12">
        <v>3</v>
      </c>
      <c r="F1058" s="12" t="s">
        <v>927</v>
      </c>
      <c r="G1058" s="12">
        <v>284</v>
      </c>
      <c r="H1058" s="12">
        <v>0</v>
      </c>
      <c r="I1058" s="3" t="s">
        <v>924</v>
      </c>
      <c r="J1058" s="12" t="s">
        <v>925</v>
      </c>
      <c r="K1058" s="12" t="s">
        <v>5566</v>
      </c>
    </row>
    <row r="1059" spans="1:11" x14ac:dyDescent="0.3">
      <c r="A1059" s="12" t="s">
        <v>796</v>
      </c>
      <c r="B1059" s="12" t="s">
        <v>797</v>
      </c>
      <c r="C1059" s="12" t="s">
        <v>5567</v>
      </c>
      <c r="D1059" s="12"/>
      <c r="E1059" s="12">
        <v>3</v>
      </c>
      <c r="F1059" s="12" t="s">
        <v>5568</v>
      </c>
      <c r="G1059" s="12">
        <v>31</v>
      </c>
      <c r="H1059" s="12">
        <v>0</v>
      </c>
      <c r="I1059" s="12"/>
      <c r="J1059" s="12" t="s">
        <v>5569</v>
      </c>
      <c r="K1059" s="12" t="s">
        <v>5570</v>
      </c>
    </row>
    <row r="1060" spans="1:11" x14ac:dyDescent="0.3">
      <c r="A1060" s="12" t="s">
        <v>796</v>
      </c>
      <c r="B1060" s="12" t="s">
        <v>797</v>
      </c>
      <c r="C1060" s="12" t="s">
        <v>5571</v>
      </c>
      <c r="D1060" s="12" t="s">
        <v>5572</v>
      </c>
      <c r="E1060" s="12">
        <v>4</v>
      </c>
      <c r="F1060" s="12" t="s">
        <v>5573</v>
      </c>
      <c r="G1060" s="12">
        <v>50</v>
      </c>
      <c r="H1060" s="12">
        <v>0</v>
      </c>
      <c r="I1060" s="12"/>
      <c r="J1060" s="12" t="s">
        <v>5574</v>
      </c>
      <c r="K1060" s="12" t="s">
        <v>5575</v>
      </c>
    </row>
    <row r="1061" spans="1:11" x14ac:dyDescent="0.3">
      <c r="A1061" s="12" t="s">
        <v>796</v>
      </c>
      <c r="B1061" s="12" t="s">
        <v>797</v>
      </c>
      <c r="C1061" s="12" t="s">
        <v>5571</v>
      </c>
      <c r="D1061" s="12" t="s">
        <v>5576</v>
      </c>
      <c r="E1061" s="12">
        <v>4</v>
      </c>
      <c r="F1061" s="12" t="s">
        <v>5577</v>
      </c>
      <c r="G1061" s="12">
        <v>78</v>
      </c>
      <c r="H1061" s="12">
        <v>0</v>
      </c>
      <c r="I1061" s="12"/>
      <c r="J1061" s="12" t="s">
        <v>5578</v>
      </c>
      <c r="K1061" s="12" t="s">
        <v>5579</v>
      </c>
    </row>
    <row r="1062" spans="1:11" x14ac:dyDescent="0.3">
      <c r="A1062" s="12" t="s">
        <v>796</v>
      </c>
      <c r="B1062" s="12" t="s">
        <v>797</v>
      </c>
      <c r="C1062" s="12" t="s">
        <v>5571</v>
      </c>
      <c r="D1062" s="12" t="s">
        <v>5580</v>
      </c>
      <c r="E1062" s="12">
        <v>4</v>
      </c>
      <c r="F1062" s="12" t="s">
        <v>5581</v>
      </c>
      <c r="G1062" s="12">
        <v>136</v>
      </c>
      <c r="H1062" s="12">
        <v>0</v>
      </c>
      <c r="I1062" s="12"/>
      <c r="J1062" s="12" t="s">
        <v>5582</v>
      </c>
      <c r="K1062" s="12" t="s">
        <v>5583</v>
      </c>
    </row>
    <row r="1063" spans="1:11" x14ac:dyDescent="0.3">
      <c r="A1063" s="12" t="s">
        <v>796</v>
      </c>
      <c r="B1063" s="12" t="s">
        <v>797</v>
      </c>
      <c r="C1063" s="12" t="s">
        <v>5571</v>
      </c>
      <c r="D1063" s="12" t="s">
        <v>5584</v>
      </c>
      <c r="E1063" s="12">
        <v>4</v>
      </c>
      <c r="F1063" s="12" t="s">
        <v>5585</v>
      </c>
      <c r="G1063" s="12">
        <v>11</v>
      </c>
      <c r="H1063" s="12">
        <v>0</v>
      </c>
      <c r="I1063" s="12"/>
      <c r="J1063" s="12" t="s">
        <v>5586</v>
      </c>
      <c r="K1063" s="12" t="s">
        <v>5587</v>
      </c>
    </row>
    <row r="1064" spans="1:11" x14ac:dyDescent="0.3">
      <c r="A1064" s="12" t="s">
        <v>796</v>
      </c>
      <c r="B1064" s="12" t="s">
        <v>797</v>
      </c>
      <c r="C1064" s="12" t="s">
        <v>5571</v>
      </c>
      <c r="D1064" s="12" t="s">
        <v>5588</v>
      </c>
      <c r="E1064" s="12">
        <v>4</v>
      </c>
      <c r="F1064" s="12" t="s">
        <v>5589</v>
      </c>
      <c r="G1064" s="12">
        <v>26</v>
      </c>
      <c r="H1064" s="12">
        <v>0</v>
      </c>
      <c r="I1064" s="12"/>
      <c r="J1064" s="12" t="s">
        <v>5590</v>
      </c>
      <c r="K1064" s="12" t="s">
        <v>5591</v>
      </c>
    </row>
    <row r="1065" spans="1:11" x14ac:dyDescent="0.3">
      <c r="A1065" s="12" t="s">
        <v>796</v>
      </c>
      <c r="B1065" s="12" t="s">
        <v>797</v>
      </c>
      <c r="C1065" s="12" t="s">
        <v>5571</v>
      </c>
      <c r="D1065" s="12" t="s">
        <v>5592</v>
      </c>
      <c r="E1065" s="12">
        <v>4</v>
      </c>
      <c r="F1065" s="12" t="s">
        <v>5593</v>
      </c>
      <c r="G1065" s="12">
        <v>158</v>
      </c>
      <c r="H1065" s="12">
        <v>0</v>
      </c>
      <c r="I1065" s="12"/>
      <c r="J1065" s="12" t="s">
        <v>5594</v>
      </c>
      <c r="K1065" s="12" t="s">
        <v>5595</v>
      </c>
    </row>
    <row r="1066" spans="1:11" x14ac:dyDescent="0.3">
      <c r="A1066" s="12" t="s">
        <v>796</v>
      </c>
      <c r="B1066" s="12" t="s">
        <v>797</v>
      </c>
      <c r="C1066" s="12" t="s">
        <v>5596</v>
      </c>
      <c r="D1066" s="12" t="s">
        <v>5597</v>
      </c>
      <c r="E1066" s="12">
        <v>4</v>
      </c>
      <c r="F1066" s="12" t="s">
        <v>5598</v>
      </c>
      <c r="G1066" s="12">
        <v>22</v>
      </c>
      <c r="H1066" s="12">
        <v>0</v>
      </c>
      <c r="I1066" s="12"/>
      <c r="J1066" s="12" t="s">
        <v>5599</v>
      </c>
      <c r="K1066" s="12" t="s">
        <v>5600</v>
      </c>
    </row>
    <row r="1067" spans="1:11" x14ac:dyDescent="0.3">
      <c r="A1067" s="12" t="s">
        <v>796</v>
      </c>
      <c r="B1067" s="12" t="s">
        <v>797</v>
      </c>
      <c r="C1067" s="12" t="s">
        <v>5596</v>
      </c>
      <c r="D1067" s="12" t="s">
        <v>5601</v>
      </c>
      <c r="E1067" s="12">
        <v>4</v>
      </c>
      <c r="F1067" s="12" t="s">
        <v>5602</v>
      </c>
      <c r="G1067" s="12">
        <v>187</v>
      </c>
      <c r="H1067" s="12">
        <v>0</v>
      </c>
      <c r="I1067" s="12"/>
      <c r="J1067" s="12" t="s">
        <v>5603</v>
      </c>
      <c r="K1067" s="12" t="s">
        <v>5604</v>
      </c>
    </row>
    <row r="1068" spans="1:11" x14ac:dyDescent="0.3">
      <c r="A1068" s="12" t="s">
        <v>796</v>
      </c>
      <c r="B1068" s="12" t="s">
        <v>797</v>
      </c>
      <c r="C1068" s="12" t="s">
        <v>5596</v>
      </c>
      <c r="D1068" s="12" t="s">
        <v>5605</v>
      </c>
      <c r="E1068" s="12">
        <v>4</v>
      </c>
      <c r="F1068" s="12" t="s">
        <v>5606</v>
      </c>
      <c r="G1068" s="12">
        <v>70</v>
      </c>
      <c r="H1068" s="12">
        <v>0</v>
      </c>
      <c r="I1068" s="12"/>
      <c r="J1068" s="12" t="s">
        <v>5607</v>
      </c>
      <c r="K1068" s="12" t="s">
        <v>5608</v>
      </c>
    </row>
    <row r="1069" spans="1:11" x14ac:dyDescent="0.3">
      <c r="A1069" s="12" t="s">
        <v>796</v>
      </c>
      <c r="B1069" s="12" t="s">
        <v>797</v>
      </c>
      <c r="C1069" s="12" t="s">
        <v>5596</v>
      </c>
      <c r="D1069" s="12" t="s">
        <v>5609</v>
      </c>
      <c r="E1069" s="12">
        <v>4</v>
      </c>
      <c r="F1069" s="12" t="s">
        <v>5610</v>
      </c>
      <c r="G1069" s="12">
        <v>60</v>
      </c>
      <c r="H1069" s="12">
        <v>0</v>
      </c>
      <c r="I1069" s="12"/>
      <c r="J1069" s="12" t="s">
        <v>5611</v>
      </c>
      <c r="K1069" s="12" t="s">
        <v>5612</v>
      </c>
    </row>
    <row r="1070" spans="1:11" x14ac:dyDescent="0.3">
      <c r="A1070" s="12" t="s">
        <v>796</v>
      </c>
      <c r="B1070" s="12" t="s">
        <v>797</v>
      </c>
      <c r="C1070" s="12" t="s">
        <v>5596</v>
      </c>
      <c r="D1070" s="12" t="s">
        <v>5613</v>
      </c>
      <c r="E1070" s="12">
        <v>4</v>
      </c>
      <c r="F1070" s="12" t="s">
        <v>5614</v>
      </c>
      <c r="G1070" s="12">
        <v>32</v>
      </c>
      <c r="H1070" s="12">
        <v>0</v>
      </c>
      <c r="I1070" s="12"/>
      <c r="J1070" s="12" t="s">
        <v>5615</v>
      </c>
      <c r="K1070" s="12" t="s">
        <v>5616</v>
      </c>
    </row>
    <row r="1071" spans="1:11" x14ac:dyDescent="0.3">
      <c r="A1071" s="12" t="s">
        <v>796</v>
      </c>
      <c r="B1071" s="12" t="s">
        <v>797</v>
      </c>
      <c r="C1071" s="12" t="s">
        <v>5596</v>
      </c>
      <c r="D1071" s="12" t="s">
        <v>5617</v>
      </c>
      <c r="E1071" s="12">
        <v>4</v>
      </c>
      <c r="F1071" s="12" t="s">
        <v>5618</v>
      </c>
      <c r="G1071" s="12">
        <v>569</v>
      </c>
      <c r="H1071" s="12">
        <v>0</v>
      </c>
      <c r="I1071" s="12"/>
      <c r="J1071" s="12" t="s">
        <v>5619</v>
      </c>
      <c r="K1071" s="12" t="s">
        <v>5620</v>
      </c>
    </row>
    <row r="1072" spans="1:11" x14ac:dyDescent="0.3">
      <c r="A1072" s="12" t="s">
        <v>796</v>
      </c>
      <c r="B1072" s="12" t="s">
        <v>797</v>
      </c>
      <c r="C1072" s="12" t="s">
        <v>5596</v>
      </c>
      <c r="D1072" s="12" t="s">
        <v>5621</v>
      </c>
      <c r="E1072" s="12">
        <v>4</v>
      </c>
      <c r="F1072" s="12" t="s">
        <v>5622</v>
      </c>
      <c r="G1072" s="12">
        <v>912</v>
      </c>
      <c r="H1072" s="12">
        <v>0</v>
      </c>
      <c r="I1072" s="12"/>
      <c r="J1072" s="12" t="s">
        <v>5623</v>
      </c>
      <c r="K1072" s="12" t="s">
        <v>5624</v>
      </c>
    </row>
    <row r="1073" spans="1:11" x14ac:dyDescent="0.3">
      <c r="A1073" s="12" t="s">
        <v>796</v>
      </c>
      <c r="B1073" s="12" t="s">
        <v>797</v>
      </c>
      <c r="C1073" s="12" t="s">
        <v>5596</v>
      </c>
      <c r="D1073" s="12" t="s">
        <v>5625</v>
      </c>
      <c r="E1073" s="12">
        <v>4</v>
      </c>
      <c r="F1073" s="12" t="s">
        <v>5626</v>
      </c>
      <c r="G1073" s="12">
        <v>65</v>
      </c>
      <c r="H1073" s="12">
        <v>0</v>
      </c>
      <c r="I1073" s="12"/>
      <c r="J1073" s="12" t="s">
        <v>5627</v>
      </c>
      <c r="K1073" s="12" t="s">
        <v>5628</v>
      </c>
    </row>
    <row r="1074" spans="1:11" x14ac:dyDescent="0.3">
      <c r="A1074" s="12" t="s">
        <v>5629</v>
      </c>
      <c r="B1074" s="12" t="s">
        <v>5630</v>
      </c>
      <c r="C1074" s="12"/>
      <c r="D1074" s="12"/>
      <c r="E1074" s="12">
        <v>2</v>
      </c>
      <c r="F1074" s="12" t="s">
        <v>5631</v>
      </c>
      <c r="G1074" s="12">
        <v>6</v>
      </c>
      <c r="H1074" s="12">
        <v>0</v>
      </c>
      <c r="I1074" s="12"/>
      <c r="J1074" s="12" t="s">
        <v>5632</v>
      </c>
      <c r="K1074" s="12" t="s">
        <v>5633</v>
      </c>
    </row>
    <row r="1075" spans="1:11" x14ac:dyDescent="0.3">
      <c r="A1075" s="12" t="s">
        <v>5629</v>
      </c>
      <c r="B1075" s="12" t="s">
        <v>5634</v>
      </c>
      <c r="C1075" s="12" t="s">
        <v>5635</v>
      </c>
      <c r="D1075" s="12"/>
      <c r="E1075" s="12">
        <v>3</v>
      </c>
      <c r="F1075" s="12" t="s">
        <v>5636</v>
      </c>
      <c r="G1075" s="12">
        <v>39</v>
      </c>
      <c r="H1075" s="12">
        <v>0</v>
      </c>
      <c r="I1075" s="12"/>
      <c r="J1075" s="12" t="s">
        <v>5637</v>
      </c>
      <c r="K1075" s="12" t="s">
        <v>5638</v>
      </c>
    </row>
    <row r="1076" spans="1:11" x14ac:dyDescent="0.3">
      <c r="A1076" s="12" t="s">
        <v>5629</v>
      </c>
      <c r="B1076" s="12" t="s">
        <v>5634</v>
      </c>
      <c r="C1076" s="12" t="s">
        <v>5639</v>
      </c>
      <c r="D1076" s="12"/>
      <c r="E1076" s="12">
        <v>3</v>
      </c>
      <c r="F1076" s="12" t="s">
        <v>5640</v>
      </c>
      <c r="G1076" s="12">
        <v>168</v>
      </c>
      <c r="H1076" s="12">
        <v>0</v>
      </c>
      <c r="I1076" s="12"/>
      <c r="J1076" s="12" t="s">
        <v>5641</v>
      </c>
      <c r="K1076" s="12" t="s">
        <v>5642</v>
      </c>
    </row>
    <row r="1077" spans="1:11" x14ac:dyDescent="0.3">
      <c r="A1077" s="12" t="s">
        <v>5629</v>
      </c>
      <c r="B1077" s="12" t="s">
        <v>5643</v>
      </c>
      <c r="C1077" s="12"/>
      <c r="D1077" s="12"/>
      <c r="E1077" s="12">
        <v>2</v>
      </c>
      <c r="F1077" s="12" t="s">
        <v>5644</v>
      </c>
      <c r="G1077" s="12">
        <v>27</v>
      </c>
      <c r="H1077" s="12">
        <v>0</v>
      </c>
      <c r="I1077" s="12"/>
      <c r="J1077" s="12" t="s">
        <v>5645</v>
      </c>
      <c r="K1077" s="12" t="s">
        <v>5646</v>
      </c>
    </row>
    <row r="1078" spans="1:11" x14ac:dyDescent="0.3">
      <c r="A1078" s="12" t="s">
        <v>879</v>
      </c>
      <c r="B1078" s="12" t="s">
        <v>880</v>
      </c>
      <c r="C1078" s="12" t="s">
        <v>5647</v>
      </c>
      <c r="D1078" s="12"/>
      <c r="E1078" s="12">
        <v>3</v>
      </c>
      <c r="F1078" s="12" t="s">
        <v>5648</v>
      </c>
      <c r="G1078" s="12">
        <v>12</v>
      </c>
      <c r="H1078" s="12">
        <v>9</v>
      </c>
      <c r="I1078" s="12"/>
      <c r="J1078" s="12" t="s">
        <v>5649</v>
      </c>
      <c r="K1078" s="12" t="s">
        <v>5650</v>
      </c>
    </row>
    <row r="1079" spans="1:11" x14ac:dyDescent="0.3">
      <c r="A1079" s="12" t="s">
        <v>879</v>
      </c>
      <c r="B1079" s="12" t="s">
        <v>880</v>
      </c>
      <c r="C1079" s="12" t="s">
        <v>5651</v>
      </c>
      <c r="D1079" s="12"/>
      <c r="E1079" s="12">
        <v>3</v>
      </c>
      <c r="F1079" s="12" t="s">
        <v>5652</v>
      </c>
      <c r="G1079" s="12">
        <v>74</v>
      </c>
      <c r="H1079" s="12">
        <v>0</v>
      </c>
      <c r="I1079" s="12"/>
      <c r="J1079" s="12" t="s">
        <v>5653</v>
      </c>
      <c r="K1079" s="12" t="s">
        <v>5654</v>
      </c>
    </row>
    <row r="1080" spans="1:11" x14ac:dyDescent="0.3">
      <c r="A1080" s="12" t="s">
        <v>879</v>
      </c>
      <c r="B1080" s="12" t="s">
        <v>880</v>
      </c>
      <c r="C1080" s="12" t="s">
        <v>881</v>
      </c>
      <c r="D1080" s="12"/>
      <c r="E1080" s="12">
        <v>3</v>
      </c>
      <c r="F1080" s="12" t="s">
        <v>262</v>
      </c>
      <c r="G1080" s="12">
        <v>396</v>
      </c>
      <c r="H1080" s="12">
        <v>387</v>
      </c>
      <c r="I1080" s="3" t="s">
        <v>260</v>
      </c>
      <c r="J1080" s="12" t="s">
        <v>261</v>
      </c>
      <c r="K1080" s="12" t="s">
        <v>516</v>
      </c>
    </row>
    <row r="1081" spans="1:11" x14ac:dyDescent="0.3">
      <c r="A1081" s="12" t="s">
        <v>879</v>
      </c>
      <c r="B1081" s="12" t="s">
        <v>880</v>
      </c>
      <c r="C1081" s="12" t="s">
        <v>5655</v>
      </c>
      <c r="D1081" s="12" t="s">
        <v>5655</v>
      </c>
      <c r="E1081" s="12">
        <v>4</v>
      </c>
      <c r="F1081" s="12" t="s">
        <v>5656</v>
      </c>
      <c r="G1081" s="12">
        <v>168</v>
      </c>
      <c r="H1081" s="12">
        <v>0</v>
      </c>
      <c r="I1081" s="12"/>
      <c r="J1081" s="12" t="s">
        <v>5657</v>
      </c>
      <c r="K1081" s="12" t="s">
        <v>5658</v>
      </c>
    </row>
    <row r="1082" spans="1:11" x14ac:dyDescent="0.3">
      <c r="A1082" s="12" t="s">
        <v>879</v>
      </c>
      <c r="B1082" s="12" t="s">
        <v>880</v>
      </c>
      <c r="C1082" s="12" t="s">
        <v>5659</v>
      </c>
      <c r="D1082" s="12"/>
      <c r="E1082" s="12">
        <v>3</v>
      </c>
      <c r="F1082" s="12" t="s">
        <v>5660</v>
      </c>
      <c r="G1082" s="12">
        <v>23</v>
      </c>
      <c r="H1082" s="12">
        <v>20</v>
      </c>
      <c r="I1082" s="12"/>
      <c r="J1082" s="12" t="s">
        <v>5661</v>
      </c>
      <c r="K1082" s="12" t="s">
        <v>5662</v>
      </c>
    </row>
    <row r="1083" spans="1:11" x14ac:dyDescent="0.3">
      <c r="A1083" s="12" t="s">
        <v>879</v>
      </c>
      <c r="B1083" s="12" t="s">
        <v>880</v>
      </c>
      <c r="C1083" s="12" t="s">
        <v>5663</v>
      </c>
      <c r="D1083" s="12"/>
      <c r="E1083" s="12">
        <v>3</v>
      </c>
      <c r="F1083" s="12" t="s">
        <v>5664</v>
      </c>
      <c r="G1083" s="12">
        <v>23</v>
      </c>
      <c r="H1083" s="12">
        <v>23</v>
      </c>
      <c r="I1083" s="12"/>
      <c r="J1083" s="12" t="s">
        <v>5665</v>
      </c>
      <c r="K1083" s="12" t="s">
        <v>5666</v>
      </c>
    </row>
    <row r="1084" spans="1:11" x14ac:dyDescent="0.3">
      <c r="A1084" s="12" t="s">
        <v>879</v>
      </c>
      <c r="B1084" s="12" t="s">
        <v>880</v>
      </c>
      <c r="C1084" s="12" t="s">
        <v>5667</v>
      </c>
      <c r="D1084" s="12"/>
      <c r="E1084" s="12">
        <v>3</v>
      </c>
      <c r="F1084" s="12" t="s">
        <v>5668</v>
      </c>
      <c r="G1084" s="12">
        <v>28</v>
      </c>
      <c r="H1084" s="12">
        <v>21</v>
      </c>
      <c r="I1084" s="12"/>
      <c r="J1084" s="12" t="s">
        <v>5669</v>
      </c>
      <c r="K1084" s="12" t="s">
        <v>5670</v>
      </c>
    </row>
    <row r="1085" spans="1:11" x14ac:dyDescent="0.3">
      <c r="A1085" s="12" t="s">
        <v>879</v>
      </c>
      <c r="B1085" s="12" t="s">
        <v>5671</v>
      </c>
      <c r="C1085" s="12" t="s">
        <v>5672</v>
      </c>
      <c r="D1085" s="12" t="s">
        <v>5673</v>
      </c>
      <c r="E1085" s="12">
        <v>4</v>
      </c>
      <c r="F1085" s="12" t="s">
        <v>5674</v>
      </c>
      <c r="G1085" s="12">
        <v>420</v>
      </c>
      <c r="H1085" s="12">
        <v>418</v>
      </c>
      <c r="I1085" s="12"/>
      <c r="J1085" s="12" t="s">
        <v>5675</v>
      </c>
      <c r="K1085" s="12" t="s">
        <v>5676</v>
      </c>
    </row>
    <row r="1086" spans="1:11" x14ac:dyDescent="0.3">
      <c r="A1086" s="12" t="s">
        <v>879</v>
      </c>
      <c r="B1086" s="12" t="s">
        <v>5671</v>
      </c>
      <c r="C1086" s="12" t="s">
        <v>5672</v>
      </c>
      <c r="D1086" s="12" t="s">
        <v>5677</v>
      </c>
      <c r="E1086" s="12">
        <v>4</v>
      </c>
      <c r="F1086" s="12" t="s">
        <v>5678</v>
      </c>
      <c r="G1086" s="12">
        <v>113</v>
      </c>
      <c r="H1086" s="12">
        <v>113</v>
      </c>
      <c r="I1086" s="12"/>
      <c r="J1086" s="12" t="s">
        <v>5679</v>
      </c>
      <c r="K1086" s="12" t="s">
        <v>5680</v>
      </c>
    </row>
    <row r="1087" spans="1:11" x14ac:dyDescent="0.3">
      <c r="A1087" s="12" t="s">
        <v>879</v>
      </c>
      <c r="B1087" s="12" t="s">
        <v>5671</v>
      </c>
      <c r="C1087" s="12" t="s">
        <v>5672</v>
      </c>
      <c r="D1087" s="12" t="s">
        <v>5681</v>
      </c>
      <c r="E1087" s="12">
        <v>4</v>
      </c>
      <c r="F1087" s="12" t="s">
        <v>5682</v>
      </c>
      <c r="G1087" s="12">
        <v>33</v>
      </c>
      <c r="H1087" s="12">
        <v>33</v>
      </c>
      <c r="I1087" s="12"/>
      <c r="J1087" s="12" t="s">
        <v>5683</v>
      </c>
      <c r="K1087" s="12" t="s">
        <v>5684</v>
      </c>
    </row>
    <row r="1088" spans="1:11" x14ac:dyDescent="0.3">
      <c r="A1088" s="12" t="s">
        <v>879</v>
      </c>
      <c r="B1088" s="12" t="s">
        <v>5671</v>
      </c>
      <c r="C1088" s="12" t="s">
        <v>5672</v>
      </c>
      <c r="D1088" s="12" t="s">
        <v>5685</v>
      </c>
      <c r="E1088" s="12">
        <v>4</v>
      </c>
      <c r="F1088" s="12" t="s">
        <v>5686</v>
      </c>
      <c r="G1088" s="12">
        <v>1476</v>
      </c>
      <c r="H1088" s="12">
        <v>1460</v>
      </c>
      <c r="I1088" s="12"/>
      <c r="J1088" s="12" t="s">
        <v>5687</v>
      </c>
      <c r="K1088" s="12" t="s">
        <v>5688</v>
      </c>
    </row>
    <row r="1089" spans="1:11" x14ac:dyDescent="0.3">
      <c r="A1089" s="12" t="s">
        <v>879</v>
      </c>
      <c r="B1089" s="12" t="s">
        <v>5671</v>
      </c>
      <c r="C1089" s="12" t="s">
        <v>5689</v>
      </c>
      <c r="D1089" s="12" t="s">
        <v>5690</v>
      </c>
      <c r="E1089" s="12">
        <v>4</v>
      </c>
      <c r="F1089" s="12" t="s">
        <v>5691</v>
      </c>
      <c r="G1089" s="12">
        <v>6</v>
      </c>
      <c r="H1089" s="12">
        <v>6</v>
      </c>
      <c r="I1089" s="12"/>
      <c r="J1089" s="12" t="s">
        <v>5692</v>
      </c>
      <c r="K1089" s="12" t="s">
        <v>5693</v>
      </c>
    </row>
    <row r="1090" spans="1:11" x14ac:dyDescent="0.3">
      <c r="A1090" s="12" t="s">
        <v>879</v>
      </c>
      <c r="B1090" s="12" t="s">
        <v>5671</v>
      </c>
      <c r="C1090" s="12" t="s">
        <v>5689</v>
      </c>
      <c r="D1090" s="12" t="s">
        <v>5694</v>
      </c>
      <c r="E1090" s="12">
        <v>4</v>
      </c>
      <c r="F1090" s="12" t="s">
        <v>5695</v>
      </c>
      <c r="G1090" s="12">
        <v>52</v>
      </c>
      <c r="H1090" s="12">
        <v>51</v>
      </c>
      <c r="I1090" s="12"/>
      <c r="J1090" s="12" t="s">
        <v>5696</v>
      </c>
      <c r="K1090" s="12" t="s">
        <v>5697</v>
      </c>
    </row>
    <row r="1091" spans="1:11" x14ac:dyDescent="0.3">
      <c r="A1091" s="12" t="s">
        <v>879</v>
      </c>
      <c r="B1091" s="12" t="s">
        <v>5671</v>
      </c>
      <c r="C1091" s="12" t="s">
        <v>5689</v>
      </c>
      <c r="D1091" s="12" t="s">
        <v>5698</v>
      </c>
      <c r="E1091" s="12">
        <v>4</v>
      </c>
      <c r="F1091" s="12" t="s">
        <v>5699</v>
      </c>
      <c r="G1091" s="12">
        <v>82</v>
      </c>
      <c r="H1091" s="12">
        <v>84</v>
      </c>
      <c r="I1091" s="12"/>
      <c r="J1091" s="12" t="s">
        <v>5700</v>
      </c>
      <c r="K1091" s="12" t="s">
        <v>5701</v>
      </c>
    </row>
    <row r="1092" spans="1:11" x14ac:dyDescent="0.3">
      <c r="A1092" s="12" t="s">
        <v>879</v>
      </c>
      <c r="B1092" s="12" t="s">
        <v>5671</v>
      </c>
      <c r="C1092" s="12" t="s">
        <v>5689</v>
      </c>
      <c r="D1092" s="12" t="s">
        <v>5702</v>
      </c>
      <c r="E1092" s="12">
        <v>4</v>
      </c>
      <c r="F1092" s="12" t="s">
        <v>5703</v>
      </c>
      <c r="G1092" s="12">
        <v>12</v>
      </c>
      <c r="H1092" s="12">
        <v>12</v>
      </c>
      <c r="I1092" s="12"/>
      <c r="J1092" s="12" t="s">
        <v>5704</v>
      </c>
      <c r="K1092" s="12" t="s">
        <v>5705</v>
      </c>
    </row>
    <row r="1093" spans="1:11" x14ac:dyDescent="0.3">
      <c r="A1093" s="12" t="s">
        <v>879</v>
      </c>
      <c r="B1093" s="12" t="s">
        <v>5671</v>
      </c>
      <c r="C1093" s="12" t="s">
        <v>5689</v>
      </c>
      <c r="D1093" s="12" t="s">
        <v>5706</v>
      </c>
      <c r="E1093" s="12">
        <v>4</v>
      </c>
      <c r="F1093" s="12" t="s">
        <v>5707</v>
      </c>
      <c r="G1093" s="12">
        <v>27</v>
      </c>
      <c r="H1093" s="12">
        <v>27</v>
      </c>
      <c r="I1093" s="12"/>
      <c r="J1093" s="12" t="s">
        <v>5708</v>
      </c>
      <c r="K1093" s="12" t="s">
        <v>5709</v>
      </c>
    </row>
    <row r="1094" spans="1:11" x14ac:dyDescent="0.3">
      <c r="A1094" s="12" t="s">
        <v>879</v>
      </c>
      <c r="B1094" s="12" t="s">
        <v>5671</v>
      </c>
      <c r="C1094" s="12" t="s">
        <v>5689</v>
      </c>
      <c r="D1094" s="12" t="s">
        <v>5710</v>
      </c>
      <c r="E1094" s="12">
        <v>4</v>
      </c>
      <c r="F1094" s="12" t="s">
        <v>5711</v>
      </c>
      <c r="G1094" s="12">
        <v>91</v>
      </c>
      <c r="H1094" s="12">
        <v>91</v>
      </c>
      <c r="I1094" s="12"/>
      <c r="J1094" s="12" t="s">
        <v>5712</v>
      </c>
      <c r="K1094" s="12" t="s">
        <v>5713</v>
      </c>
    </row>
    <row r="1095" spans="1:11" x14ac:dyDescent="0.3">
      <c r="A1095" s="12" t="s">
        <v>879</v>
      </c>
      <c r="B1095" s="12" t="s">
        <v>5671</v>
      </c>
      <c r="C1095" s="12" t="s">
        <v>5689</v>
      </c>
      <c r="D1095" s="12" t="s">
        <v>5714</v>
      </c>
      <c r="E1095" s="12">
        <v>4</v>
      </c>
      <c r="F1095" s="12" t="s">
        <v>5715</v>
      </c>
      <c r="G1095" s="12">
        <v>32</v>
      </c>
      <c r="H1095" s="12">
        <v>31</v>
      </c>
      <c r="I1095" s="12"/>
      <c r="J1095" s="12" t="s">
        <v>5716</v>
      </c>
      <c r="K1095" s="12" t="s">
        <v>5717</v>
      </c>
    </row>
    <row r="1096" spans="1:11" x14ac:dyDescent="0.3">
      <c r="A1096" s="12" t="s">
        <v>879</v>
      </c>
      <c r="B1096" s="12" t="s">
        <v>5671</v>
      </c>
      <c r="C1096" s="12" t="s">
        <v>5718</v>
      </c>
      <c r="D1096" s="12" t="s">
        <v>5719</v>
      </c>
      <c r="E1096" s="12">
        <v>4</v>
      </c>
      <c r="F1096" s="12" t="s">
        <v>5720</v>
      </c>
      <c r="G1096" s="12">
        <v>4</v>
      </c>
      <c r="H1096" s="12">
        <v>4</v>
      </c>
      <c r="I1096" s="12"/>
      <c r="J1096" s="12" t="s">
        <v>5721</v>
      </c>
      <c r="K1096" s="12" t="s">
        <v>5722</v>
      </c>
    </row>
    <row r="1097" spans="1:11" x14ac:dyDescent="0.3">
      <c r="A1097" s="12" t="s">
        <v>879</v>
      </c>
      <c r="B1097" s="12" t="s">
        <v>5671</v>
      </c>
      <c r="C1097" s="12" t="s">
        <v>5718</v>
      </c>
      <c r="D1097" s="12" t="s">
        <v>5723</v>
      </c>
      <c r="E1097" s="12">
        <v>4</v>
      </c>
      <c r="F1097" s="12" t="s">
        <v>5724</v>
      </c>
      <c r="G1097" s="12">
        <v>33</v>
      </c>
      <c r="H1097" s="12">
        <v>33</v>
      </c>
      <c r="I1097" s="12"/>
      <c r="J1097" s="12" t="s">
        <v>5725</v>
      </c>
      <c r="K1097" s="12" t="s">
        <v>5726</v>
      </c>
    </row>
    <row r="1098" spans="1:11" x14ac:dyDescent="0.3">
      <c r="A1098" s="12" t="s">
        <v>879</v>
      </c>
      <c r="B1098" s="12" t="s">
        <v>5671</v>
      </c>
      <c r="C1098" s="12" t="s">
        <v>5727</v>
      </c>
      <c r="D1098" s="12"/>
      <c r="E1098" s="12">
        <v>3</v>
      </c>
      <c r="F1098" s="12" t="s">
        <v>5728</v>
      </c>
      <c r="G1098" s="12">
        <v>61</v>
      </c>
      <c r="H1098" s="12">
        <v>58</v>
      </c>
      <c r="I1098" s="12"/>
      <c r="J1098" s="12" t="s">
        <v>5729</v>
      </c>
      <c r="K1098" s="12" t="s">
        <v>5730</v>
      </c>
    </row>
    <row r="1099" spans="1:11" x14ac:dyDescent="0.3">
      <c r="A1099" s="12" t="s">
        <v>879</v>
      </c>
      <c r="B1099" s="12" t="s">
        <v>5671</v>
      </c>
      <c r="C1099" s="12" t="s">
        <v>5731</v>
      </c>
      <c r="D1099" s="12" t="s">
        <v>5732</v>
      </c>
      <c r="E1099" s="12">
        <v>4</v>
      </c>
      <c r="F1099" s="12" t="s">
        <v>5733</v>
      </c>
      <c r="G1099" s="12">
        <v>3</v>
      </c>
      <c r="H1099" s="12">
        <v>3</v>
      </c>
      <c r="I1099" s="12"/>
      <c r="J1099" s="12" t="s">
        <v>5734</v>
      </c>
      <c r="K1099" s="12" t="s">
        <v>5735</v>
      </c>
    </row>
    <row r="1100" spans="1:11" x14ac:dyDescent="0.3">
      <c r="A1100" s="12" t="s">
        <v>879</v>
      </c>
      <c r="B1100" s="12" t="s">
        <v>5671</v>
      </c>
      <c r="C1100" s="12" t="s">
        <v>5731</v>
      </c>
      <c r="D1100" s="12" t="s">
        <v>5736</v>
      </c>
      <c r="E1100" s="12">
        <v>4</v>
      </c>
      <c r="F1100" s="12" t="s">
        <v>5737</v>
      </c>
      <c r="G1100" s="12">
        <v>113</v>
      </c>
      <c r="H1100" s="12">
        <v>110</v>
      </c>
      <c r="I1100" s="12"/>
      <c r="J1100" s="12" t="s">
        <v>5738</v>
      </c>
      <c r="K1100" s="12" t="s">
        <v>5739</v>
      </c>
    </row>
    <row r="1101" spans="1:11" x14ac:dyDescent="0.3">
      <c r="A1101" s="12" t="s">
        <v>879</v>
      </c>
      <c r="B1101" s="12" t="s">
        <v>5671</v>
      </c>
      <c r="C1101" s="12" t="s">
        <v>5731</v>
      </c>
      <c r="D1101" s="12" t="s">
        <v>5740</v>
      </c>
      <c r="E1101" s="12">
        <v>4</v>
      </c>
      <c r="F1101" s="12" t="s">
        <v>5741</v>
      </c>
      <c r="G1101" s="12">
        <v>271</v>
      </c>
      <c r="H1101" s="12">
        <v>266</v>
      </c>
      <c r="I1101" s="12"/>
      <c r="J1101" s="12" t="s">
        <v>5742</v>
      </c>
      <c r="K1101" s="12" t="s">
        <v>5743</v>
      </c>
    </row>
    <row r="1102" spans="1:11" x14ac:dyDescent="0.3">
      <c r="A1102" s="12" t="s">
        <v>879</v>
      </c>
      <c r="B1102" s="12" t="s">
        <v>5671</v>
      </c>
      <c r="C1102" s="12" t="s">
        <v>5744</v>
      </c>
      <c r="D1102" s="12"/>
      <c r="E1102" s="12">
        <v>3</v>
      </c>
      <c r="F1102" s="12" t="s">
        <v>5745</v>
      </c>
      <c r="G1102" s="12">
        <v>4</v>
      </c>
      <c r="H1102" s="12">
        <v>4</v>
      </c>
      <c r="I1102" s="12"/>
      <c r="J1102" s="12" t="s">
        <v>5746</v>
      </c>
      <c r="K1102" s="12" t="s">
        <v>5747</v>
      </c>
    </row>
    <row r="1103" spans="1:11" x14ac:dyDescent="0.3">
      <c r="A1103" s="12" t="s">
        <v>879</v>
      </c>
      <c r="B1103" s="12" t="s">
        <v>5671</v>
      </c>
      <c r="C1103" s="12" t="s">
        <v>5748</v>
      </c>
      <c r="D1103" s="12" t="s">
        <v>5749</v>
      </c>
      <c r="E1103" s="12">
        <v>4</v>
      </c>
      <c r="F1103" s="12" t="s">
        <v>5750</v>
      </c>
      <c r="G1103" s="12">
        <v>47</v>
      </c>
      <c r="H1103" s="12">
        <v>45</v>
      </c>
      <c r="I1103" s="12"/>
      <c r="J1103" s="12" t="s">
        <v>5751</v>
      </c>
      <c r="K1103" s="12" t="s">
        <v>5752</v>
      </c>
    </row>
    <row r="1104" spans="1:11" x14ac:dyDescent="0.3">
      <c r="A1104" s="12" t="s">
        <v>879</v>
      </c>
      <c r="B1104" s="12" t="s">
        <v>5671</v>
      </c>
      <c r="C1104" s="12" t="s">
        <v>5753</v>
      </c>
      <c r="D1104" s="12" t="s">
        <v>5754</v>
      </c>
      <c r="E1104" s="12">
        <v>4</v>
      </c>
      <c r="F1104" s="12" t="s">
        <v>5755</v>
      </c>
      <c r="G1104" s="12">
        <v>16</v>
      </c>
      <c r="H1104" s="12">
        <v>16</v>
      </c>
      <c r="I1104" s="12"/>
      <c r="J1104" s="12" t="s">
        <v>5756</v>
      </c>
      <c r="K1104" s="12" t="s">
        <v>5757</v>
      </c>
    </row>
    <row r="1105" spans="1:11" x14ac:dyDescent="0.3">
      <c r="A1105" s="12" t="s">
        <v>879</v>
      </c>
      <c r="B1105" s="12" t="s">
        <v>5671</v>
      </c>
      <c r="C1105" s="12" t="s">
        <v>5753</v>
      </c>
      <c r="D1105" s="12" t="s">
        <v>5758</v>
      </c>
      <c r="E1105" s="12">
        <v>4</v>
      </c>
      <c r="F1105" s="12" t="s">
        <v>5759</v>
      </c>
      <c r="G1105" s="12">
        <v>81</v>
      </c>
      <c r="H1105" s="12">
        <v>81</v>
      </c>
      <c r="I1105" s="12"/>
      <c r="J1105" s="12" t="s">
        <v>5760</v>
      </c>
      <c r="K1105" s="12" t="s">
        <v>5761</v>
      </c>
    </row>
    <row r="1106" spans="1:11" x14ac:dyDescent="0.3">
      <c r="A1106" s="12" t="s">
        <v>879</v>
      </c>
      <c r="B1106" s="12" t="s">
        <v>5671</v>
      </c>
      <c r="C1106" s="12" t="s">
        <v>5753</v>
      </c>
      <c r="D1106" s="12" t="s">
        <v>5762</v>
      </c>
      <c r="E1106" s="12">
        <v>4</v>
      </c>
      <c r="F1106" s="12" t="s">
        <v>5763</v>
      </c>
      <c r="G1106" s="12">
        <v>1301</v>
      </c>
      <c r="H1106" s="12">
        <v>1300</v>
      </c>
      <c r="I1106" s="12"/>
      <c r="J1106" s="12" t="s">
        <v>5764</v>
      </c>
      <c r="K1106" s="12" t="s">
        <v>5765</v>
      </c>
    </row>
    <row r="1107" spans="1:11" x14ac:dyDescent="0.3">
      <c r="A1107" s="12" t="s">
        <v>879</v>
      </c>
      <c r="B1107" s="12" t="s">
        <v>5671</v>
      </c>
      <c r="C1107" s="12" t="s">
        <v>5753</v>
      </c>
      <c r="D1107" s="12" t="s">
        <v>5766</v>
      </c>
      <c r="E1107" s="12">
        <v>4</v>
      </c>
      <c r="F1107" s="12" t="s">
        <v>5767</v>
      </c>
      <c r="G1107" s="12">
        <v>72</v>
      </c>
      <c r="H1107" s="12">
        <v>72</v>
      </c>
      <c r="I1107" s="12"/>
      <c r="J1107" s="12" t="s">
        <v>5768</v>
      </c>
      <c r="K1107" s="12" t="s">
        <v>5769</v>
      </c>
    </row>
    <row r="1108" spans="1:11" x14ac:dyDescent="0.3">
      <c r="A1108" s="12" t="s">
        <v>879</v>
      </c>
      <c r="B1108" s="12" t="s">
        <v>5671</v>
      </c>
      <c r="C1108" s="12" t="s">
        <v>5753</v>
      </c>
      <c r="D1108" s="12" t="s">
        <v>5770</v>
      </c>
      <c r="E1108" s="12">
        <v>4</v>
      </c>
      <c r="F1108" s="12" t="s">
        <v>5771</v>
      </c>
      <c r="G1108" s="12">
        <v>53</v>
      </c>
      <c r="H1108" s="12">
        <v>52</v>
      </c>
      <c r="I1108" s="12"/>
      <c r="J1108" s="12" t="s">
        <v>5772</v>
      </c>
      <c r="K1108" s="12" t="s">
        <v>5773</v>
      </c>
    </row>
    <row r="1109" spans="1:11" x14ac:dyDescent="0.3">
      <c r="A1109" s="12" t="s">
        <v>879</v>
      </c>
      <c r="B1109" s="12" t="s">
        <v>5671</v>
      </c>
      <c r="C1109" s="12" t="s">
        <v>5774</v>
      </c>
      <c r="D1109" s="12"/>
      <c r="E1109" s="12">
        <v>3</v>
      </c>
      <c r="F1109" s="12" t="s">
        <v>5775</v>
      </c>
      <c r="G1109" s="12">
        <v>24</v>
      </c>
      <c r="H1109" s="12">
        <v>24</v>
      </c>
      <c r="I1109" s="12"/>
      <c r="J1109" s="12" t="s">
        <v>5776</v>
      </c>
      <c r="K1109" s="12" t="s">
        <v>5777</v>
      </c>
    </row>
    <row r="1110" spans="1:11" x14ac:dyDescent="0.3">
      <c r="A1110" s="12" t="s">
        <v>879</v>
      </c>
      <c r="B1110" s="12" t="s">
        <v>5671</v>
      </c>
      <c r="C1110" s="12" t="s">
        <v>5778</v>
      </c>
      <c r="D1110" s="12" t="s">
        <v>5779</v>
      </c>
      <c r="E1110" s="12">
        <v>4</v>
      </c>
      <c r="F1110" s="12" t="s">
        <v>5780</v>
      </c>
      <c r="G1110" s="12">
        <v>49</v>
      </c>
      <c r="H1110" s="12">
        <v>49</v>
      </c>
      <c r="I1110" s="12"/>
      <c r="J1110" s="12" t="s">
        <v>5781</v>
      </c>
      <c r="K1110" s="12" t="s">
        <v>5782</v>
      </c>
    </row>
    <row r="1111" spans="1:11" x14ac:dyDescent="0.3">
      <c r="A1111" s="12" t="s">
        <v>879</v>
      </c>
      <c r="B1111" s="12" t="s">
        <v>5671</v>
      </c>
      <c r="C1111" s="12" t="s">
        <v>5778</v>
      </c>
      <c r="D1111" s="12" t="s">
        <v>5783</v>
      </c>
      <c r="E1111" s="12">
        <v>4</v>
      </c>
      <c r="F1111" s="12" t="s">
        <v>5784</v>
      </c>
      <c r="G1111" s="12">
        <v>45</v>
      </c>
      <c r="H1111" s="12">
        <v>44</v>
      </c>
      <c r="I1111" s="12"/>
      <c r="J1111" s="12" t="s">
        <v>5785</v>
      </c>
      <c r="K1111" s="12" t="s">
        <v>5786</v>
      </c>
    </row>
    <row r="1112" spans="1:11" x14ac:dyDescent="0.3">
      <c r="A1112" s="12" t="s">
        <v>879</v>
      </c>
      <c r="B1112" s="12" t="s">
        <v>5671</v>
      </c>
      <c r="C1112" s="12" t="s">
        <v>5778</v>
      </c>
      <c r="D1112" s="12" t="s">
        <v>5787</v>
      </c>
      <c r="E1112" s="12">
        <v>4</v>
      </c>
      <c r="F1112" s="12" t="s">
        <v>5788</v>
      </c>
      <c r="G1112" s="12">
        <v>10</v>
      </c>
      <c r="H1112" s="12">
        <v>10</v>
      </c>
      <c r="I1112" s="12"/>
      <c r="J1112" s="12" t="s">
        <v>5789</v>
      </c>
      <c r="K1112" s="12" t="s">
        <v>5790</v>
      </c>
    </row>
    <row r="1113" spans="1:11" x14ac:dyDescent="0.3">
      <c r="A1113" s="12" t="s">
        <v>879</v>
      </c>
      <c r="B1113" s="12" t="s">
        <v>5671</v>
      </c>
      <c r="C1113" s="12" t="s">
        <v>5778</v>
      </c>
      <c r="D1113" s="12" t="s">
        <v>5791</v>
      </c>
      <c r="E1113" s="12">
        <v>4</v>
      </c>
      <c r="F1113" s="12" t="s">
        <v>5792</v>
      </c>
      <c r="G1113" s="12">
        <v>30</v>
      </c>
      <c r="H1113" s="12">
        <v>30</v>
      </c>
      <c r="I1113" s="12"/>
      <c r="J1113" s="12" t="s">
        <v>5793</v>
      </c>
      <c r="K1113" s="12" t="s">
        <v>5794</v>
      </c>
    </row>
    <row r="1114" spans="1:11" x14ac:dyDescent="0.3">
      <c r="A1114" s="12" t="s">
        <v>879</v>
      </c>
      <c r="B1114" s="12" t="s">
        <v>5671</v>
      </c>
      <c r="C1114" s="12" t="s">
        <v>5778</v>
      </c>
      <c r="D1114" s="12" t="s">
        <v>5795</v>
      </c>
      <c r="E1114" s="12">
        <v>4</v>
      </c>
      <c r="F1114" s="12" t="s">
        <v>5796</v>
      </c>
      <c r="G1114" s="12">
        <v>10</v>
      </c>
      <c r="H1114" s="12">
        <v>10</v>
      </c>
      <c r="I1114" s="12"/>
      <c r="J1114" s="12" t="s">
        <v>5797</v>
      </c>
      <c r="K1114" s="12" t="s">
        <v>5798</v>
      </c>
    </row>
    <row r="1115" spans="1:11" x14ac:dyDescent="0.3">
      <c r="A1115" s="12" t="s">
        <v>879</v>
      </c>
      <c r="B1115" s="12" t="s">
        <v>5671</v>
      </c>
      <c r="C1115" s="12" t="s">
        <v>5799</v>
      </c>
      <c r="D1115" s="12" t="s">
        <v>5800</v>
      </c>
      <c r="E1115" s="12">
        <v>4</v>
      </c>
      <c r="F1115" s="12" t="s">
        <v>5801</v>
      </c>
      <c r="G1115" s="12">
        <v>9</v>
      </c>
      <c r="H1115" s="12">
        <v>9</v>
      </c>
      <c r="I1115" s="12"/>
      <c r="J1115" s="12" t="s">
        <v>5802</v>
      </c>
      <c r="K1115" s="12" t="s">
        <v>5803</v>
      </c>
    </row>
    <row r="1116" spans="1:11" x14ac:dyDescent="0.3">
      <c r="A1116" s="12" t="s">
        <v>879</v>
      </c>
      <c r="B1116" s="12" t="s">
        <v>5671</v>
      </c>
      <c r="C1116" s="12" t="s">
        <v>5799</v>
      </c>
      <c r="D1116" s="12" t="s">
        <v>5804</v>
      </c>
      <c r="E1116" s="12">
        <v>4</v>
      </c>
      <c r="F1116" s="12" t="s">
        <v>5805</v>
      </c>
      <c r="G1116" s="12">
        <v>92</v>
      </c>
      <c r="H1116" s="12">
        <v>92</v>
      </c>
      <c r="I1116" s="12"/>
      <c r="J1116" s="12" t="s">
        <v>5806</v>
      </c>
      <c r="K1116" s="12" t="s">
        <v>5807</v>
      </c>
    </row>
    <row r="1117" spans="1:11" x14ac:dyDescent="0.3">
      <c r="A1117" s="12" t="s">
        <v>5808</v>
      </c>
      <c r="B1117" s="12" t="s">
        <v>5809</v>
      </c>
      <c r="C1117" s="12" t="s">
        <v>5810</v>
      </c>
      <c r="D1117" s="12"/>
      <c r="E1117" s="12">
        <v>3</v>
      </c>
      <c r="F1117" s="12" t="s">
        <v>5811</v>
      </c>
      <c r="G1117" s="12">
        <v>58</v>
      </c>
      <c r="H1117" s="12">
        <v>0</v>
      </c>
      <c r="I1117" s="12"/>
      <c r="J1117" s="12" t="s">
        <v>5812</v>
      </c>
      <c r="K1117" s="12" t="s">
        <v>5813</v>
      </c>
    </row>
    <row r="1118" spans="1:11" x14ac:dyDescent="0.3">
      <c r="A1118" s="12" t="s">
        <v>5808</v>
      </c>
      <c r="B1118" s="12" t="s">
        <v>5809</v>
      </c>
      <c r="C1118" s="12" t="s">
        <v>5814</v>
      </c>
      <c r="D1118" s="12"/>
      <c r="E1118" s="12">
        <v>3</v>
      </c>
      <c r="F1118" s="12" t="s">
        <v>5815</v>
      </c>
      <c r="G1118" s="12">
        <v>59</v>
      </c>
      <c r="H1118" s="12">
        <v>0</v>
      </c>
      <c r="I1118" s="12"/>
      <c r="J1118" s="12" t="s">
        <v>5816</v>
      </c>
      <c r="K1118" s="12" t="s">
        <v>5817</v>
      </c>
    </row>
    <row r="1119" spans="1:11" x14ac:dyDescent="0.3">
      <c r="A1119" s="12" t="s">
        <v>5808</v>
      </c>
      <c r="B1119" s="12" t="s">
        <v>5809</v>
      </c>
      <c r="C1119" s="12" t="s">
        <v>5818</v>
      </c>
      <c r="D1119" s="12"/>
      <c r="E1119" s="12">
        <v>3</v>
      </c>
      <c r="F1119" s="12" t="s">
        <v>5819</v>
      </c>
      <c r="G1119" s="12">
        <v>23</v>
      </c>
      <c r="H1119" s="12">
        <v>0</v>
      </c>
      <c r="I1119" s="12"/>
      <c r="J1119" s="12" t="s">
        <v>5820</v>
      </c>
      <c r="K1119" s="12" t="s">
        <v>5821</v>
      </c>
    </row>
    <row r="1120" spans="1:11" x14ac:dyDescent="0.3">
      <c r="A1120" s="12" t="s">
        <v>5808</v>
      </c>
      <c r="B1120" s="12" t="s">
        <v>5822</v>
      </c>
      <c r="C1120" s="12" t="s">
        <v>5823</v>
      </c>
      <c r="D1120" s="12"/>
      <c r="E1120" s="12">
        <v>3</v>
      </c>
      <c r="F1120" s="12" t="s">
        <v>5824</v>
      </c>
      <c r="G1120" s="12">
        <v>81</v>
      </c>
      <c r="H1120" s="12">
        <v>0</v>
      </c>
      <c r="I1120" s="12"/>
      <c r="J1120" s="12" t="s">
        <v>5825</v>
      </c>
      <c r="K1120" s="12" t="s">
        <v>5826</v>
      </c>
    </row>
    <row r="1121" spans="1:11" x14ac:dyDescent="0.3">
      <c r="A1121" s="12" t="s">
        <v>5808</v>
      </c>
      <c r="B1121" s="12" t="s">
        <v>5822</v>
      </c>
      <c r="C1121" s="12" t="s">
        <v>5827</v>
      </c>
      <c r="D1121" s="12"/>
      <c r="E1121" s="12">
        <v>3</v>
      </c>
      <c r="F1121" s="12" t="s">
        <v>5828</v>
      </c>
      <c r="G1121" s="12">
        <v>29</v>
      </c>
      <c r="H1121" s="12">
        <v>0</v>
      </c>
      <c r="I1121" s="12"/>
      <c r="J1121" s="12" t="s">
        <v>5829</v>
      </c>
      <c r="K1121" s="12" t="s">
        <v>5830</v>
      </c>
    </row>
    <row r="1122" spans="1:11" x14ac:dyDescent="0.3">
      <c r="A1122" s="12" t="s">
        <v>5808</v>
      </c>
      <c r="B1122" s="12" t="s">
        <v>5822</v>
      </c>
      <c r="C1122" s="12" t="s">
        <v>5831</v>
      </c>
      <c r="D1122" s="12"/>
      <c r="E1122" s="12">
        <v>3</v>
      </c>
      <c r="F1122" s="12" t="s">
        <v>5832</v>
      </c>
      <c r="G1122" s="12">
        <v>8</v>
      </c>
      <c r="H1122" s="12">
        <v>0</v>
      </c>
      <c r="I1122" s="12"/>
      <c r="J1122" s="12" t="s">
        <v>5833</v>
      </c>
      <c r="K1122" s="12" t="s">
        <v>5834</v>
      </c>
    </row>
    <row r="1123" spans="1:11" x14ac:dyDescent="0.3">
      <c r="A1123" s="12" t="s">
        <v>5808</v>
      </c>
      <c r="B1123" s="12" t="s">
        <v>5822</v>
      </c>
      <c r="C1123" s="12" t="s">
        <v>5835</v>
      </c>
      <c r="D1123" s="12"/>
      <c r="E1123" s="12">
        <v>3</v>
      </c>
      <c r="F1123" s="12" t="s">
        <v>5836</v>
      </c>
      <c r="G1123" s="12">
        <v>29</v>
      </c>
      <c r="H1123" s="12">
        <v>0</v>
      </c>
      <c r="I1123" s="12"/>
      <c r="J1123" s="12" t="s">
        <v>5837</v>
      </c>
      <c r="K1123" s="12" t="s">
        <v>5838</v>
      </c>
    </row>
    <row r="1124" spans="1:11" x14ac:dyDescent="0.3">
      <c r="A1124" s="12" t="s">
        <v>5808</v>
      </c>
      <c r="B1124" s="12" t="s">
        <v>5822</v>
      </c>
      <c r="C1124" s="12" t="s">
        <v>5839</v>
      </c>
      <c r="D1124" s="12"/>
      <c r="E1124" s="12">
        <v>3</v>
      </c>
      <c r="F1124" s="12" t="s">
        <v>5840</v>
      </c>
      <c r="G1124" s="12">
        <v>7</v>
      </c>
      <c r="H1124" s="12">
        <v>0</v>
      </c>
      <c r="I1124" s="12"/>
      <c r="J1124" s="12" t="s">
        <v>5841</v>
      </c>
      <c r="K1124" s="12" t="s">
        <v>5842</v>
      </c>
    </row>
    <row r="1125" spans="1:11" x14ac:dyDescent="0.3">
      <c r="A1125" s="12" t="s">
        <v>5808</v>
      </c>
      <c r="B1125" s="12" t="s">
        <v>5822</v>
      </c>
      <c r="C1125" s="12" t="s">
        <v>5843</v>
      </c>
      <c r="D1125" s="12"/>
      <c r="E1125" s="12">
        <v>3</v>
      </c>
      <c r="F1125" s="12" t="s">
        <v>5844</v>
      </c>
      <c r="G1125" s="12">
        <v>34</v>
      </c>
      <c r="H1125" s="12">
        <v>0</v>
      </c>
      <c r="I1125" s="12"/>
      <c r="J1125" s="12" t="s">
        <v>5845</v>
      </c>
      <c r="K1125" s="12" t="s">
        <v>5846</v>
      </c>
    </row>
    <row r="1126" spans="1:11" x14ac:dyDescent="0.3">
      <c r="A1126" s="12" t="s">
        <v>5808</v>
      </c>
      <c r="B1126" s="12" t="s">
        <v>5822</v>
      </c>
      <c r="C1126" s="12" t="s">
        <v>5847</v>
      </c>
      <c r="D1126" s="12"/>
      <c r="E1126" s="12">
        <v>3</v>
      </c>
      <c r="F1126" s="12" t="s">
        <v>5848</v>
      </c>
      <c r="G1126" s="12">
        <v>32</v>
      </c>
      <c r="H1126" s="12">
        <v>0</v>
      </c>
      <c r="I1126" s="12"/>
      <c r="J1126" s="12" t="s">
        <v>5849</v>
      </c>
      <c r="K1126" s="12" t="s">
        <v>5850</v>
      </c>
    </row>
    <row r="1127" spans="1:11" x14ac:dyDescent="0.3">
      <c r="A1127" s="12" t="s">
        <v>5808</v>
      </c>
      <c r="B1127" s="12" t="s">
        <v>5851</v>
      </c>
      <c r="C1127" s="12"/>
      <c r="D1127" s="12"/>
      <c r="E1127" s="12">
        <v>2</v>
      </c>
      <c r="F1127" s="12" t="s">
        <v>5852</v>
      </c>
      <c r="G1127" s="12">
        <v>7</v>
      </c>
      <c r="H1127" s="12">
        <v>0</v>
      </c>
      <c r="I1127" s="12"/>
      <c r="J1127" s="12" t="s">
        <v>5853</v>
      </c>
      <c r="K1127" s="12" t="s">
        <v>5854</v>
      </c>
    </row>
    <row r="1128" spans="1:11" x14ac:dyDescent="0.3">
      <c r="A1128" s="12" t="s">
        <v>5808</v>
      </c>
      <c r="B1128" s="12" t="s">
        <v>5855</v>
      </c>
      <c r="C1128" s="12" t="s">
        <v>5856</v>
      </c>
      <c r="D1128" s="12"/>
      <c r="E1128" s="12">
        <v>3</v>
      </c>
      <c r="F1128" s="12" t="s">
        <v>5857</v>
      </c>
      <c r="G1128" s="12">
        <v>21</v>
      </c>
      <c r="H1128" s="12">
        <v>0</v>
      </c>
      <c r="I1128" s="12"/>
      <c r="J1128" s="12" t="s">
        <v>5858</v>
      </c>
      <c r="K1128" s="12" t="s">
        <v>5859</v>
      </c>
    </row>
    <row r="1129" spans="1:11" x14ac:dyDescent="0.3">
      <c r="A1129" s="12" t="s">
        <v>5808</v>
      </c>
      <c r="B1129" s="12" t="s">
        <v>5855</v>
      </c>
      <c r="C1129" s="12" t="s">
        <v>5860</v>
      </c>
      <c r="D1129" s="12"/>
      <c r="E1129" s="12">
        <v>3</v>
      </c>
      <c r="F1129" s="12" t="s">
        <v>5861</v>
      </c>
      <c r="G1129" s="12">
        <v>37</v>
      </c>
      <c r="H1129" s="12">
        <v>0</v>
      </c>
      <c r="I1129" s="12"/>
      <c r="J1129" s="12" t="s">
        <v>5862</v>
      </c>
      <c r="K1129" s="12" t="s">
        <v>5863</v>
      </c>
    </row>
    <row r="1130" spans="1:11" x14ac:dyDescent="0.3">
      <c r="A1130" s="12" t="s">
        <v>5808</v>
      </c>
      <c r="B1130" s="12" t="s">
        <v>5855</v>
      </c>
      <c r="C1130" s="12" t="s">
        <v>5864</v>
      </c>
      <c r="D1130" s="12"/>
      <c r="E1130" s="12">
        <v>3</v>
      </c>
      <c r="F1130" s="12" t="s">
        <v>5865</v>
      </c>
      <c r="G1130" s="12">
        <v>274</v>
      </c>
      <c r="H1130" s="12">
        <v>0</v>
      </c>
      <c r="I1130" s="12"/>
      <c r="J1130" s="12" t="s">
        <v>5866</v>
      </c>
      <c r="K1130" s="12" t="s">
        <v>5867</v>
      </c>
    </row>
    <row r="1131" spans="1:11" x14ac:dyDescent="0.3">
      <c r="A1131" s="12" t="s">
        <v>5808</v>
      </c>
      <c r="B1131" s="12" t="s">
        <v>5855</v>
      </c>
      <c r="C1131" s="12" t="s">
        <v>5868</v>
      </c>
      <c r="D1131" s="12"/>
      <c r="E1131" s="12">
        <v>3</v>
      </c>
      <c r="F1131" s="12" t="s">
        <v>5869</v>
      </c>
      <c r="G1131" s="12">
        <v>14</v>
      </c>
      <c r="H1131" s="12">
        <v>0</v>
      </c>
      <c r="I1131" s="12"/>
      <c r="J1131" s="12" t="s">
        <v>5870</v>
      </c>
      <c r="K1131" s="12" t="s">
        <v>5871</v>
      </c>
    </row>
    <row r="1132" spans="1:11" x14ac:dyDescent="0.3">
      <c r="A1132" s="12" t="s">
        <v>5808</v>
      </c>
      <c r="B1132" s="12" t="s">
        <v>5855</v>
      </c>
      <c r="C1132" s="12" t="s">
        <v>5872</v>
      </c>
      <c r="D1132" s="12"/>
      <c r="E1132" s="12">
        <v>3</v>
      </c>
      <c r="F1132" s="12" t="s">
        <v>5873</v>
      </c>
      <c r="G1132" s="12">
        <v>159</v>
      </c>
      <c r="H1132" s="12">
        <v>0</v>
      </c>
      <c r="I1132" s="12"/>
      <c r="J1132" s="12" t="s">
        <v>5874</v>
      </c>
      <c r="K1132" s="12" t="s">
        <v>5875</v>
      </c>
    </row>
    <row r="1133" spans="1:11" x14ac:dyDescent="0.3">
      <c r="A1133" s="12" t="s">
        <v>5808</v>
      </c>
      <c r="B1133" s="12" t="s">
        <v>5876</v>
      </c>
      <c r="C1133" s="12"/>
      <c r="D1133" s="12"/>
      <c r="E1133" s="12">
        <v>2</v>
      </c>
      <c r="F1133" s="12" t="s">
        <v>5877</v>
      </c>
      <c r="G1133" s="12">
        <v>26</v>
      </c>
      <c r="H1133" s="12">
        <v>0</v>
      </c>
      <c r="I1133" s="12"/>
      <c r="J1133" s="12" t="s">
        <v>5878</v>
      </c>
      <c r="K1133" s="12" t="s">
        <v>5879</v>
      </c>
    </row>
    <row r="1134" spans="1:11" x14ac:dyDescent="0.3">
      <c r="A1134" s="12" t="s">
        <v>5880</v>
      </c>
      <c r="B1134" s="12" t="s">
        <v>5881</v>
      </c>
      <c r="C1134" s="12"/>
      <c r="D1134" s="12"/>
      <c r="E1134" s="12">
        <v>2</v>
      </c>
      <c r="F1134" s="12" t="s">
        <v>5882</v>
      </c>
      <c r="G1134" s="12">
        <v>216</v>
      </c>
      <c r="H1134" s="12">
        <v>0</v>
      </c>
      <c r="I1134" s="12"/>
      <c r="J1134" s="12" t="s">
        <v>5883</v>
      </c>
      <c r="K1134" s="12" t="s">
        <v>5884</v>
      </c>
    </row>
    <row r="1135" spans="1:11" x14ac:dyDescent="0.3">
      <c r="A1135" s="12" t="s">
        <v>5880</v>
      </c>
      <c r="B1135" s="12" t="s">
        <v>5885</v>
      </c>
      <c r="C1135" s="12"/>
      <c r="D1135" s="12"/>
      <c r="E1135" s="12">
        <v>2</v>
      </c>
      <c r="F1135" s="12" t="s">
        <v>5886</v>
      </c>
      <c r="G1135" s="12">
        <v>106</v>
      </c>
      <c r="H1135" s="12">
        <v>0</v>
      </c>
      <c r="I1135" s="12"/>
      <c r="J1135" s="12" t="s">
        <v>5887</v>
      </c>
      <c r="K1135" s="12" t="s">
        <v>5888</v>
      </c>
    </row>
    <row r="1136" spans="1:11" x14ac:dyDescent="0.3">
      <c r="A1136" s="12" t="s">
        <v>5880</v>
      </c>
      <c r="B1136" s="12" t="s">
        <v>5889</v>
      </c>
      <c r="C1136" s="12"/>
      <c r="D1136" s="12"/>
      <c r="E1136" s="12">
        <v>2</v>
      </c>
      <c r="F1136" s="12" t="s">
        <v>5890</v>
      </c>
      <c r="G1136" s="12">
        <v>61</v>
      </c>
      <c r="H1136" s="12">
        <v>0</v>
      </c>
      <c r="I1136" s="12"/>
      <c r="J1136" s="12" t="s">
        <v>5891</v>
      </c>
      <c r="K1136" s="12" t="s">
        <v>5892</v>
      </c>
    </row>
    <row r="1137" spans="1:11" x14ac:dyDescent="0.3">
      <c r="A1137" s="12" t="s">
        <v>5880</v>
      </c>
      <c r="B1137" s="12" t="s">
        <v>5893</v>
      </c>
      <c r="C1137" s="12"/>
      <c r="D1137" s="12"/>
      <c r="E1137" s="12">
        <v>2</v>
      </c>
      <c r="F1137" s="12" t="s">
        <v>5894</v>
      </c>
      <c r="G1137" s="12">
        <v>31</v>
      </c>
      <c r="H1137" s="12">
        <v>0</v>
      </c>
      <c r="I1137" s="12"/>
      <c r="J1137" s="12" t="s">
        <v>5895</v>
      </c>
      <c r="K1137" s="12" t="s">
        <v>5896</v>
      </c>
    </row>
    <row r="1138" spans="1:11" x14ac:dyDescent="0.3">
      <c r="A1138" s="12" t="s">
        <v>5880</v>
      </c>
      <c r="B1138" s="12" t="s">
        <v>5897</v>
      </c>
      <c r="C1138" s="12"/>
      <c r="D1138" s="12"/>
      <c r="E1138" s="12">
        <v>2</v>
      </c>
      <c r="F1138" s="12" t="s">
        <v>5898</v>
      </c>
      <c r="G1138" s="12">
        <v>4</v>
      </c>
      <c r="H1138" s="12">
        <v>0</v>
      </c>
      <c r="I1138" s="12"/>
      <c r="J1138" s="12" t="s">
        <v>5899</v>
      </c>
      <c r="K1138" s="12" t="s">
        <v>5900</v>
      </c>
    </row>
    <row r="1139" spans="1:11" x14ac:dyDescent="0.3">
      <c r="A1139" s="12" t="s">
        <v>5880</v>
      </c>
      <c r="B1139" s="12" t="s">
        <v>5901</v>
      </c>
      <c r="C1139" s="12"/>
      <c r="D1139" s="12"/>
      <c r="E1139" s="12">
        <v>2</v>
      </c>
      <c r="F1139" s="12" t="s">
        <v>5902</v>
      </c>
      <c r="G1139" s="12">
        <v>4</v>
      </c>
      <c r="H1139" s="12">
        <v>0</v>
      </c>
      <c r="I1139" s="12"/>
      <c r="J1139" s="12" t="s">
        <v>5903</v>
      </c>
      <c r="K1139" s="12" t="s">
        <v>5904</v>
      </c>
    </row>
    <row r="1140" spans="1:11" x14ac:dyDescent="0.3">
      <c r="A1140" s="12" t="s">
        <v>5880</v>
      </c>
      <c r="B1140" s="12" t="s">
        <v>5905</v>
      </c>
      <c r="C1140" s="12"/>
      <c r="D1140" s="12"/>
      <c r="E1140" s="12">
        <v>2</v>
      </c>
      <c r="F1140" s="12" t="s">
        <v>5906</v>
      </c>
      <c r="G1140" s="12">
        <v>10</v>
      </c>
      <c r="H1140" s="12">
        <v>0</v>
      </c>
      <c r="I1140" s="12"/>
      <c r="J1140" s="12" t="s">
        <v>5907</v>
      </c>
      <c r="K1140" s="12" t="s">
        <v>5908</v>
      </c>
    </row>
    <row r="1141" spans="1:11" x14ac:dyDescent="0.3">
      <c r="A1141" s="12" t="s">
        <v>5880</v>
      </c>
      <c r="B1141" s="12" t="s">
        <v>5909</v>
      </c>
      <c r="C1141" s="12"/>
      <c r="D1141" s="12"/>
      <c r="E1141" s="12">
        <v>2</v>
      </c>
      <c r="F1141" s="12" t="s">
        <v>5910</v>
      </c>
      <c r="G1141" s="12">
        <v>10</v>
      </c>
      <c r="H1141" s="12">
        <v>0</v>
      </c>
      <c r="I1141" s="12"/>
      <c r="J1141" s="12" t="s">
        <v>5911</v>
      </c>
      <c r="K1141" s="12" t="s">
        <v>5912</v>
      </c>
    </row>
    <row r="1142" spans="1:11" x14ac:dyDescent="0.3">
      <c r="A1142" s="12" t="s">
        <v>5880</v>
      </c>
      <c r="B1142" s="12" t="s">
        <v>5913</v>
      </c>
      <c r="C1142" s="12"/>
      <c r="D1142" s="12"/>
      <c r="E1142" s="12">
        <v>2</v>
      </c>
      <c r="F1142" s="12" t="s">
        <v>5914</v>
      </c>
      <c r="G1142" s="12">
        <v>50</v>
      </c>
      <c r="H1142" s="12">
        <v>0</v>
      </c>
      <c r="I1142" s="12"/>
      <c r="J1142" s="12" t="s">
        <v>5915</v>
      </c>
      <c r="K1142" s="12" t="s">
        <v>5916</v>
      </c>
    </row>
    <row r="1143" spans="1:11" x14ac:dyDescent="0.3">
      <c r="A1143" s="12" t="s">
        <v>5880</v>
      </c>
      <c r="B1143" s="12" t="s">
        <v>5917</v>
      </c>
      <c r="C1143" s="12"/>
      <c r="D1143" s="12"/>
      <c r="E1143" s="12">
        <v>2</v>
      </c>
      <c r="F1143" s="12" t="s">
        <v>5918</v>
      </c>
      <c r="G1143" s="12">
        <v>9</v>
      </c>
      <c r="H1143" s="12">
        <v>0</v>
      </c>
      <c r="I1143" s="12"/>
      <c r="J1143" s="12" t="s">
        <v>5919</v>
      </c>
      <c r="K1143" s="12" t="s">
        <v>5920</v>
      </c>
    </row>
    <row r="1144" spans="1:11" x14ac:dyDescent="0.3">
      <c r="A1144" s="12" t="s">
        <v>5921</v>
      </c>
      <c r="B1144" s="12" t="s">
        <v>5922</v>
      </c>
      <c r="C1144" s="12" t="s">
        <v>5923</v>
      </c>
      <c r="D1144" s="12"/>
      <c r="E1144" s="12">
        <v>3</v>
      </c>
      <c r="F1144" s="12" t="s">
        <v>5924</v>
      </c>
      <c r="G1144" s="12">
        <v>5</v>
      </c>
      <c r="H1144" s="12">
        <v>0</v>
      </c>
      <c r="I1144" s="12"/>
      <c r="J1144" s="12" t="s">
        <v>5925</v>
      </c>
      <c r="K1144" s="12" t="s">
        <v>5926</v>
      </c>
    </row>
    <row r="1145" spans="1:11" x14ac:dyDescent="0.3">
      <c r="A1145" s="12" t="s">
        <v>5921</v>
      </c>
      <c r="B1145" s="12" t="s">
        <v>5922</v>
      </c>
      <c r="C1145" s="12" t="s">
        <v>5927</v>
      </c>
      <c r="D1145" s="12"/>
      <c r="E1145" s="12">
        <v>3</v>
      </c>
      <c r="F1145" s="12" t="s">
        <v>5928</v>
      </c>
      <c r="G1145" s="12">
        <v>9</v>
      </c>
      <c r="H1145" s="12">
        <v>0</v>
      </c>
      <c r="I1145" s="12"/>
      <c r="J1145" s="12" t="s">
        <v>5929</v>
      </c>
      <c r="K1145" s="12" t="s">
        <v>5930</v>
      </c>
    </row>
    <row r="1146" spans="1:11" x14ac:dyDescent="0.3">
      <c r="A1146" s="12" t="s">
        <v>5921</v>
      </c>
      <c r="B1146" s="12" t="s">
        <v>5922</v>
      </c>
      <c r="C1146" s="12" t="s">
        <v>5931</v>
      </c>
      <c r="D1146" s="12"/>
      <c r="E1146" s="12">
        <v>3</v>
      </c>
      <c r="F1146" s="12" t="s">
        <v>5932</v>
      </c>
      <c r="G1146" s="12">
        <v>11</v>
      </c>
      <c r="H1146" s="12">
        <v>0</v>
      </c>
      <c r="I1146" s="12"/>
      <c r="J1146" s="12" t="s">
        <v>5933</v>
      </c>
      <c r="K1146" s="12" t="s">
        <v>5934</v>
      </c>
    </row>
    <row r="1147" spans="1:11" x14ac:dyDescent="0.3">
      <c r="A1147" s="12" t="s">
        <v>5921</v>
      </c>
      <c r="B1147" s="12" t="s">
        <v>5922</v>
      </c>
      <c r="C1147" s="12" t="s">
        <v>5935</v>
      </c>
      <c r="D1147" s="12"/>
      <c r="E1147" s="12">
        <v>3</v>
      </c>
      <c r="F1147" s="12" t="s">
        <v>5936</v>
      </c>
      <c r="G1147" s="12">
        <v>79</v>
      </c>
      <c r="H1147" s="12">
        <v>0</v>
      </c>
      <c r="I1147" s="12"/>
      <c r="J1147" s="12" t="s">
        <v>5937</v>
      </c>
      <c r="K1147" s="12" t="s">
        <v>5938</v>
      </c>
    </row>
    <row r="1148" spans="1:11" x14ac:dyDescent="0.3">
      <c r="A1148" s="12" t="s">
        <v>5921</v>
      </c>
      <c r="B1148" s="12" t="s">
        <v>5939</v>
      </c>
      <c r="C1148" s="12" t="s">
        <v>5939</v>
      </c>
      <c r="D1148" s="12"/>
      <c r="E1148" s="12">
        <v>3</v>
      </c>
      <c r="F1148" s="12" t="s">
        <v>5940</v>
      </c>
      <c r="G1148" s="12">
        <v>39</v>
      </c>
      <c r="H1148" s="12">
        <v>0</v>
      </c>
      <c r="I1148" s="12"/>
      <c r="J1148" s="12" t="s">
        <v>5941</v>
      </c>
      <c r="K1148" s="12" t="s">
        <v>5942</v>
      </c>
    </row>
    <row r="1149" spans="1:11" x14ac:dyDescent="0.3">
      <c r="A1149" s="12" t="s">
        <v>5921</v>
      </c>
      <c r="B1149" s="12" t="s">
        <v>5943</v>
      </c>
      <c r="C1149" s="12" t="s">
        <v>5944</v>
      </c>
      <c r="D1149" s="12"/>
      <c r="E1149" s="12">
        <v>3</v>
      </c>
      <c r="F1149" s="12" t="s">
        <v>5945</v>
      </c>
      <c r="G1149" s="12">
        <v>5</v>
      </c>
      <c r="H1149" s="12">
        <v>0</v>
      </c>
      <c r="I1149" s="12"/>
      <c r="J1149" s="12" t="s">
        <v>5946</v>
      </c>
      <c r="K1149" s="12" t="s">
        <v>5947</v>
      </c>
    </row>
    <row r="1150" spans="1:11" x14ac:dyDescent="0.3">
      <c r="A1150" s="12" t="s">
        <v>5921</v>
      </c>
      <c r="B1150" s="12" t="s">
        <v>5943</v>
      </c>
      <c r="C1150" s="12" t="s">
        <v>5948</v>
      </c>
      <c r="D1150" s="12"/>
      <c r="E1150" s="12">
        <v>3</v>
      </c>
      <c r="F1150" s="12" t="s">
        <v>5949</v>
      </c>
      <c r="G1150" s="12">
        <v>14</v>
      </c>
      <c r="H1150" s="12">
        <v>0</v>
      </c>
      <c r="I1150" s="12"/>
      <c r="J1150" s="12" t="s">
        <v>5950</v>
      </c>
      <c r="K1150" s="12" t="s">
        <v>5951</v>
      </c>
    </row>
    <row r="1151" spans="1:11" x14ac:dyDescent="0.3">
      <c r="A1151" s="12" t="s">
        <v>5921</v>
      </c>
      <c r="B1151" s="12" t="s">
        <v>5943</v>
      </c>
      <c r="C1151" s="12" t="s">
        <v>5952</v>
      </c>
      <c r="D1151" s="12"/>
      <c r="E1151" s="12">
        <v>3</v>
      </c>
      <c r="F1151" s="12" t="s">
        <v>5953</v>
      </c>
      <c r="G1151" s="12">
        <v>233</v>
      </c>
      <c r="H1151" s="12">
        <v>0</v>
      </c>
      <c r="I1151" s="12"/>
      <c r="J1151" s="12" t="s">
        <v>5954</v>
      </c>
      <c r="K1151" s="12" t="s">
        <v>5955</v>
      </c>
    </row>
    <row r="1152" spans="1:11" x14ac:dyDescent="0.3">
      <c r="A1152" s="12" t="s">
        <v>5921</v>
      </c>
      <c r="B1152" s="12" t="s">
        <v>5943</v>
      </c>
      <c r="C1152" s="12" t="s">
        <v>5956</v>
      </c>
      <c r="D1152" s="12"/>
      <c r="E1152" s="12">
        <v>3</v>
      </c>
      <c r="F1152" s="12" t="s">
        <v>5957</v>
      </c>
      <c r="G1152" s="12">
        <v>27</v>
      </c>
      <c r="H1152" s="12">
        <v>0</v>
      </c>
      <c r="I1152" s="12"/>
      <c r="J1152" s="12" t="s">
        <v>5958</v>
      </c>
      <c r="K1152" s="12" t="s">
        <v>5959</v>
      </c>
    </row>
    <row r="1153" spans="1:11" x14ac:dyDescent="0.3">
      <c r="A1153" s="12" t="s">
        <v>5921</v>
      </c>
      <c r="B1153" s="12" t="s">
        <v>5943</v>
      </c>
      <c r="C1153" s="12" t="s">
        <v>5960</v>
      </c>
      <c r="D1153" s="12"/>
      <c r="E1153" s="12">
        <v>3</v>
      </c>
      <c r="F1153" s="12" t="s">
        <v>5961</v>
      </c>
      <c r="G1153" s="12">
        <v>152</v>
      </c>
      <c r="H1153" s="12">
        <v>0</v>
      </c>
      <c r="I1153" s="12"/>
      <c r="J1153" s="12" t="s">
        <v>5962</v>
      </c>
      <c r="K1153" s="12" t="s">
        <v>5963</v>
      </c>
    </row>
    <row r="1154" spans="1:11" x14ac:dyDescent="0.3">
      <c r="A1154" s="12" t="s">
        <v>5921</v>
      </c>
      <c r="B1154" s="12" t="s">
        <v>5943</v>
      </c>
      <c r="C1154" s="12" t="s">
        <v>5964</v>
      </c>
      <c r="D1154" s="12"/>
      <c r="E1154" s="12">
        <v>3</v>
      </c>
      <c r="F1154" s="12" t="s">
        <v>5965</v>
      </c>
      <c r="G1154" s="12">
        <v>275</v>
      </c>
      <c r="H1154" s="12">
        <v>0</v>
      </c>
      <c r="I1154" s="12"/>
      <c r="J1154" s="12" t="s">
        <v>5966</v>
      </c>
      <c r="K1154" s="12" t="s">
        <v>5967</v>
      </c>
    </row>
    <row r="1155" spans="1:11" x14ac:dyDescent="0.3">
      <c r="A1155" s="12" t="s">
        <v>5921</v>
      </c>
      <c r="B1155" s="12" t="s">
        <v>5943</v>
      </c>
      <c r="C1155" s="12" t="s">
        <v>5968</v>
      </c>
      <c r="D1155" s="12"/>
      <c r="E1155" s="12">
        <v>3</v>
      </c>
      <c r="F1155" s="12" t="s">
        <v>5969</v>
      </c>
      <c r="G1155" s="12">
        <v>167</v>
      </c>
      <c r="H1155" s="12">
        <v>0</v>
      </c>
      <c r="I1155" s="12"/>
      <c r="J1155" s="12" t="s">
        <v>5970</v>
      </c>
      <c r="K1155" s="12" t="s">
        <v>5971</v>
      </c>
    </row>
    <row r="1156" spans="1:11" x14ac:dyDescent="0.3">
      <c r="A1156" s="12" t="s">
        <v>5972</v>
      </c>
      <c r="B1156" s="12" t="s">
        <v>5973</v>
      </c>
      <c r="C1156" s="12"/>
      <c r="D1156" s="12"/>
      <c r="E1156" s="12">
        <v>2</v>
      </c>
      <c r="F1156" s="12" t="s">
        <v>5974</v>
      </c>
      <c r="G1156" s="12">
        <v>45</v>
      </c>
      <c r="H1156" s="12">
        <v>0</v>
      </c>
      <c r="I1156" s="12"/>
      <c r="J1156" s="12" t="s">
        <v>5975</v>
      </c>
      <c r="K1156" s="12" t="s">
        <v>5976</v>
      </c>
    </row>
    <row r="1157" spans="1:11" x14ac:dyDescent="0.3">
      <c r="A1157" s="12" t="s">
        <v>5972</v>
      </c>
      <c r="B1157" s="12" t="s">
        <v>5977</v>
      </c>
      <c r="C1157" s="12"/>
      <c r="D1157" s="12"/>
      <c r="E1157" s="12">
        <v>2</v>
      </c>
      <c r="F1157" s="12" t="s">
        <v>5978</v>
      </c>
      <c r="G1157" s="12">
        <v>12</v>
      </c>
      <c r="H1157" s="12">
        <v>0</v>
      </c>
      <c r="I1157" s="12"/>
      <c r="J1157" s="12" t="s">
        <v>5979</v>
      </c>
      <c r="K1157" s="12" t="s">
        <v>5980</v>
      </c>
    </row>
    <row r="1158" spans="1:11" x14ac:dyDescent="0.3">
      <c r="A1158" s="12" t="s">
        <v>5972</v>
      </c>
      <c r="B1158" s="12" t="s">
        <v>5981</v>
      </c>
      <c r="C1158" s="12"/>
      <c r="D1158" s="12"/>
      <c r="E1158" s="12">
        <v>2</v>
      </c>
      <c r="F1158" s="12" t="s">
        <v>5982</v>
      </c>
      <c r="G1158" s="12">
        <v>768</v>
      </c>
      <c r="H1158" s="12">
        <v>0</v>
      </c>
      <c r="I1158" s="12"/>
      <c r="J1158" s="12" t="s">
        <v>5983</v>
      </c>
      <c r="K1158" s="12" t="s">
        <v>5984</v>
      </c>
    </row>
    <row r="1159" spans="1:11" x14ac:dyDescent="0.3">
      <c r="A1159" s="12" t="s">
        <v>5972</v>
      </c>
      <c r="B1159" s="12" t="s">
        <v>5985</v>
      </c>
      <c r="C1159" s="12"/>
      <c r="D1159" s="12"/>
      <c r="E1159" s="12">
        <v>2</v>
      </c>
      <c r="F1159" s="12" t="s">
        <v>5986</v>
      </c>
      <c r="G1159" s="12">
        <v>103</v>
      </c>
      <c r="H1159" s="12">
        <v>0</v>
      </c>
      <c r="I1159" s="12"/>
      <c r="J1159" s="12" t="s">
        <v>5987</v>
      </c>
      <c r="K1159" s="12" t="s">
        <v>5988</v>
      </c>
    </row>
    <row r="1160" spans="1:11" x14ac:dyDescent="0.3">
      <c r="A1160" s="12" t="s">
        <v>5972</v>
      </c>
      <c r="B1160" s="12" t="s">
        <v>5989</v>
      </c>
      <c r="C1160" s="12"/>
      <c r="D1160" s="12"/>
      <c r="E1160" s="12">
        <v>2</v>
      </c>
      <c r="F1160" s="12" t="s">
        <v>5990</v>
      </c>
      <c r="G1160" s="12">
        <v>130</v>
      </c>
      <c r="H1160" s="12">
        <v>0</v>
      </c>
      <c r="I1160" s="12"/>
      <c r="J1160" s="12" t="s">
        <v>5991</v>
      </c>
      <c r="K1160" s="12" t="s">
        <v>5992</v>
      </c>
    </row>
    <row r="1161" spans="1:11" x14ac:dyDescent="0.3">
      <c r="A1161" s="12" t="s">
        <v>5972</v>
      </c>
      <c r="B1161" s="12" t="s">
        <v>5972</v>
      </c>
      <c r="C1161" s="12"/>
      <c r="D1161" s="12"/>
      <c r="E1161" s="12">
        <v>2</v>
      </c>
      <c r="F1161" s="12" t="s">
        <v>5993</v>
      </c>
      <c r="G1161" s="12">
        <v>402</v>
      </c>
      <c r="H1161" s="12">
        <v>0</v>
      </c>
      <c r="I1161" s="12"/>
      <c r="J1161" s="12" t="s">
        <v>5994</v>
      </c>
      <c r="K1161" s="12" t="s">
        <v>5995</v>
      </c>
    </row>
    <row r="1162" spans="1:11" x14ac:dyDescent="0.3">
      <c r="A1162" s="12" t="s">
        <v>5996</v>
      </c>
      <c r="B1162" s="12" t="s">
        <v>5997</v>
      </c>
      <c r="C1162" s="12"/>
      <c r="D1162" s="12"/>
      <c r="E1162" s="12">
        <v>2</v>
      </c>
      <c r="F1162" s="12" t="s">
        <v>5998</v>
      </c>
      <c r="G1162" s="12">
        <v>1</v>
      </c>
      <c r="H1162" s="12">
        <v>0</v>
      </c>
      <c r="I1162" s="12"/>
      <c r="J1162" s="12" t="s">
        <v>5999</v>
      </c>
      <c r="K1162" s="12" t="s">
        <v>6000</v>
      </c>
    </row>
    <row r="1163" spans="1:11" x14ac:dyDescent="0.3">
      <c r="A1163" s="12" t="s">
        <v>5996</v>
      </c>
      <c r="B1163" s="12" t="s">
        <v>6001</v>
      </c>
      <c r="C1163" s="12"/>
      <c r="D1163" s="12"/>
      <c r="E1163" s="12">
        <v>2</v>
      </c>
      <c r="F1163" s="12" t="s">
        <v>6002</v>
      </c>
      <c r="G1163" s="12">
        <v>1</v>
      </c>
      <c r="H1163" s="12">
        <v>0</v>
      </c>
      <c r="I1163" s="12"/>
      <c r="J1163" s="12" t="s">
        <v>6003</v>
      </c>
      <c r="K1163" s="12" t="s">
        <v>6004</v>
      </c>
    </row>
    <row r="1164" spans="1:11" x14ac:dyDescent="0.3">
      <c r="A1164" s="12" t="s">
        <v>5996</v>
      </c>
      <c r="B1164" s="12" t="s">
        <v>6005</v>
      </c>
      <c r="C1164" s="12"/>
      <c r="D1164" s="12"/>
      <c r="E1164" s="12">
        <v>2</v>
      </c>
      <c r="F1164" s="12" t="s">
        <v>6006</v>
      </c>
      <c r="G1164" s="12">
        <v>10</v>
      </c>
      <c r="H1164" s="12">
        <v>0</v>
      </c>
      <c r="I1164" s="12"/>
      <c r="J1164" s="12" t="s">
        <v>6007</v>
      </c>
      <c r="K1164" s="12" t="s">
        <v>6008</v>
      </c>
    </row>
    <row r="1165" spans="1:11" x14ac:dyDescent="0.3">
      <c r="A1165" s="12" t="s">
        <v>5996</v>
      </c>
      <c r="B1165" s="12" t="s">
        <v>6009</v>
      </c>
      <c r="C1165" s="12"/>
      <c r="D1165" s="12"/>
      <c r="E1165" s="12">
        <v>2</v>
      </c>
      <c r="F1165" s="12" t="s">
        <v>6010</v>
      </c>
      <c r="G1165" s="12">
        <v>1</v>
      </c>
      <c r="H1165" s="12">
        <v>0</v>
      </c>
      <c r="I1165" s="12"/>
      <c r="J1165" s="12" t="s">
        <v>6011</v>
      </c>
      <c r="K1165" s="12" t="s">
        <v>6012</v>
      </c>
    </row>
    <row r="1166" spans="1:11" x14ac:dyDescent="0.3">
      <c r="A1166" s="12" t="s">
        <v>5996</v>
      </c>
      <c r="B1166" s="12" t="s">
        <v>6013</v>
      </c>
      <c r="C1166" s="12"/>
      <c r="D1166" s="12"/>
      <c r="E1166" s="12">
        <v>2</v>
      </c>
      <c r="F1166" s="12" t="s">
        <v>6014</v>
      </c>
      <c r="G1166" s="12">
        <v>1</v>
      </c>
      <c r="H1166" s="12">
        <v>0</v>
      </c>
      <c r="I1166" s="12"/>
      <c r="J1166" s="12" t="s">
        <v>6015</v>
      </c>
      <c r="K1166" s="12" t="s">
        <v>6016</v>
      </c>
    </row>
    <row r="1167" spans="1:11" x14ac:dyDescent="0.3">
      <c r="A1167" s="12" t="s">
        <v>5996</v>
      </c>
      <c r="B1167" s="12" t="s">
        <v>6017</v>
      </c>
      <c r="C1167" s="12"/>
      <c r="D1167" s="12"/>
      <c r="E1167" s="12">
        <v>2</v>
      </c>
      <c r="F1167" s="12" t="s">
        <v>6018</v>
      </c>
      <c r="G1167" s="12">
        <v>2</v>
      </c>
      <c r="H1167" s="12">
        <v>0</v>
      </c>
      <c r="I1167" s="12"/>
      <c r="J1167" s="12" t="s">
        <v>6019</v>
      </c>
      <c r="K1167" s="12" t="s">
        <v>6020</v>
      </c>
    </row>
    <row r="1168" spans="1:11" x14ac:dyDescent="0.3">
      <c r="A1168" s="12" t="s">
        <v>5996</v>
      </c>
      <c r="B1168" s="12" t="s">
        <v>6021</v>
      </c>
      <c r="C1168" s="12"/>
      <c r="D1168" s="12"/>
      <c r="E1168" s="12">
        <v>2</v>
      </c>
      <c r="F1168" s="12" t="s">
        <v>6022</v>
      </c>
      <c r="G1168" s="12">
        <v>2</v>
      </c>
      <c r="H1168" s="12">
        <v>0</v>
      </c>
      <c r="I1168" s="12"/>
      <c r="J1168" s="12" t="s">
        <v>6023</v>
      </c>
      <c r="K1168" s="12" t="s">
        <v>6024</v>
      </c>
    </row>
    <row r="1169" spans="1:11" x14ac:dyDescent="0.3">
      <c r="A1169" s="12" t="s">
        <v>5996</v>
      </c>
      <c r="B1169" s="12" t="s">
        <v>6025</v>
      </c>
      <c r="C1169" s="12"/>
      <c r="D1169" s="12"/>
      <c r="E1169" s="12">
        <v>2</v>
      </c>
      <c r="F1169" s="12" t="s">
        <v>6026</v>
      </c>
      <c r="G1169" s="12">
        <v>10</v>
      </c>
      <c r="H1169" s="12">
        <v>0</v>
      </c>
      <c r="I1169" s="12"/>
      <c r="J1169" s="12" t="s">
        <v>6027</v>
      </c>
      <c r="K1169" s="12" t="s">
        <v>6028</v>
      </c>
    </row>
    <row r="1170" spans="1:11" x14ac:dyDescent="0.3">
      <c r="A1170" s="12" t="s">
        <v>5996</v>
      </c>
      <c r="B1170" s="12" t="s">
        <v>6029</v>
      </c>
      <c r="C1170" s="12"/>
      <c r="D1170" s="12"/>
      <c r="E1170" s="12">
        <v>2</v>
      </c>
      <c r="F1170" s="12" t="s">
        <v>6030</v>
      </c>
      <c r="G1170" s="12">
        <v>1</v>
      </c>
      <c r="H1170" s="12">
        <v>0</v>
      </c>
      <c r="I1170" s="12"/>
      <c r="J1170" s="12" t="s">
        <v>6031</v>
      </c>
      <c r="K1170" s="12" t="s">
        <v>6032</v>
      </c>
    </row>
    <row r="1171" spans="1:11" x14ac:dyDescent="0.3">
      <c r="A1171" s="12" t="s">
        <v>5996</v>
      </c>
      <c r="B1171" s="12" t="s">
        <v>6033</v>
      </c>
      <c r="C1171" s="12"/>
      <c r="D1171" s="12"/>
      <c r="E1171" s="12">
        <v>2</v>
      </c>
      <c r="F1171" s="12" t="s">
        <v>6034</v>
      </c>
      <c r="G1171" s="12">
        <v>1</v>
      </c>
      <c r="H1171" s="12">
        <v>0</v>
      </c>
      <c r="I1171" s="12"/>
      <c r="J1171" s="12" t="s">
        <v>6035</v>
      </c>
      <c r="K1171" s="12" t="s">
        <v>6036</v>
      </c>
    </row>
    <row r="1172" spans="1:11" x14ac:dyDescent="0.3">
      <c r="A1172" s="12" t="s">
        <v>5996</v>
      </c>
      <c r="B1172" s="12" t="s">
        <v>6037</v>
      </c>
      <c r="C1172" s="12"/>
      <c r="D1172" s="12"/>
      <c r="E1172" s="12">
        <v>2</v>
      </c>
      <c r="F1172" s="12" t="s">
        <v>6038</v>
      </c>
      <c r="G1172" s="12">
        <v>1</v>
      </c>
      <c r="H1172" s="12">
        <v>0</v>
      </c>
      <c r="I1172" s="12"/>
      <c r="J1172" s="12" t="s">
        <v>6039</v>
      </c>
      <c r="K1172" s="12" t="s">
        <v>6040</v>
      </c>
    </row>
    <row r="1173" spans="1:11" x14ac:dyDescent="0.3">
      <c r="A1173" s="12" t="s">
        <v>6041</v>
      </c>
      <c r="B1173" s="12" t="s">
        <v>6042</v>
      </c>
      <c r="C1173" s="12"/>
      <c r="D1173" s="12"/>
      <c r="E1173" s="12">
        <v>2</v>
      </c>
      <c r="F1173" s="12" t="s">
        <v>6043</v>
      </c>
      <c r="G1173" s="12">
        <v>1</v>
      </c>
      <c r="H1173" s="12">
        <v>0</v>
      </c>
      <c r="I1173" s="12"/>
      <c r="J1173" s="12" t="s">
        <v>6044</v>
      </c>
      <c r="K1173" s="12" t="s">
        <v>6045</v>
      </c>
    </row>
    <row r="1174" spans="1:11" x14ac:dyDescent="0.3">
      <c r="A1174" s="12" t="s">
        <v>6041</v>
      </c>
      <c r="B1174" s="12" t="s">
        <v>6046</v>
      </c>
      <c r="C1174" s="12" t="s">
        <v>6047</v>
      </c>
      <c r="D1174" s="12"/>
      <c r="E1174" s="12">
        <v>3</v>
      </c>
      <c r="F1174" s="12" t="s">
        <v>6048</v>
      </c>
      <c r="G1174" s="12">
        <v>7</v>
      </c>
      <c r="H1174" s="12">
        <v>0</v>
      </c>
      <c r="I1174" s="12"/>
      <c r="J1174" s="12" t="s">
        <v>6049</v>
      </c>
      <c r="K1174" s="12" t="s">
        <v>6050</v>
      </c>
    </row>
    <row r="1175" spans="1:11" x14ac:dyDescent="0.3">
      <c r="A1175" s="12" t="s">
        <v>6041</v>
      </c>
      <c r="B1175" s="12" t="s">
        <v>6046</v>
      </c>
      <c r="C1175" s="12" t="s">
        <v>6051</v>
      </c>
      <c r="D1175" s="12"/>
      <c r="E1175" s="12">
        <v>3</v>
      </c>
      <c r="F1175" s="12" t="s">
        <v>6052</v>
      </c>
      <c r="G1175" s="12">
        <v>111</v>
      </c>
      <c r="H1175" s="12">
        <v>0</v>
      </c>
      <c r="I1175" s="12"/>
      <c r="J1175" s="12" t="s">
        <v>6053</v>
      </c>
      <c r="K1175" s="12" t="s">
        <v>6054</v>
      </c>
    </row>
    <row r="1176" spans="1:11" x14ac:dyDescent="0.3">
      <c r="A1176" s="12" t="s">
        <v>6041</v>
      </c>
      <c r="B1176" s="12" t="s">
        <v>6046</v>
      </c>
      <c r="C1176" s="12" t="s">
        <v>6055</v>
      </c>
      <c r="D1176" s="12"/>
      <c r="E1176" s="12">
        <v>3</v>
      </c>
      <c r="F1176" s="12" t="s">
        <v>6056</v>
      </c>
      <c r="G1176" s="12">
        <v>40</v>
      </c>
      <c r="H1176" s="12">
        <v>0</v>
      </c>
      <c r="I1176" s="12"/>
      <c r="J1176" s="12" t="s">
        <v>6057</v>
      </c>
      <c r="K1176" s="12" t="s">
        <v>6058</v>
      </c>
    </row>
    <row r="1177" spans="1:11" x14ac:dyDescent="0.3">
      <c r="A1177" s="12" t="s">
        <v>6041</v>
      </c>
      <c r="B1177" s="12" t="s">
        <v>6046</v>
      </c>
      <c r="C1177" s="12" t="s">
        <v>6059</v>
      </c>
      <c r="D1177" s="12"/>
      <c r="E1177" s="12">
        <v>3</v>
      </c>
      <c r="F1177" s="12" t="s">
        <v>6060</v>
      </c>
      <c r="G1177" s="12">
        <v>1</v>
      </c>
      <c r="H1177" s="12">
        <v>0</v>
      </c>
      <c r="I1177" s="12"/>
      <c r="J1177" s="12" t="s">
        <v>6061</v>
      </c>
      <c r="K1177" s="12" t="s">
        <v>6062</v>
      </c>
    </row>
    <row r="1178" spans="1:11" x14ac:dyDescent="0.3">
      <c r="A1178" s="12" t="s">
        <v>6041</v>
      </c>
      <c r="B1178" s="12" t="s">
        <v>6046</v>
      </c>
      <c r="C1178" s="12" t="s">
        <v>6063</v>
      </c>
      <c r="D1178" s="12"/>
      <c r="E1178" s="12">
        <v>3</v>
      </c>
      <c r="F1178" s="12" t="s">
        <v>6064</v>
      </c>
      <c r="G1178" s="12">
        <v>8</v>
      </c>
      <c r="H1178" s="12">
        <v>0</v>
      </c>
      <c r="I1178" s="12"/>
      <c r="J1178" s="12" t="s">
        <v>6065</v>
      </c>
      <c r="K1178" s="12" t="s">
        <v>6066</v>
      </c>
    </row>
    <row r="1179" spans="1:11" x14ac:dyDescent="0.3">
      <c r="A1179" s="12" t="s">
        <v>6041</v>
      </c>
      <c r="B1179" s="12" t="s">
        <v>6046</v>
      </c>
      <c r="C1179" s="12" t="s">
        <v>6067</v>
      </c>
      <c r="D1179" s="12"/>
      <c r="E1179" s="12">
        <v>3</v>
      </c>
      <c r="F1179" s="12" t="s">
        <v>6068</v>
      </c>
      <c r="G1179" s="12">
        <v>17</v>
      </c>
      <c r="H1179" s="12">
        <v>0</v>
      </c>
      <c r="I1179" s="12"/>
      <c r="J1179" s="12" t="s">
        <v>6069</v>
      </c>
      <c r="K1179" s="12" t="s">
        <v>6070</v>
      </c>
    </row>
    <row r="1180" spans="1:11" x14ac:dyDescent="0.3">
      <c r="A1180" s="12" t="s">
        <v>6041</v>
      </c>
      <c r="B1180" s="12" t="s">
        <v>6046</v>
      </c>
      <c r="C1180" s="12" t="s">
        <v>6071</v>
      </c>
      <c r="D1180" s="12"/>
      <c r="E1180" s="12">
        <v>3</v>
      </c>
      <c r="F1180" s="12" t="s">
        <v>6072</v>
      </c>
      <c r="G1180" s="12">
        <v>3</v>
      </c>
      <c r="H1180" s="12">
        <v>0</v>
      </c>
      <c r="I1180" s="12"/>
      <c r="J1180" s="12" t="s">
        <v>6073</v>
      </c>
      <c r="K1180" s="12" t="s">
        <v>6074</v>
      </c>
    </row>
    <row r="1181" spans="1:11" x14ac:dyDescent="0.3">
      <c r="A1181" s="12" t="s">
        <v>6041</v>
      </c>
      <c r="B1181" s="12" t="s">
        <v>6075</v>
      </c>
      <c r="C1181" s="12"/>
      <c r="D1181" s="12"/>
      <c r="E1181" s="12">
        <v>2</v>
      </c>
      <c r="F1181" s="12" t="s">
        <v>6076</v>
      </c>
      <c r="G1181" s="12">
        <v>4</v>
      </c>
      <c r="H1181" s="12">
        <v>0</v>
      </c>
      <c r="I1181" s="12"/>
      <c r="J1181" s="12" t="s">
        <v>6077</v>
      </c>
      <c r="K1181" s="12" t="s">
        <v>6078</v>
      </c>
    </row>
    <row r="1182" spans="1:11" x14ac:dyDescent="0.3">
      <c r="A1182" s="12" t="s">
        <v>6041</v>
      </c>
      <c r="B1182" s="12" t="s">
        <v>6079</v>
      </c>
      <c r="C1182" s="12"/>
      <c r="D1182" s="12"/>
      <c r="E1182" s="12">
        <v>2</v>
      </c>
      <c r="F1182" s="12" t="s">
        <v>6080</v>
      </c>
      <c r="G1182" s="12">
        <v>157</v>
      </c>
      <c r="H1182" s="12">
        <v>0</v>
      </c>
      <c r="I1182" s="12"/>
      <c r="J1182" s="12" t="s">
        <v>6081</v>
      </c>
      <c r="K1182" s="12" t="s">
        <v>6082</v>
      </c>
    </row>
    <row r="1183" spans="1:11" x14ac:dyDescent="0.3">
      <c r="A1183" s="12" t="s">
        <v>6041</v>
      </c>
      <c r="B1183" s="12" t="s">
        <v>6083</v>
      </c>
      <c r="C1183" s="12" t="s">
        <v>6084</v>
      </c>
      <c r="D1183" s="12"/>
      <c r="E1183" s="12">
        <v>3</v>
      </c>
      <c r="F1183" s="12" t="s">
        <v>6085</v>
      </c>
      <c r="G1183" s="12">
        <v>3</v>
      </c>
      <c r="H1183" s="12">
        <v>0</v>
      </c>
      <c r="I1183" s="12"/>
      <c r="J1183" s="12" t="s">
        <v>6086</v>
      </c>
      <c r="K1183" s="12" t="s">
        <v>6087</v>
      </c>
    </row>
    <row r="1184" spans="1:11" x14ac:dyDescent="0.3">
      <c r="A1184" s="12" t="s">
        <v>6041</v>
      </c>
      <c r="B1184" s="12" t="s">
        <v>6083</v>
      </c>
      <c r="C1184" s="12" t="s">
        <v>6088</v>
      </c>
      <c r="D1184" s="12"/>
      <c r="E1184" s="12">
        <v>3</v>
      </c>
      <c r="F1184" s="12" t="s">
        <v>6089</v>
      </c>
      <c r="G1184" s="12">
        <v>6</v>
      </c>
      <c r="H1184" s="12">
        <v>0</v>
      </c>
      <c r="I1184" s="12"/>
      <c r="J1184" s="12" t="s">
        <v>6090</v>
      </c>
      <c r="K1184" s="12" t="s">
        <v>6091</v>
      </c>
    </row>
    <row r="1185" spans="1:11" x14ac:dyDescent="0.3">
      <c r="A1185" s="12" t="s">
        <v>6041</v>
      </c>
      <c r="B1185" s="12" t="s">
        <v>6083</v>
      </c>
      <c r="C1185" s="12" t="s">
        <v>6092</v>
      </c>
      <c r="D1185" s="12"/>
      <c r="E1185" s="12">
        <v>3</v>
      </c>
      <c r="F1185" s="12" t="s">
        <v>6093</v>
      </c>
      <c r="G1185" s="12">
        <v>1</v>
      </c>
      <c r="H1185" s="12">
        <v>0</v>
      </c>
      <c r="I1185" s="12"/>
      <c r="J1185" s="12" t="s">
        <v>6094</v>
      </c>
      <c r="K1185" s="12" t="s">
        <v>6095</v>
      </c>
    </row>
    <row r="1186" spans="1:11" x14ac:dyDescent="0.3">
      <c r="A1186" s="12" t="s">
        <v>6041</v>
      </c>
      <c r="B1186" s="12" t="s">
        <v>6083</v>
      </c>
      <c r="C1186" s="12" t="s">
        <v>6096</v>
      </c>
      <c r="D1186" s="12"/>
      <c r="E1186" s="12">
        <v>3</v>
      </c>
      <c r="F1186" s="12" t="s">
        <v>6097</v>
      </c>
      <c r="G1186" s="12">
        <v>4</v>
      </c>
      <c r="H1186" s="12">
        <v>0</v>
      </c>
      <c r="I1186" s="12"/>
      <c r="J1186" s="12" t="s">
        <v>6098</v>
      </c>
      <c r="K1186" s="12" t="s">
        <v>6099</v>
      </c>
    </row>
    <row r="1187" spans="1:11" x14ac:dyDescent="0.3">
      <c r="A1187" s="12" t="s">
        <v>6041</v>
      </c>
      <c r="B1187" s="12" t="s">
        <v>6083</v>
      </c>
      <c r="C1187" s="12" t="s">
        <v>6100</v>
      </c>
      <c r="D1187" s="12"/>
      <c r="E1187" s="12">
        <v>3</v>
      </c>
      <c r="F1187" s="12" t="s">
        <v>6101</v>
      </c>
      <c r="G1187" s="12">
        <v>3</v>
      </c>
      <c r="H1187" s="12">
        <v>0</v>
      </c>
      <c r="I1187" s="12"/>
      <c r="J1187" s="12" t="s">
        <v>6102</v>
      </c>
      <c r="K1187" s="12" t="s">
        <v>6103</v>
      </c>
    </row>
    <row r="1188" spans="1:11" x14ac:dyDescent="0.3">
      <c r="A1188" s="12" t="s">
        <v>6041</v>
      </c>
      <c r="B1188" s="12" t="s">
        <v>6083</v>
      </c>
      <c r="C1188" s="12" t="s">
        <v>6104</v>
      </c>
      <c r="D1188" s="12"/>
      <c r="E1188" s="12">
        <v>3</v>
      </c>
      <c r="F1188" s="12" t="s">
        <v>6105</v>
      </c>
      <c r="G1188" s="12">
        <v>4</v>
      </c>
      <c r="H1188" s="12">
        <v>0</v>
      </c>
      <c r="I1188" s="12"/>
      <c r="J1188" s="12" t="s">
        <v>6106</v>
      </c>
      <c r="K1188" s="12" t="s">
        <v>6107</v>
      </c>
    </row>
    <row r="1189" spans="1:11" x14ac:dyDescent="0.3">
      <c r="A1189" s="12" t="s">
        <v>6041</v>
      </c>
      <c r="B1189" s="12" t="s">
        <v>6083</v>
      </c>
      <c r="C1189" s="12" t="s">
        <v>6108</v>
      </c>
      <c r="D1189" s="12"/>
      <c r="E1189" s="12">
        <v>3</v>
      </c>
      <c r="F1189" s="12" t="s">
        <v>6109</v>
      </c>
      <c r="G1189" s="12">
        <v>5</v>
      </c>
      <c r="H1189" s="12">
        <v>0</v>
      </c>
      <c r="I1189" s="12"/>
      <c r="J1189" s="12" t="s">
        <v>6110</v>
      </c>
      <c r="K1189" s="12" t="s">
        <v>6111</v>
      </c>
    </row>
    <row r="1190" spans="1:11" x14ac:dyDescent="0.3">
      <c r="A1190" s="12" t="s">
        <v>6041</v>
      </c>
      <c r="B1190" s="12" t="s">
        <v>6112</v>
      </c>
      <c r="C1190" s="12" t="s">
        <v>6113</v>
      </c>
      <c r="D1190" s="12"/>
      <c r="E1190" s="12">
        <v>3</v>
      </c>
      <c r="F1190" s="12" t="s">
        <v>6114</v>
      </c>
      <c r="G1190" s="12">
        <v>6</v>
      </c>
      <c r="H1190" s="12">
        <v>0</v>
      </c>
      <c r="I1190" s="12"/>
      <c r="J1190" s="12" t="s">
        <v>6115</v>
      </c>
      <c r="K1190" s="12" t="s">
        <v>6116</v>
      </c>
    </row>
    <row r="1191" spans="1:11" x14ac:dyDescent="0.3">
      <c r="A1191" s="12" t="s">
        <v>6041</v>
      </c>
      <c r="B1191" s="12" t="s">
        <v>6112</v>
      </c>
      <c r="C1191" s="12" t="s">
        <v>6117</v>
      </c>
      <c r="D1191" s="12"/>
      <c r="E1191" s="12">
        <v>3</v>
      </c>
      <c r="F1191" s="12" t="s">
        <v>6118</v>
      </c>
      <c r="G1191" s="12">
        <v>18</v>
      </c>
      <c r="H1191" s="12">
        <v>0</v>
      </c>
      <c r="I1191" s="12"/>
      <c r="J1191" s="12" t="s">
        <v>6119</v>
      </c>
      <c r="K1191" s="12" t="s">
        <v>6120</v>
      </c>
    </row>
    <row r="1192" spans="1:11" x14ac:dyDescent="0.3">
      <c r="A1192" s="12" t="s">
        <v>6041</v>
      </c>
      <c r="B1192" s="12" t="s">
        <v>6121</v>
      </c>
      <c r="C1192" s="12"/>
      <c r="D1192" s="12"/>
      <c r="E1192" s="12">
        <v>2</v>
      </c>
      <c r="F1192" s="12" t="s">
        <v>6122</v>
      </c>
      <c r="G1192" s="12">
        <v>3</v>
      </c>
      <c r="H1192" s="12">
        <v>0</v>
      </c>
      <c r="I1192" s="12"/>
      <c r="J1192" s="12" t="s">
        <v>6123</v>
      </c>
      <c r="K1192" s="12" t="s">
        <v>6124</v>
      </c>
    </row>
    <row r="1193" spans="1:11" x14ac:dyDescent="0.3">
      <c r="A1193" s="12" t="s">
        <v>6041</v>
      </c>
      <c r="B1193" s="12" t="s">
        <v>6125</v>
      </c>
      <c r="C1193" s="12"/>
      <c r="D1193" s="12"/>
      <c r="E1193" s="12">
        <v>2</v>
      </c>
      <c r="F1193" s="12" t="s">
        <v>6126</v>
      </c>
      <c r="G1193" s="12">
        <v>3</v>
      </c>
      <c r="H1193" s="12">
        <v>0</v>
      </c>
      <c r="I1193" s="12"/>
      <c r="J1193" s="12" t="s">
        <v>6127</v>
      </c>
      <c r="K1193" s="12" t="s">
        <v>6128</v>
      </c>
    </row>
    <row r="1194" spans="1:11" x14ac:dyDescent="0.3">
      <c r="A1194" s="12" t="s">
        <v>6041</v>
      </c>
      <c r="B1194" s="12" t="s">
        <v>6129</v>
      </c>
      <c r="C1194" s="12"/>
      <c r="D1194" s="12"/>
      <c r="E1194" s="12">
        <v>2</v>
      </c>
      <c r="F1194" s="12" t="s">
        <v>6130</v>
      </c>
      <c r="G1194" s="12">
        <v>4</v>
      </c>
      <c r="H1194" s="12">
        <v>0</v>
      </c>
      <c r="I1194" s="12"/>
      <c r="J1194" s="12" t="s">
        <v>6131</v>
      </c>
      <c r="K1194" s="12" t="s">
        <v>6132</v>
      </c>
    </row>
    <row r="1195" spans="1:11" x14ac:dyDescent="0.3">
      <c r="A1195" s="12" t="s">
        <v>6041</v>
      </c>
      <c r="B1195" s="12" t="s">
        <v>6133</v>
      </c>
      <c r="C1195" s="12"/>
      <c r="D1195" s="12"/>
      <c r="E1195" s="12">
        <v>2</v>
      </c>
      <c r="F1195" s="12" t="s">
        <v>6134</v>
      </c>
      <c r="G1195" s="12">
        <v>1</v>
      </c>
      <c r="H1195" s="12">
        <v>0</v>
      </c>
      <c r="I1195" s="12"/>
      <c r="J1195" s="12" t="s">
        <v>6135</v>
      </c>
      <c r="K1195" s="12" t="s">
        <v>6136</v>
      </c>
    </row>
    <row r="1196" spans="1:11" x14ac:dyDescent="0.3">
      <c r="A1196" s="12" t="s">
        <v>6041</v>
      </c>
      <c r="B1196" s="12" t="s">
        <v>6137</v>
      </c>
      <c r="C1196" s="12"/>
      <c r="D1196" s="12"/>
      <c r="E1196" s="12">
        <v>2</v>
      </c>
      <c r="F1196" s="12" t="s">
        <v>6138</v>
      </c>
      <c r="G1196" s="12">
        <v>1</v>
      </c>
      <c r="H1196" s="12">
        <v>0</v>
      </c>
      <c r="I1196" s="12"/>
      <c r="J1196" s="12" t="s">
        <v>6139</v>
      </c>
      <c r="K1196" s="12" t="s">
        <v>6140</v>
      </c>
    </row>
    <row r="1197" spans="1:11" x14ac:dyDescent="0.3">
      <c r="A1197" s="12" t="s">
        <v>6041</v>
      </c>
      <c r="B1197" s="12" t="s">
        <v>6141</v>
      </c>
      <c r="C1197" s="12"/>
      <c r="D1197" s="12"/>
      <c r="E1197" s="12">
        <v>2</v>
      </c>
      <c r="F1197" s="12" t="s">
        <v>6142</v>
      </c>
      <c r="G1197" s="12">
        <v>4</v>
      </c>
      <c r="H1197" s="12">
        <v>0</v>
      </c>
      <c r="I1197" s="12"/>
      <c r="J1197" s="12" t="s">
        <v>6143</v>
      </c>
      <c r="K1197" s="12" t="s">
        <v>6144</v>
      </c>
    </row>
    <row r="1198" spans="1:11" x14ac:dyDescent="0.3">
      <c r="A1198" s="12" t="s">
        <v>6041</v>
      </c>
      <c r="B1198" s="12" t="s">
        <v>6145</v>
      </c>
      <c r="C1198" s="12"/>
      <c r="D1198" s="12"/>
      <c r="E1198" s="12">
        <v>2</v>
      </c>
      <c r="F1198" s="12" t="s">
        <v>6146</v>
      </c>
      <c r="G1198" s="12">
        <v>1</v>
      </c>
      <c r="H1198" s="12">
        <v>0</v>
      </c>
      <c r="I1198" s="12"/>
      <c r="J1198" s="12" t="s">
        <v>6147</v>
      </c>
      <c r="K1198" s="12" t="s">
        <v>6148</v>
      </c>
    </row>
    <row r="1199" spans="1:11" x14ac:dyDescent="0.3">
      <c r="A1199" s="12" t="s">
        <v>6041</v>
      </c>
      <c r="B1199" s="12" t="s">
        <v>2551</v>
      </c>
      <c r="C1199" s="12" t="s">
        <v>6149</v>
      </c>
      <c r="D1199" s="12"/>
      <c r="E1199" s="12">
        <v>3</v>
      </c>
      <c r="F1199" s="12" t="s">
        <v>6150</v>
      </c>
      <c r="G1199" s="12">
        <v>55</v>
      </c>
      <c r="H1199" s="12">
        <v>0</v>
      </c>
      <c r="I1199" s="12"/>
      <c r="J1199" s="12" t="s">
        <v>6151</v>
      </c>
      <c r="K1199" s="12" t="s">
        <v>6152</v>
      </c>
    </row>
    <row r="1200" spans="1:11" x14ac:dyDescent="0.3">
      <c r="A1200" s="12" t="s">
        <v>6041</v>
      </c>
      <c r="B1200" s="12" t="s">
        <v>2551</v>
      </c>
      <c r="C1200" s="12" t="s">
        <v>6153</v>
      </c>
      <c r="D1200" s="12"/>
      <c r="E1200" s="12">
        <v>3</v>
      </c>
      <c r="F1200" s="12" t="s">
        <v>6154</v>
      </c>
      <c r="G1200" s="12">
        <v>8</v>
      </c>
      <c r="H1200" s="12">
        <v>0</v>
      </c>
      <c r="I1200" s="12"/>
      <c r="J1200" s="12" t="s">
        <v>6155</v>
      </c>
      <c r="K1200" s="12" t="s">
        <v>6156</v>
      </c>
    </row>
    <row r="1201" spans="1:11" x14ac:dyDescent="0.3">
      <c r="A1201" s="12" t="s">
        <v>6041</v>
      </c>
      <c r="B1201" s="12" t="s">
        <v>2551</v>
      </c>
      <c r="C1201" s="12" t="s">
        <v>6157</v>
      </c>
      <c r="D1201" s="12"/>
      <c r="E1201" s="12">
        <v>3</v>
      </c>
      <c r="F1201" s="12" t="s">
        <v>6158</v>
      </c>
      <c r="G1201" s="12">
        <v>2</v>
      </c>
      <c r="H1201" s="12">
        <v>0</v>
      </c>
      <c r="I1201" s="12"/>
      <c r="J1201" s="12" t="s">
        <v>6159</v>
      </c>
      <c r="K1201" s="12" t="s">
        <v>6160</v>
      </c>
    </row>
    <row r="1202" spans="1:11" x14ac:dyDescent="0.3">
      <c r="A1202" s="12" t="s">
        <v>6041</v>
      </c>
      <c r="B1202" s="12" t="s">
        <v>2551</v>
      </c>
      <c r="C1202" s="12" t="s">
        <v>6161</v>
      </c>
      <c r="D1202" s="12"/>
      <c r="E1202" s="12">
        <v>3</v>
      </c>
      <c r="F1202" s="12" t="s">
        <v>6162</v>
      </c>
      <c r="G1202" s="12">
        <v>8</v>
      </c>
      <c r="H1202" s="12">
        <v>0</v>
      </c>
      <c r="I1202" s="12"/>
      <c r="J1202" s="12" t="s">
        <v>6163</v>
      </c>
      <c r="K1202" s="12" t="s">
        <v>6164</v>
      </c>
    </row>
    <row r="1203" spans="1:11" x14ac:dyDescent="0.3">
      <c r="A1203" s="12" t="s">
        <v>6041</v>
      </c>
      <c r="B1203" s="12" t="s">
        <v>2551</v>
      </c>
      <c r="C1203" s="12" t="s">
        <v>6165</v>
      </c>
      <c r="D1203" s="12"/>
      <c r="E1203" s="12">
        <v>3</v>
      </c>
      <c r="F1203" s="12" t="s">
        <v>6166</v>
      </c>
      <c r="G1203" s="12">
        <v>10</v>
      </c>
      <c r="H1203" s="12">
        <v>0</v>
      </c>
      <c r="I1203" s="12"/>
      <c r="J1203" s="12" t="s">
        <v>6167</v>
      </c>
      <c r="K1203" s="12" t="s">
        <v>6168</v>
      </c>
    </row>
    <row r="1204" spans="1:11" x14ac:dyDescent="0.3">
      <c r="A1204" s="12" t="s">
        <v>6041</v>
      </c>
      <c r="B1204" s="12" t="s">
        <v>2551</v>
      </c>
      <c r="C1204" s="12" t="s">
        <v>6169</v>
      </c>
      <c r="D1204" s="12"/>
      <c r="E1204" s="12">
        <v>3</v>
      </c>
      <c r="F1204" s="12" t="s">
        <v>6170</v>
      </c>
      <c r="G1204" s="12">
        <v>9</v>
      </c>
      <c r="H1204" s="12">
        <v>0</v>
      </c>
      <c r="I1204" s="12"/>
      <c r="J1204" s="12" t="s">
        <v>6171</v>
      </c>
      <c r="K1204" s="12" t="s">
        <v>6172</v>
      </c>
    </row>
    <row r="1205" spans="1:11" x14ac:dyDescent="0.3">
      <c r="A1205" s="12" t="s">
        <v>6041</v>
      </c>
      <c r="B1205" s="12" t="s">
        <v>2551</v>
      </c>
      <c r="C1205" s="12" t="s">
        <v>6173</v>
      </c>
      <c r="D1205" s="12"/>
      <c r="E1205" s="12">
        <v>3</v>
      </c>
      <c r="F1205" s="12" t="s">
        <v>6174</v>
      </c>
      <c r="G1205" s="12">
        <v>30</v>
      </c>
      <c r="H1205" s="12">
        <v>0</v>
      </c>
      <c r="I1205" s="12"/>
      <c r="J1205" s="12" t="s">
        <v>6175</v>
      </c>
      <c r="K1205" s="12" t="s">
        <v>6176</v>
      </c>
    </row>
    <row r="1206" spans="1:11" x14ac:dyDescent="0.3">
      <c r="A1206" s="12" t="s">
        <v>6041</v>
      </c>
      <c r="B1206" s="12" t="s">
        <v>2551</v>
      </c>
      <c r="C1206" s="12" t="s">
        <v>6177</v>
      </c>
      <c r="D1206" s="12"/>
      <c r="E1206" s="12">
        <v>3</v>
      </c>
      <c r="F1206" s="12" t="s">
        <v>6178</v>
      </c>
      <c r="G1206" s="12">
        <v>7</v>
      </c>
      <c r="H1206" s="12">
        <v>0</v>
      </c>
      <c r="I1206" s="12"/>
      <c r="J1206" s="12" t="s">
        <v>6179</v>
      </c>
      <c r="K1206" s="12" t="s">
        <v>6180</v>
      </c>
    </row>
    <row r="1207" spans="1:11" x14ac:dyDescent="0.3">
      <c r="A1207" s="12" t="s">
        <v>6041</v>
      </c>
      <c r="B1207" s="12" t="s">
        <v>2551</v>
      </c>
      <c r="C1207" s="12" t="s">
        <v>6181</v>
      </c>
      <c r="D1207" s="12"/>
      <c r="E1207" s="12">
        <v>3</v>
      </c>
      <c r="F1207" s="12" t="s">
        <v>6182</v>
      </c>
      <c r="G1207" s="12">
        <v>4</v>
      </c>
      <c r="H1207" s="12">
        <v>0</v>
      </c>
      <c r="I1207" s="12"/>
      <c r="J1207" s="12" t="s">
        <v>6183</v>
      </c>
      <c r="K1207" s="12" t="s">
        <v>6184</v>
      </c>
    </row>
    <row r="1208" spans="1:11" x14ac:dyDescent="0.3">
      <c r="A1208" s="12" t="s">
        <v>6041</v>
      </c>
      <c r="B1208" s="12" t="s">
        <v>2551</v>
      </c>
      <c r="C1208" s="12" t="s">
        <v>6185</v>
      </c>
      <c r="D1208" s="12"/>
      <c r="E1208" s="12">
        <v>3</v>
      </c>
      <c r="F1208" s="12" t="s">
        <v>6186</v>
      </c>
      <c r="G1208" s="12">
        <v>9</v>
      </c>
      <c r="H1208" s="12">
        <v>0</v>
      </c>
      <c r="I1208" s="12"/>
      <c r="J1208" s="12" t="s">
        <v>6187</v>
      </c>
      <c r="K1208" s="12" t="s">
        <v>6188</v>
      </c>
    </row>
    <row r="1209" spans="1:11" x14ac:dyDescent="0.3">
      <c r="A1209" s="12" t="s">
        <v>6041</v>
      </c>
      <c r="B1209" s="12" t="s">
        <v>2551</v>
      </c>
      <c r="C1209" s="12" t="s">
        <v>6189</v>
      </c>
      <c r="D1209" s="12"/>
      <c r="E1209" s="12">
        <v>3</v>
      </c>
      <c r="F1209" s="12" t="s">
        <v>6190</v>
      </c>
      <c r="G1209" s="12">
        <v>3</v>
      </c>
      <c r="H1209" s="12">
        <v>0</v>
      </c>
      <c r="I1209" s="12"/>
      <c r="J1209" s="12" t="s">
        <v>6191</v>
      </c>
      <c r="K1209" s="12" t="s">
        <v>6192</v>
      </c>
    </row>
    <row r="1210" spans="1:11" x14ac:dyDescent="0.3">
      <c r="A1210" s="12" t="s">
        <v>6041</v>
      </c>
      <c r="B1210" s="12" t="s">
        <v>2551</v>
      </c>
      <c r="C1210" s="12" t="s">
        <v>6193</v>
      </c>
      <c r="D1210" s="12"/>
      <c r="E1210" s="12">
        <v>3</v>
      </c>
      <c r="F1210" s="12" t="s">
        <v>6194</v>
      </c>
      <c r="G1210" s="12">
        <v>2</v>
      </c>
      <c r="H1210" s="12">
        <v>0</v>
      </c>
      <c r="I1210" s="12"/>
      <c r="J1210" s="12" t="s">
        <v>6195</v>
      </c>
      <c r="K1210" s="12" t="s">
        <v>6196</v>
      </c>
    </row>
    <row r="1211" spans="1:11" x14ac:dyDescent="0.3">
      <c r="A1211" s="12" t="s">
        <v>6041</v>
      </c>
      <c r="B1211" s="12" t="s">
        <v>2651</v>
      </c>
      <c r="C1211" s="12"/>
      <c r="D1211" s="12"/>
      <c r="E1211" s="12">
        <v>2</v>
      </c>
      <c r="F1211" s="12" t="s">
        <v>6197</v>
      </c>
      <c r="G1211" s="12">
        <v>2</v>
      </c>
      <c r="H1211" s="12">
        <v>0</v>
      </c>
      <c r="I1211" s="12"/>
      <c r="J1211" s="12" t="s">
        <v>6198</v>
      </c>
      <c r="K1211" s="12" t="s">
        <v>6199</v>
      </c>
    </row>
    <row r="1212" spans="1:11" x14ac:dyDescent="0.3">
      <c r="A1212" s="12" t="s">
        <v>6041</v>
      </c>
      <c r="B1212" s="12" t="s">
        <v>6200</v>
      </c>
      <c r="C1212" s="12"/>
      <c r="D1212" s="12"/>
      <c r="E1212" s="12">
        <v>2</v>
      </c>
      <c r="F1212" s="12" t="s">
        <v>6201</v>
      </c>
      <c r="G1212" s="12">
        <v>5</v>
      </c>
      <c r="H1212" s="12">
        <v>0</v>
      </c>
      <c r="I1212" s="12"/>
      <c r="J1212" s="12" t="s">
        <v>6202</v>
      </c>
      <c r="K1212" s="12" t="s">
        <v>6203</v>
      </c>
    </row>
    <row r="1213" spans="1:11" x14ac:dyDescent="0.3">
      <c r="A1213" s="12" t="s">
        <v>6041</v>
      </c>
      <c r="B1213" s="12" t="s">
        <v>6204</v>
      </c>
      <c r="C1213" s="12"/>
      <c r="D1213" s="12"/>
      <c r="E1213" s="12">
        <v>2</v>
      </c>
      <c r="F1213" s="12" t="s">
        <v>6205</v>
      </c>
      <c r="G1213" s="12">
        <v>8</v>
      </c>
      <c r="H1213" s="12">
        <v>0</v>
      </c>
      <c r="I1213" s="12"/>
      <c r="J1213" s="12" t="s">
        <v>6206</v>
      </c>
      <c r="K1213" s="12" t="s">
        <v>6207</v>
      </c>
    </row>
    <row r="1214" spans="1:11" x14ac:dyDescent="0.3">
      <c r="A1214" s="12" t="s">
        <v>6041</v>
      </c>
      <c r="B1214" s="12" t="s">
        <v>6208</v>
      </c>
      <c r="C1214" s="12" t="s">
        <v>6209</v>
      </c>
      <c r="D1214" s="12"/>
      <c r="E1214" s="12">
        <v>3</v>
      </c>
      <c r="F1214" s="12" t="s">
        <v>6210</v>
      </c>
      <c r="G1214" s="12">
        <v>11</v>
      </c>
      <c r="H1214" s="12">
        <v>0</v>
      </c>
      <c r="I1214" s="12"/>
      <c r="J1214" s="12" t="s">
        <v>6211</v>
      </c>
      <c r="K1214" s="12" t="s">
        <v>6212</v>
      </c>
    </row>
    <row r="1215" spans="1:11" x14ac:dyDescent="0.3">
      <c r="A1215" s="12" t="s">
        <v>6041</v>
      </c>
      <c r="B1215" s="12" t="s">
        <v>6208</v>
      </c>
      <c r="C1215" s="12" t="s">
        <v>6213</v>
      </c>
      <c r="D1215" s="12"/>
      <c r="E1215" s="12">
        <v>3</v>
      </c>
      <c r="F1215" s="12" t="s">
        <v>6214</v>
      </c>
      <c r="G1215" s="12">
        <v>1</v>
      </c>
      <c r="H1215" s="12">
        <v>0</v>
      </c>
      <c r="I1215" s="12"/>
      <c r="J1215" s="12" t="s">
        <v>6215</v>
      </c>
      <c r="K1215" s="12" t="s">
        <v>6216</v>
      </c>
    </row>
    <row r="1216" spans="1:11" x14ac:dyDescent="0.3">
      <c r="A1216" s="12" t="s">
        <v>6041</v>
      </c>
      <c r="B1216" s="12" t="s">
        <v>6208</v>
      </c>
      <c r="C1216" s="12" t="s">
        <v>6217</v>
      </c>
      <c r="D1216" s="12"/>
      <c r="E1216" s="12">
        <v>3</v>
      </c>
      <c r="F1216" s="12" t="s">
        <v>6218</v>
      </c>
      <c r="G1216" s="12">
        <v>2</v>
      </c>
      <c r="H1216" s="12">
        <v>0</v>
      </c>
      <c r="I1216" s="12"/>
      <c r="J1216" s="12" t="s">
        <v>6219</v>
      </c>
      <c r="K1216" s="12" t="s">
        <v>6220</v>
      </c>
    </row>
    <row r="1217" spans="1:11" x14ac:dyDescent="0.3">
      <c r="A1217" s="12" t="s">
        <v>6041</v>
      </c>
      <c r="B1217" s="12" t="s">
        <v>6208</v>
      </c>
      <c r="C1217" s="12" t="s">
        <v>6221</v>
      </c>
      <c r="D1217" s="12"/>
      <c r="E1217" s="12">
        <v>3</v>
      </c>
      <c r="F1217" s="12" t="s">
        <v>6222</v>
      </c>
      <c r="G1217" s="12">
        <v>2</v>
      </c>
      <c r="H1217" s="12">
        <v>0</v>
      </c>
      <c r="I1217" s="12"/>
      <c r="J1217" s="12" t="s">
        <v>6223</v>
      </c>
      <c r="K1217" s="12" t="s">
        <v>6224</v>
      </c>
    </row>
    <row r="1218" spans="1:11" x14ac:dyDescent="0.3">
      <c r="A1218" s="12" t="s">
        <v>6041</v>
      </c>
      <c r="B1218" s="12" t="s">
        <v>6208</v>
      </c>
      <c r="C1218" s="12" t="s">
        <v>6225</v>
      </c>
      <c r="D1218" s="12"/>
      <c r="E1218" s="12">
        <v>3</v>
      </c>
      <c r="F1218" s="12" t="s">
        <v>6226</v>
      </c>
      <c r="G1218" s="12">
        <v>32</v>
      </c>
      <c r="H1218" s="12">
        <v>0</v>
      </c>
      <c r="I1218" s="12"/>
      <c r="J1218" s="12" t="s">
        <v>6227</v>
      </c>
      <c r="K1218" s="12" t="s">
        <v>6228</v>
      </c>
    </row>
    <row r="1219" spans="1:11" x14ac:dyDescent="0.3">
      <c r="A1219" s="12" t="s">
        <v>6041</v>
      </c>
      <c r="B1219" s="12" t="s">
        <v>6208</v>
      </c>
      <c r="C1219" s="12" t="s">
        <v>6229</v>
      </c>
      <c r="D1219" s="12"/>
      <c r="E1219" s="12">
        <v>3</v>
      </c>
      <c r="F1219" s="12" t="s">
        <v>6230</v>
      </c>
      <c r="G1219" s="12">
        <v>7</v>
      </c>
      <c r="H1219" s="12">
        <v>0</v>
      </c>
      <c r="I1219" s="12"/>
      <c r="J1219" s="12" t="s">
        <v>6231</v>
      </c>
      <c r="K1219" s="12" t="s">
        <v>6232</v>
      </c>
    </row>
    <row r="1220" spans="1:11" x14ac:dyDescent="0.3">
      <c r="A1220" s="12" t="s">
        <v>6041</v>
      </c>
      <c r="B1220" s="12" t="s">
        <v>6233</v>
      </c>
      <c r="C1220" s="12"/>
      <c r="D1220" s="12"/>
      <c r="E1220" s="12">
        <v>2</v>
      </c>
      <c r="F1220" s="12" t="s">
        <v>6234</v>
      </c>
      <c r="G1220" s="12">
        <v>1</v>
      </c>
      <c r="H1220" s="12">
        <v>0</v>
      </c>
      <c r="I1220" s="12"/>
      <c r="J1220" s="12" t="s">
        <v>6235</v>
      </c>
      <c r="K1220" s="12" t="s">
        <v>6236</v>
      </c>
    </row>
    <row r="1221" spans="1:11" x14ac:dyDescent="0.3">
      <c r="A1221" s="12" t="s">
        <v>6041</v>
      </c>
      <c r="B1221" s="12" t="s">
        <v>6237</v>
      </c>
      <c r="C1221" s="12"/>
      <c r="D1221" s="12"/>
      <c r="E1221" s="12">
        <v>2</v>
      </c>
      <c r="F1221" s="12" t="s">
        <v>6238</v>
      </c>
      <c r="G1221" s="12">
        <v>1</v>
      </c>
      <c r="H1221" s="12">
        <v>0</v>
      </c>
      <c r="I1221" s="12"/>
      <c r="J1221" s="12" t="s">
        <v>6239</v>
      </c>
      <c r="K1221" s="12" t="s">
        <v>6240</v>
      </c>
    </row>
    <row r="1222" spans="1:11" x14ac:dyDescent="0.3">
      <c r="A1222" s="12" t="s">
        <v>6041</v>
      </c>
      <c r="B1222" s="12" t="s">
        <v>6241</v>
      </c>
      <c r="C1222" s="12"/>
      <c r="D1222" s="12"/>
      <c r="E1222" s="12">
        <v>2</v>
      </c>
      <c r="F1222" s="12" t="s">
        <v>6242</v>
      </c>
      <c r="G1222" s="12">
        <v>1</v>
      </c>
      <c r="H1222" s="12">
        <v>0</v>
      </c>
      <c r="I1222" s="12"/>
      <c r="J1222" s="12" t="s">
        <v>6243</v>
      </c>
      <c r="K1222" s="12" t="s">
        <v>6244</v>
      </c>
    </row>
    <row r="1223" spans="1:11" x14ac:dyDescent="0.3">
      <c r="A1223" s="12" t="s">
        <v>6041</v>
      </c>
      <c r="B1223" s="12" t="s">
        <v>2617</v>
      </c>
      <c r="C1223" s="12" t="s">
        <v>6245</v>
      </c>
      <c r="D1223" s="12"/>
      <c r="E1223" s="12">
        <v>3</v>
      </c>
      <c r="F1223" s="12" t="s">
        <v>6246</v>
      </c>
      <c r="G1223" s="12">
        <v>1</v>
      </c>
      <c r="H1223" s="12">
        <v>0</v>
      </c>
      <c r="I1223" s="12"/>
      <c r="J1223" s="12" t="s">
        <v>6247</v>
      </c>
      <c r="K1223" s="12" t="s">
        <v>6248</v>
      </c>
    </row>
    <row r="1224" spans="1:11" x14ac:dyDescent="0.3">
      <c r="A1224" s="12" t="s">
        <v>6041</v>
      </c>
      <c r="B1224" s="12" t="s">
        <v>2617</v>
      </c>
      <c r="C1224" s="12" t="s">
        <v>6249</v>
      </c>
      <c r="D1224" s="12"/>
      <c r="E1224" s="12">
        <v>3</v>
      </c>
      <c r="F1224" s="12" t="s">
        <v>6250</v>
      </c>
      <c r="G1224" s="12">
        <v>6</v>
      </c>
      <c r="H1224" s="12">
        <v>0</v>
      </c>
      <c r="I1224" s="12"/>
      <c r="J1224" s="12" t="s">
        <v>6251</v>
      </c>
      <c r="K1224" s="12" t="s">
        <v>6252</v>
      </c>
    </row>
    <row r="1225" spans="1:11" x14ac:dyDescent="0.3">
      <c r="A1225" s="12" t="s">
        <v>6041</v>
      </c>
      <c r="B1225" s="12" t="s">
        <v>2617</v>
      </c>
      <c r="C1225" s="12" t="s">
        <v>6253</v>
      </c>
      <c r="D1225" s="12"/>
      <c r="E1225" s="12">
        <v>3</v>
      </c>
      <c r="F1225" s="12" t="s">
        <v>6254</v>
      </c>
      <c r="G1225" s="12">
        <v>3</v>
      </c>
      <c r="H1225" s="12">
        <v>0</v>
      </c>
      <c r="I1225" s="12"/>
      <c r="J1225" s="12" t="s">
        <v>6255</v>
      </c>
      <c r="K1225" s="12" t="s">
        <v>6256</v>
      </c>
    </row>
    <row r="1226" spans="1:11" x14ac:dyDescent="0.3">
      <c r="A1226" s="12" t="s">
        <v>6041</v>
      </c>
      <c r="B1226" s="12" t="s">
        <v>2617</v>
      </c>
      <c r="C1226" s="12" t="s">
        <v>6257</v>
      </c>
      <c r="D1226" s="12"/>
      <c r="E1226" s="12">
        <v>3</v>
      </c>
      <c r="F1226" s="12" t="s">
        <v>6258</v>
      </c>
      <c r="G1226" s="12">
        <v>2</v>
      </c>
      <c r="H1226" s="12">
        <v>0</v>
      </c>
      <c r="I1226" s="12"/>
      <c r="J1226" s="12" t="s">
        <v>6259</v>
      </c>
      <c r="K1226" s="12" t="s">
        <v>6260</v>
      </c>
    </row>
    <row r="1227" spans="1:11" x14ac:dyDescent="0.3">
      <c r="A1227" s="12" t="s">
        <v>6041</v>
      </c>
      <c r="B1227" s="12" t="s">
        <v>6261</v>
      </c>
      <c r="C1227" s="12"/>
      <c r="D1227" s="12"/>
      <c r="E1227" s="12">
        <v>2</v>
      </c>
      <c r="F1227" s="12" t="s">
        <v>6262</v>
      </c>
      <c r="G1227" s="12">
        <v>4</v>
      </c>
      <c r="H1227" s="12">
        <v>0</v>
      </c>
      <c r="I1227" s="12"/>
      <c r="J1227" s="12" t="s">
        <v>6263</v>
      </c>
      <c r="K1227" s="12" t="s">
        <v>6264</v>
      </c>
    </row>
    <row r="1228" spans="1:11" x14ac:dyDescent="0.3">
      <c r="A1228" s="12" t="s">
        <v>6041</v>
      </c>
      <c r="B1228" s="12" t="s">
        <v>6265</v>
      </c>
      <c r="C1228" s="12"/>
      <c r="D1228" s="12"/>
      <c r="E1228" s="12">
        <v>2</v>
      </c>
      <c r="F1228" s="12" t="s">
        <v>6266</v>
      </c>
      <c r="G1228" s="12">
        <v>10</v>
      </c>
      <c r="H1228" s="12">
        <v>0</v>
      </c>
      <c r="I1228" s="12"/>
      <c r="J1228" s="12" t="s">
        <v>6267</v>
      </c>
      <c r="K1228" s="12" t="s">
        <v>6268</v>
      </c>
    </row>
    <row r="1229" spans="1:11" x14ac:dyDescent="0.3">
      <c r="A1229" s="12" t="s">
        <v>6041</v>
      </c>
      <c r="B1229" s="12" t="s">
        <v>6269</v>
      </c>
      <c r="C1229" s="12" t="s">
        <v>6270</v>
      </c>
      <c r="D1229" s="12"/>
      <c r="E1229" s="12">
        <v>3</v>
      </c>
      <c r="F1229" s="12" t="s">
        <v>6271</v>
      </c>
      <c r="G1229" s="12">
        <v>84</v>
      </c>
      <c r="H1229" s="12">
        <v>0</v>
      </c>
      <c r="I1229" s="12"/>
      <c r="J1229" s="12" t="s">
        <v>6272</v>
      </c>
      <c r="K1229" s="12" t="s">
        <v>6273</v>
      </c>
    </row>
    <row r="1230" spans="1:11" x14ac:dyDescent="0.3">
      <c r="A1230" s="12" t="s">
        <v>6041</v>
      </c>
      <c r="B1230" s="12" t="s">
        <v>6274</v>
      </c>
      <c r="C1230" s="12"/>
      <c r="D1230" s="12"/>
      <c r="E1230" s="12">
        <v>2</v>
      </c>
      <c r="F1230" s="12" t="s">
        <v>6275</v>
      </c>
      <c r="G1230" s="12">
        <v>5</v>
      </c>
      <c r="H1230" s="12">
        <v>0</v>
      </c>
      <c r="I1230" s="12"/>
      <c r="J1230" s="12" t="s">
        <v>6276</v>
      </c>
      <c r="K1230" s="12" t="s">
        <v>6277</v>
      </c>
    </row>
    <row r="1231" spans="1:11" x14ac:dyDescent="0.3">
      <c r="A1231" s="12" t="s">
        <v>6041</v>
      </c>
      <c r="B1231" s="12" t="s">
        <v>6278</v>
      </c>
      <c r="C1231" s="12"/>
      <c r="D1231" s="12"/>
      <c r="E1231" s="12">
        <v>2</v>
      </c>
      <c r="F1231" s="12" t="s">
        <v>6279</v>
      </c>
      <c r="G1231" s="12">
        <v>1</v>
      </c>
      <c r="H1231" s="12">
        <v>0</v>
      </c>
      <c r="I1231" s="12"/>
      <c r="J1231" s="12" t="s">
        <v>6280</v>
      </c>
      <c r="K1231" s="12" t="s">
        <v>6281</v>
      </c>
    </row>
    <row r="1232" spans="1:11" x14ac:dyDescent="0.3">
      <c r="A1232" s="12" t="s">
        <v>6041</v>
      </c>
      <c r="B1232" s="12" t="s">
        <v>6282</v>
      </c>
      <c r="C1232" s="12"/>
      <c r="D1232" s="12"/>
      <c r="E1232" s="12">
        <v>2</v>
      </c>
      <c r="F1232" s="12" t="s">
        <v>6283</v>
      </c>
      <c r="G1232" s="12">
        <v>4</v>
      </c>
      <c r="H1232" s="12">
        <v>0</v>
      </c>
      <c r="I1232" s="12"/>
      <c r="J1232" s="12" t="s">
        <v>6284</v>
      </c>
      <c r="K1232" s="12" t="s">
        <v>6285</v>
      </c>
    </row>
    <row r="1233" spans="1:11" x14ac:dyDescent="0.3">
      <c r="A1233" s="12" t="s">
        <v>6286</v>
      </c>
      <c r="B1233" s="12" t="s">
        <v>6287</v>
      </c>
      <c r="C1233" s="12"/>
      <c r="D1233" s="12"/>
      <c r="E1233" s="12">
        <v>2</v>
      </c>
      <c r="F1233" s="12" t="s">
        <v>6288</v>
      </c>
      <c r="G1233" s="12">
        <v>119</v>
      </c>
      <c r="H1233" s="12">
        <v>0</v>
      </c>
      <c r="I1233" s="12"/>
      <c r="J1233" s="12" t="s">
        <v>6289</v>
      </c>
      <c r="K1233" s="12" t="s">
        <v>6290</v>
      </c>
    </row>
    <row r="1234" spans="1:11" x14ac:dyDescent="0.3">
      <c r="A1234" s="12" t="s">
        <v>6291</v>
      </c>
      <c r="B1234" s="12" t="s">
        <v>6292</v>
      </c>
      <c r="C1234" s="12"/>
      <c r="D1234" s="12"/>
      <c r="E1234" s="12">
        <v>2</v>
      </c>
      <c r="F1234" s="12" t="s">
        <v>6293</v>
      </c>
      <c r="G1234" s="12">
        <v>7</v>
      </c>
      <c r="H1234" s="12">
        <v>0</v>
      </c>
      <c r="I1234" s="12"/>
      <c r="J1234" s="12" t="s">
        <v>6294</v>
      </c>
      <c r="K1234" s="12" t="s">
        <v>6295</v>
      </c>
    </row>
    <row r="1235" spans="1:11" x14ac:dyDescent="0.3">
      <c r="A1235" s="12" t="s">
        <v>6291</v>
      </c>
      <c r="B1235" s="12" t="s">
        <v>6296</v>
      </c>
      <c r="C1235" s="12"/>
      <c r="D1235" s="12"/>
      <c r="E1235" s="12">
        <v>2</v>
      </c>
      <c r="F1235" s="12" t="s">
        <v>6297</v>
      </c>
      <c r="G1235" s="12">
        <v>2</v>
      </c>
      <c r="H1235" s="12">
        <v>0</v>
      </c>
      <c r="I1235" s="12"/>
      <c r="J1235" s="12" t="s">
        <v>6298</v>
      </c>
      <c r="K1235" s="12" t="s">
        <v>6299</v>
      </c>
    </row>
    <row r="1236" spans="1:11" x14ac:dyDescent="0.3">
      <c r="A1236" s="12" t="s">
        <v>6291</v>
      </c>
      <c r="B1236" s="12" t="s">
        <v>6300</v>
      </c>
      <c r="C1236" s="12"/>
      <c r="D1236" s="12"/>
      <c r="E1236" s="12">
        <v>2</v>
      </c>
      <c r="F1236" s="12" t="s">
        <v>6301</v>
      </c>
      <c r="G1236" s="12">
        <v>2</v>
      </c>
      <c r="H1236" s="12">
        <v>0</v>
      </c>
      <c r="I1236" s="12"/>
      <c r="J1236" s="12" t="s">
        <v>6302</v>
      </c>
      <c r="K1236" s="12" t="s">
        <v>6303</v>
      </c>
    </row>
    <row r="1237" spans="1:11" x14ac:dyDescent="0.3">
      <c r="A1237" s="12" t="s">
        <v>6291</v>
      </c>
      <c r="B1237" s="12" t="s">
        <v>6304</v>
      </c>
      <c r="C1237" s="12"/>
      <c r="D1237" s="12"/>
      <c r="E1237" s="12">
        <v>2</v>
      </c>
      <c r="F1237" s="12" t="s">
        <v>6305</v>
      </c>
      <c r="G1237" s="12">
        <v>6</v>
      </c>
      <c r="H1237" s="12">
        <v>0</v>
      </c>
      <c r="I1237" s="12"/>
      <c r="J1237" s="12" t="s">
        <v>6306</v>
      </c>
      <c r="K1237" s="12" t="s">
        <v>6307</v>
      </c>
    </row>
    <row r="1238" spans="1:11" x14ac:dyDescent="0.3">
      <c r="A1238" s="12" t="s">
        <v>6291</v>
      </c>
      <c r="B1238" s="12" t="s">
        <v>6308</v>
      </c>
      <c r="C1238" s="12"/>
      <c r="D1238" s="12"/>
      <c r="E1238" s="12">
        <v>2</v>
      </c>
      <c r="F1238" s="12" t="s">
        <v>6309</v>
      </c>
      <c r="G1238" s="12">
        <v>71</v>
      </c>
      <c r="H1238" s="12">
        <v>0</v>
      </c>
      <c r="I1238" s="12"/>
      <c r="J1238" s="12" t="s">
        <v>6310</v>
      </c>
      <c r="K1238" s="12" t="s">
        <v>6311</v>
      </c>
    </row>
    <row r="1239" spans="1:11" x14ac:dyDescent="0.3">
      <c r="A1239" s="12" t="s">
        <v>6291</v>
      </c>
      <c r="B1239" s="12" t="s">
        <v>6312</v>
      </c>
      <c r="C1239" s="12"/>
      <c r="D1239" s="12"/>
      <c r="E1239" s="12">
        <v>2</v>
      </c>
      <c r="F1239" s="12" t="s">
        <v>6313</v>
      </c>
      <c r="G1239" s="12">
        <v>519</v>
      </c>
      <c r="H1239" s="12">
        <v>0</v>
      </c>
      <c r="I1239" s="12"/>
      <c r="J1239" s="12" t="s">
        <v>6314</v>
      </c>
      <c r="K1239" s="12" t="s">
        <v>6315</v>
      </c>
    </row>
    <row r="1240" spans="1:11" x14ac:dyDescent="0.3">
      <c r="A1240" s="12" t="s">
        <v>6291</v>
      </c>
      <c r="B1240" s="12" t="s">
        <v>6316</v>
      </c>
      <c r="C1240" s="12"/>
      <c r="D1240" s="12"/>
      <c r="E1240" s="12">
        <v>2</v>
      </c>
      <c r="F1240" s="12" t="s">
        <v>6317</v>
      </c>
      <c r="G1240" s="12">
        <v>10</v>
      </c>
      <c r="H1240" s="12">
        <v>0</v>
      </c>
      <c r="I1240" s="12"/>
      <c r="J1240" s="12" t="s">
        <v>6318</v>
      </c>
      <c r="K1240" s="12" t="s">
        <v>6319</v>
      </c>
    </row>
    <row r="1241" spans="1:11" x14ac:dyDescent="0.3">
      <c r="A1241" s="12" t="s">
        <v>6320</v>
      </c>
      <c r="B1241" s="12" t="s">
        <v>6321</v>
      </c>
      <c r="C1241" s="12" t="s">
        <v>6322</v>
      </c>
      <c r="D1241" s="12" t="s">
        <v>6323</v>
      </c>
      <c r="E1241" s="12">
        <v>4</v>
      </c>
      <c r="F1241" s="12" t="s">
        <v>6324</v>
      </c>
      <c r="G1241" s="12">
        <v>7</v>
      </c>
      <c r="H1241" s="12">
        <v>0</v>
      </c>
      <c r="I1241" s="12"/>
      <c r="J1241" s="12" t="s">
        <v>6325</v>
      </c>
      <c r="K1241" s="12" t="s">
        <v>6326</v>
      </c>
    </row>
    <row r="1242" spans="1:11" x14ac:dyDescent="0.3">
      <c r="A1242" s="12" t="s">
        <v>6320</v>
      </c>
      <c r="B1242" s="12" t="s">
        <v>6321</v>
      </c>
      <c r="C1242" s="12" t="s">
        <v>6322</v>
      </c>
      <c r="D1242" s="12" t="s">
        <v>6327</v>
      </c>
      <c r="E1242" s="12">
        <v>4</v>
      </c>
      <c r="F1242" s="12" t="s">
        <v>6328</v>
      </c>
      <c r="G1242" s="12">
        <v>21</v>
      </c>
      <c r="H1242" s="12">
        <v>0</v>
      </c>
      <c r="I1242" s="12"/>
      <c r="J1242" s="12" t="s">
        <v>6329</v>
      </c>
      <c r="K1242" s="12" t="s">
        <v>6330</v>
      </c>
    </row>
    <row r="1243" spans="1:11" x14ac:dyDescent="0.3">
      <c r="A1243" s="12" t="s">
        <v>6320</v>
      </c>
      <c r="B1243" s="12" t="s">
        <v>6321</v>
      </c>
      <c r="C1243" s="12" t="s">
        <v>6322</v>
      </c>
      <c r="D1243" s="12" t="s">
        <v>6331</v>
      </c>
      <c r="E1243" s="12">
        <v>4</v>
      </c>
      <c r="F1243" s="12" t="s">
        <v>6332</v>
      </c>
      <c r="G1243" s="12">
        <v>10</v>
      </c>
      <c r="H1243" s="12">
        <v>0</v>
      </c>
      <c r="I1243" s="12"/>
      <c r="J1243" s="12" t="s">
        <v>6333</v>
      </c>
      <c r="K1243" s="12" t="s">
        <v>6334</v>
      </c>
    </row>
    <row r="1244" spans="1:11" x14ac:dyDescent="0.3">
      <c r="A1244" s="12" t="s">
        <v>6320</v>
      </c>
      <c r="B1244" s="12" t="s">
        <v>6321</v>
      </c>
      <c r="C1244" s="12" t="s">
        <v>6322</v>
      </c>
      <c r="D1244" s="12" t="s">
        <v>6335</v>
      </c>
      <c r="E1244" s="12">
        <v>4</v>
      </c>
      <c r="F1244" s="12" t="s">
        <v>6336</v>
      </c>
      <c r="G1244" s="12">
        <v>176</v>
      </c>
      <c r="H1244" s="12">
        <v>0</v>
      </c>
      <c r="I1244" s="12"/>
      <c r="J1244" s="12" t="s">
        <v>6337</v>
      </c>
      <c r="K1244" s="12" t="s">
        <v>6338</v>
      </c>
    </row>
  </sheetData>
  <autoFilter ref="A4:K1244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Segment Map</vt:lpstr>
      <vt:lpstr>Your List Review</vt:lpstr>
      <vt:lpstr>Recommended Paths</vt:lpstr>
      <vt:lpstr>Selection Criteria</vt:lpstr>
      <vt:lpstr>Path Scorecard</vt:lpstr>
      <vt:lpstr>Hero Segmentation</vt:lpstr>
      <vt:lpstr>Competitor Fit</vt:lpstr>
      <vt:lpstr>Competitor Profiles</vt:lpstr>
      <vt:lpstr>Parked &amp; Excluded</vt:lpstr>
      <vt:lpstr>Evidence &amp; Sources</vt:lpstr>
      <vt:lpstr>Staples Tree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DVN Sai Sandeep</cp:lastModifiedBy>
  <dcterms:created xsi:type="dcterms:W3CDTF">2026-09-29T06:00:24Z</dcterms:created>
  <dcterms:modified xsi:type="dcterms:W3CDTF">2026-09-29T06:00:30Z</dcterms:modified>
</cp:coreProperties>
</file>